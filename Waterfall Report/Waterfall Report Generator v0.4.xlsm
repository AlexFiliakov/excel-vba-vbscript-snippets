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726" codeName="{C999D3B4-68BB-379E-E534-F0D661931E69}"/>
  <workbookPr codeName="ThisWorkbook" defaultThemeVersion="166925"/>
  <mc:AlternateContent xmlns:mc="http://schemas.openxmlformats.org/markup-compatibility/2006">
    <mc:Choice Requires="x15">
      <x15ac:absPath xmlns:x15ac="http://schemas.microsoft.com/office/spreadsheetml/2010/11/ac" url="C:\Users\dwarr\OneDrive\Documents\Lab\Waterfall Report\"/>
    </mc:Choice>
  </mc:AlternateContent>
  <bookViews>
    <workbookView xWindow="0" yWindow="0" windowWidth="21570" windowHeight="7365"/>
  </bookViews>
  <sheets>
    <sheet name="Template" sheetId="1" r:id="rId1"/>
    <sheet name="Config" sheetId="3" r:id="rId2"/>
    <sheet name="Version Log" sheetId="4" r:id="rId3"/>
    <sheet name="dev" sheetId="2" r:id="rId4"/>
  </sheets>
  <definedNames>
    <definedName name="DecimalPrecision">Config!$C$3</definedName>
  </definedNames>
  <calcPr calcId="171027"/>
  <customWorkbookViews>
    <customWorkbookView name="Word Import" guid="{2345A847-8329-4FAA-8A9B-232369E733B0}" maximized="1" xWindow="-8" yWindow="-8" windowWidth="1936" windowHeight="1056" activeSheetId="1" showFormulaBar="0"/>
    <customWorkbookView name="Default View" guid="{DD229629-D235-48D5-B318-6D38150C57A8}" maximized="1" xWindow="-8" yWindow="-8" windowWidth="1936" windowHeight="105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51" i="1" l="1"/>
  <c r="T151" i="1"/>
  <c r="U151" i="1"/>
  <c r="V151" i="1"/>
  <c r="W151" i="1"/>
  <c r="X151" i="1"/>
  <c r="Y151" i="1"/>
  <c r="Z151" i="1"/>
  <c r="AA151" i="1"/>
  <c r="AB151" i="1"/>
  <c r="AC151" i="1"/>
  <c r="AD151" i="1"/>
  <c r="R151" i="1"/>
  <c r="T118" i="1"/>
  <c r="U118" i="1" s="1"/>
  <c r="V118" i="1" s="1"/>
  <c r="W118" i="1" s="1"/>
  <c r="X118" i="1" s="1"/>
  <c r="Y118" i="1" s="1"/>
  <c r="Z118" i="1" s="1"/>
  <c r="AA118" i="1" s="1"/>
  <c r="AB118" i="1" s="1"/>
  <c r="AC118" i="1" s="1"/>
  <c r="AD118" i="1" s="1"/>
  <c r="S118" i="1"/>
  <c r="R118" i="1"/>
  <c r="AD154" i="1" l="1"/>
  <c r="AD157" i="1" s="1"/>
  <c r="AD160" i="1" s="1"/>
  <c r="AD163" i="1" s="1"/>
  <c r="AD166" i="1" s="1"/>
  <c r="AD169" i="1" s="1"/>
  <c r="AD172" i="1" s="1"/>
  <c r="AD175" i="1" s="1"/>
  <c r="AD178" i="1" s="1"/>
  <c r="AD181" i="1" s="1"/>
  <c r="AC154" i="1"/>
  <c r="AC157" i="1" s="1"/>
  <c r="AC160" i="1" s="1"/>
  <c r="AC163" i="1" s="1"/>
  <c r="AC166" i="1" s="1"/>
  <c r="AC169" i="1" s="1"/>
  <c r="AC172" i="1" s="1"/>
  <c r="AC175" i="1" s="1"/>
  <c r="AC178" i="1" s="1"/>
  <c r="AC181" i="1" s="1"/>
  <c r="AB154" i="1"/>
  <c r="AB157" i="1" s="1"/>
  <c r="AB160" i="1" s="1"/>
  <c r="AB163" i="1" s="1"/>
  <c r="AB166" i="1" s="1"/>
  <c r="AB169" i="1" s="1"/>
  <c r="AB172" i="1" s="1"/>
  <c r="AB175" i="1" s="1"/>
  <c r="AB178" i="1" s="1"/>
  <c r="AB181" i="1" s="1"/>
  <c r="AA154" i="1"/>
  <c r="AA157" i="1" s="1"/>
  <c r="AA160" i="1" s="1"/>
  <c r="AA163" i="1" s="1"/>
  <c r="AA166" i="1" s="1"/>
  <c r="AA169" i="1" s="1"/>
  <c r="AA172" i="1" s="1"/>
  <c r="AA175" i="1" s="1"/>
  <c r="AA178" i="1" s="1"/>
  <c r="AA181" i="1" s="1"/>
  <c r="Z154" i="1"/>
  <c r="Z157" i="1" s="1"/>
  <c r="Z160" i="1" s="1"/>
  <c r="Z163" i="1" s="1"/>
  <c r="Z166" i="1" s="1"/>
  <c r="Z169" i="1" s="1"/>
  <c r="Z172" i="1" s="1"/>
  <c r="Z175" i="1" s="1"/>
  <c r="Z178" i="1" s="1"/>
  <c r="Z181" i="1" s="1"/>
  <c r="Y154" i="1"/>
  <c r="Y157" i="1" s="1"/>
  <c r="Y160" i="1" s="1"/>
  <c r="Y163" i="1" s="1"/>
  <c r="Y166" i="1" s="1"/>
  <c r="Y169" i="1" s="1"/>
  <c r="Y172" i="1" s="1"/>
  <c r="Y175" i="1" s="1"/>
  <c r="Y178" i="1" s="1"/>
  <c r="Y181" i="1" s="1"/>
  <c r="X154" i="1"/>
  <c r="X157" i="1" s="1"/>
  <c r="X160" i="1" s="1"/>
  <c r="X163" i="1" s="1"/>
  <c r="X166" i="1" s="1"/>
  <c r="X169" i="1" s="1"/>
  <c r="X172" i="1" s="1"/>
  <c r="X175" i="1" s="1"/>
  <c r="X178" i="1" s="1"/>
  <c r="X181" i="1" s="1"/>
  <c r="W154" i="1"/>
  <c r="W157" i="1" s="1"/>
  <c r="W160" i="1" s="1"/>
  <c r="W163" i="1" s="1"/>
  <c r="W166" i="1" s="1"/>
  <c r="W169" i="1" s="1"/>
  <c r="W172" i="1" s="1"/>
  <c r="W175" i="1" s="1"/>
  <c r="W178" i="1" s="1"/>
  <c r="W181" i="1" s="1"/>
  <c r="V154" i="1"/>
  <c r="V157" i="1" s="1"/>
  <c r="V160" i="1" s="1"/>
  <c r="V163" i="1" s="1"/>
  <c r="V166" i="1" s="1"/>
  <c r="V169" i="1" s="1"/>
  <c r="V172" i="1" s="1"/>
  <c r="V175" i="1" s="1"/>
  <c r="V178" i="1" s="1"/>
  <c r="V181" i="1" s="1"/>
  <c r="U154" i="1"/>
  <c r="U157" i="1" s="1"/>
  <c r="U160" i="1" s="1"/>
  <c r="U163" i="1" s="1"/>
  <c r="U166" i="1" s="1"/>
  <c r="U169" i="1" s="1"/>
  <c r="U172" i="1" s="1"/>
  <c r="U175" i="1" s="1"/>
  <c r="U178" i="1" s="1"/>
  <c r="U181" i="1" s="1"/>
  <c r="T154" i="1"/>
  <c r="T157" i="1" s="1"/>
  <c r="T160" i="1" s="1"/>
  <c r="T163" i="1" s="1"/>
  <c r="T166" i="1" s="1"/>
  <c r="T169" i="1" s="1"/>
  <c r="T172" i="1" s="1"/>
  <c r="T175" i="1" s="1"/>
  <c r="T178" i="1" s="1"/>
  <c r="T181" i="1" s="1"/>
  <c r="S154" i="1"/>
  <c r="S157" i="1" s="1"/>
  <c r="S160" i="1" s="1"/>
  <c r="S163" i="1" s="1"/>
  <c r="S166" i="1" s="1"/>
  <c r="S169" i="1" s="1"/>
  <c r="S172" i="1" s="1"/>
  <c r="S175" i="1" s="1"/>
  <c r="S178" i="1" s="1"/>
  <c r="S181" i="1" s="1"/>
  <c r="AD153" i="1"/>
  <c r="AD156" i="1" s="1"/>
  <c r="AD159" i="1" s="1"/>
  <c r="AD162" i="1" s="1"/>
  <c r="AD165" i="1" s="1"/>
  <c r="AD168" i="1" s="1"/>
  <c r="AD171" i="1" s="1"/>
  <c r="AD174" i="1" s="1"/>
  <c r="AD177" i="1" s="1"/>
  <c r="AD180" i="1" s="1"/>
  <c r="AC153" i="1"/>
  <c r="AC156" i="1" s="1"/>
  <c r="AC159" i="1" s="1"/>
  <c r="AC162" i="1" s="1"/>
  <c r="AC165" i="1" s="1"/>
  <c r="AC168" i="1" s="1"/>
  <c r="AC171" i="1" s="1"/>
  <c r="AC174" i="1" s="1"/>
  <c r="AC177" i="1" s="1"/>
  <c r="AC180" i="1" s="1"/>
  <c r="AB153" i="1"/>
  <c r="AB156" i="1" s="1"/>
  <c r="AB159" i="1" s="1"/>
  <c r="AB162" i="1" s="1"/>
  <c r="AB165" i="1" s="1"/>
  <c r="AB168" i="1" s="1"/>
  <c r="AB171" i="1" s="1"/>
  <c r="AB174" i="1" s="1"/>
  <c r="AB177" i="1" s="1"/>
  <c r="AB180" i="1" s="1"/>
  <c r="AA153" i="1"/>
  <c r="AA156" i="1" s="1"/>
  <c r="AA159" i="1" s="1"/>
  <c r="AA162" i="1" s="1"/>
  <c r="AA165" i="1" s="1"/>
  <c r="AA168" i="1" s="1"/>
  <c r="AA171" i="1" s="1"/>
  <c r="AA174" i="1" s="1"/>
  <c r="AA177" i="1" s="1"/>
  <c r="AA180" i="1" s="1"/>
  <c r="Z153" i="1"/>
  <c r="Z156" i="1" s="1"/>
  <c r="Z159" i="1" s="1"/>
  <c r="Z162" i="1" s="1"/>
  <c r="Z165" i="1" s="1"/>
  <c r="Z168" i="1" s="1"/>
  <c r="Z171" i="1" s="1"/>
  <c r="Z174" i="1" s="1"/>
  <c r="Z177" i="1" s="1"/>
  <c r="Z180" i="1" s="1"/>
  <c r="Y153" i="1"/>
  <c r="Y156" i="1" s="1"/>
  <c r="Y159" i="1" s="1"/>
  <c r="Y162" i="1" s="1"/>
  <c r="Y165" i="1" s="1"/>
  <c r="Y168" i="1" s="1"/>
  <c r="Y171" i="1" s="1"/>
  <c r="Y174" i="1" s="1"/>
  <c r="Y177" i="1" s="1"/>
  <c r="Y180" i="1" s="1"/>
  <c r="X153" i="1"/>
  <c r="X156" i="1" s="1"/>
  <c r="X159" i="1" s="1"/>
  <c r="X162" i="1" s="1"/>
  <c r="X165" i="1" s="1"/>
  <c r="X168" i="1" s="1"/>
  <c r="X171" i="1" s="1"/>
  <c r="X174" i="1" s="1"/>
  <c r="X177" i="1" s="1"/>
  <c r="X180" i="1" s="1"/>
  <c r="W153" i="1"/>
  <c r="W156" i="1" s="1"/>
  <c r="W159" i="1" s="1"/>
  <c r="W162" i="1" s="1"/>
  <c r="W165" i="1" s="1"/>
  <c r="W168" i="1" s="1"/>
  <c r="W171" i="1" s="1"/>
  <c r="W174" i="1" s="1"/>
  <c r="W177" i="1" s="1"/>
  <c r="W180" i="1" s="1"/>
  <c r="V153" i="1"/>
  <c r="V156" i="1" s="1"/>
  <c r="V159" i="1" s="1"/>
  <c r="V162" i="1" s="1"/>
  <c r="V165" i="1" s="1"/>
  <c r="V168" i="1" s="1"/>
  <c r="V171" i="1" s="1"/>
  <c r="V174" i="1" s="1"/>
  <c r="V177" i="1" s="1"/>
  <c r="V180" i="1" s="1"/>
  <c r="U153" i="1"/>
  <c r="U156" i="1" s="1"/>
  <c r="U159" i="1" s="1"/>
  <c r="U162" i="1" s="1"/>
  <c r="U165" i="1" s="1"/>
  <c r="U168" i="1" s="1"/>
  <c r="U171" i="1" s="1"/>
  <c r="U174" i="1" s="1"/>
  <c r="U177" i="1" s="1"/>
  <c r="U180" i="1" s="1"/>
  <c r="T153" i="1"/>
  <c r="T156" i="1" s="1"/>
  <c r="T159" i="1" s="1"/>
  <c r="T162" i="1" s="1"/>
  <c r="T165" i="1" s="1"/>
  <c r="T168" i="1" s="1"/>
  <c r="T171" i="1" s="1"/>
  <c r="T174" i="1" s="1"/>
  <c r="T177" i="1" s="1"/>
  <c r="T180" i="1" s="1"/>
  <c r="S153" i="1"/>
  <c r="S156" i="1" s="1"/>
  <c r="S159" i="1" s="1"/>
  <c r="S162" i="1" s="1"/>
  <c r="S165" i="1" s="1"/>
  <c r="S168" i="1" s="1"/>
  <c r="S171" i="1" s="1"/>
  <c r="S174" i="1" s="1"/>
  <c r="S177" i="1" s="1"/>
  <c r="S180" i="1" s="1"/>
  <c r="R154" i="1"/>
  <c r="R157" i="1" s="1"/>
  <c r="R160" i="1" s="1"/>
  <c r="R163" i="1" s="1"/>
  <c r="R166" i="1" s="1"/>
  <c r="R169" i="1" s="1"/>
  <c r="R172" i="1" s="1"/>
  <c r="R175" i="1" s="1"/>
  <c r="R178" i="1" s="1"/>
  <c r="R181" i="1" s="1"/>
  <c r="R153" i="1"/>
  <c r="R156" i="1" s="1"/>
  <c r="R159" i="1" s="1"/>
  <c r="R162" i="1" s="1"/>
  <c r="R165" i="1" s="1"/>
  <c r="R168" i="1" s="1"/>
  <c r="R171" i="1" s="1"/>
  <c r="R174" i="1" s="1"/>
  <c r="R177" i="1" s="1"/>
  <c r="R180" i="1" s="1"/>
  <c r="S152" i="1"/>
  <c r="S155" i="1" s="1"/>
  <c r="S158" i="1" s="1"/>
  <c r="S161" i="1" s="1"/>
  <c r="S164" i="1" s="1"/>
  <c r="S167" i="1" s="1"/>
  <c r="S170" i="1" s="1"/>
  <c r="S173" i="1" s="1"/>
  <c r="S176" i="1" s="1"/>
  <c r="S179" i="1" s="1"/>
  <c r="T152" i="1"/>
  <c r="T155" i="1" s="1"/>
  <c r="T158" i="1" s="1"/>
  <c r="T161" i="1" s="1"/>
  <c r="T164" i="1" s="1"/>
  <c r="T167" i="1" s="1"/>
  <c r="T170" i="1" s="1"/>
  <c r="T173" i="1" s="1"/>
  <c r="T176" i="1" s="1"/>
  <c r="T179" i="1" s="1"/>
  <c r="U152" i="1"/>
  <c r="U155" i="1" s="1"/>
  <c r="U158" i="1" s="1"/>
  <c r="U161" i="1" s="1"/>
  <c r="U164" i="1" s="1"/>
  <c r="U167" i="1" s="1"/>
  <c r="U170" i="1" s="1"/>
  <c r="U173" i="1" s="1"/>
  <c r="U176" i="1" s="1"/>
  <c r="U179" i="1" s="1"/>
  <c r="V152" i="1"/>
  <c r="V155" i="1" s="1"/>
  <c r="V158" i="1" s="1"/>
  <c r="V161" i="1" s="1"/>
  <c r="V164" i="1" s="1"/>
  <c r="V167" i="1" s="1"/>
  <c r="V170" i="1" s="1"/>
  <c r="V173" i="1" s="1"/>
  <c r="V176" i="1" s="1"/>
  <c r="V179" i="1" s="1"/>
  <c r="W152" i="1"/>
  <c r="W155" i="1" s="1"/>
  <c r="W158" i="1" s="1"/>
  <c r="W161" i="1" s="1"/>
  <c r="W164" i="1" s="1"/>
  <c r="W167" i="1" s="1"/>
  <c r="W170" i="1" s="1"/>
  <c r="W173" i="1" s="1"/>
  <c r="W176" i="1" s="1"/>
  <c r="W179" i="1" s="1"/>
  <c r="X152" i="1"/>
  <c r="X155" i="1" s="1"/>
  <c r="X158" i="1" s="1"/>
  <c r="X161" i="1" s="1"/>
  <c r="X164" i="1" s="1"/>
  <c r="X167" i="1" s="1"/>
  <c r="X170" i="1" s="1"/>
  <c r="X173" i="1" s="1"/>
  <c r="X176" i="1" s="1"/>
  <c r="X179" i="1" s="1"/>
  <c r="Y152" i="1"/>
  <c r="Y155" i="1" s="1"/>
  <c r="Y158" i="1" s="1"/>
  <c r="Y161" i="1" s="1"/>
  <c r="Y164" i="1" s="1"/>
  <c r="Y167" i="1" s="1"/>
  <c r="Y170" i="1" s="1"/>
  <c r="Y173" i="1" s="1"/>
  <c r="Y176" i="1" s="1"/>
  <c r="Y179" i="1" s="1"/>
  <c r="Z152" i="1"/>
  <c r="Z155" i="1" s="1"/>
  <c r="Z158" i="1" s="1"/>
  <c r="Z161" i="1" s="1"/>
  <c r="Z164" i="1" s="1"/>
  <c r="Z167" i="1" s="1"/>
  <c r="Z170" i="1" s="1"/>
  <c r="Z173" i="1" s="1"/>
  <c r="Z176" i="1" s="1"/>
  <c r="Z179" i="1" s="1"/>
  <c r="AA152" i="1"/>
  <c r="AA155" i="1" s="1"/>
  <c r="AA158" i="1" s="1"/>
  <c r="AA161" i="1" s="1"/>
  <c r="AA164" i="1" s="1"/>
  <c r="AA167" i="1" s="1"/>
  <c r="AA170" i="1" s="1"/>
  <c r="AA173" i="1" s="1"/>
  <c r="AA176" i="1" s="1"/>
  <c r="AA179" i="1" s="1"/>
  <c r="AB152" i="1"/>
  <c r="AB155" i="1" s="1"/>
  <c r="AB158" i="1" s="1"/>
  <c r="AB161" i="1" s="1"/>
  <c r="AB164" i="1" s="1"/>
  <c r="AB167" i="1" s="1"/>
  <c r="AB170" i="1" s="1"/>
  <c r="AB173" i="1" s="1"/>
  <c r="AB176" i="1" s="1"/>
  <c r="AB179" i="1" s="1"/>
  <c r="AC152" i="1"/>
  <c r="AC155" i="1" s="1"/>
  <c r="AC158" i="1" s="1"/>
  <c r="AC161" i="1" s="1"/>
  <c r="AC164" i="1" s="1"/>
  <c r="AC167" i="1" s="1"/>
  <c r="AC170" i="1" s="1"/>
  <c r="AC173" i="1" s="1"/>
  <c r="AC176" i="1" s="1"/>
  <c r="AC179" i="1" s="1"/>
  <c r="AD152" i="1"/>
  <c r="AD155" i="1" s="1"/>
  <c r="AD158" i="1" s="1"/>
  <c r="AD161" i="1" s="1"/>
  <c r="AD164" i="1" s="1"/>
  <c r="AD167" i="1" s="1"/>
  <c r="AD170" i="1" s="1"/>
  <c r="AD173" i="1" s="1"/>
  <c r="AD176" i="1" s="1"/>
  <c r="AD179" i="1" s="1"/>
  <c r="R152" i="1"/>
  <c r="R155" i="1" s="1"/>
  <c r="R158" i="1" s="1"/>
  <c r="R161" i="1" s="1"/>
  <c r="R164" i="1" s="1"/>
  <c r="R167" i="1" s="1"/>
  <c r="R170" i="1" s="1"/>
  <c r="R173" i="1" s="1"/>
  <c r="R176" i="1" s="1"/>
  <c r="R179" i="1" s="1"/>
  <c r="T102" i="1"/>
  <c r="W102" i="1" s="1"/>
  <c r="Z102" i="1" s="1"/>
  <c r="AC102" i="1" s="1"/>
  <c r="AF102" i="1" s="1"/>
  <c r="AI102" i="1" s="1"/>
  <c r="AL102" i="1" s="1"/>
  <c r="AO102" i="1" s="1"/>
  <c r="AR102" i="1" s="1"/>
  <c r="AU102" i="1" s="1"/>
  <c r="AX102" i="1" s="1"/>
  <c r="BA102" i="1" s="1"/>
  <c r="BD102" i="1" s="1"/>
  <c r="S102" i="1"/>
  <c r="V102" i="1" s="1"/>
  <c r="Y102" i="1" s="1"/>
  <c r="AB102" i="1" s="1"/>
  <c r="AE102" i="1" s="1"/>
  <c r="AH102" i="1" s="1"/>
  <c r="AK102" i="1" s="1"/>
  <c r="AN102" i="1" s="1"/>
  <c r="AQ102" i="1" s="1"/>
  <c r="AT102" i="1" s="1"/>
  <c r="AW102" i="1" s="1"/>
  <c r="AZ102" i="1" s="1"/>
  <c r="BC102" i="1" s="1"/>
  <c r="R102" i="1"/>
  <c r="U102" i="1" s="1"/>
  <c r="X102" i="1" s="1"/>
  <c r="AA102" i="1" s="1"/>
  <c r="AD102" i="1" s="1"/>
  <c r="AG102" i="1" s="1"/>
  <c r="AJ102" i="1" s="1"/>
  <c r="AM102" i="1" s="1"/>
  <c r="AP102" i="1" s="1"/>
  <c r="AS102" i="1" s="1"/>
  <c r="AV102" i="1" s="1"/>
  <c r="AY102" i="1" s="1"/>
  <c r="BB102" i="1" s="1"/>
  <c r="T101" i="1"/>
  <c r="W101" i="1" s="1"/>
  <c r="Z101" i="1" s="1"/>
  <c r="AC101" i="1" s="1"/>
  <c r="AF101" i="1" s="1"/>
  <c r="AI101" i="1" s="1"/>
  <c r="AL101" i="1" s="1"/>
  <c r="AO101" i="1" s="1"/>
  <c r="AR101" i="1" s="1"/>
  <c r="AU101" i="1" s="1"/>
  <c r="AX101" i="1" s="1"/>
  <c r="BA101" i="1" s="1"/>
  <c r="BD101" i="1" s="1"/>
  <c r="S101" i="1"/>
  <c r="V101" i="1" s="1"/>
  <c r="Y101" i="1" s="1"/>
  <c r="AB101" i="1" s="1"/>
  <c r="AE101" i="1" s="1"/>
  <c r="AH101" i="1" s="1"/>
  <c r="AK101" i="1" s="1"/>
  <c r="AN101" i="1" s="1"/>
  <c r="AQ101" i="1" s="1"/>
  <c r="AT101" i="1" s="1"/>
  <c r="AW101" i="1" s="1"/>
  <c r="AZ101" i="1" s="1"/>
  <c r="BC101" i="1" s="1"/>
  <c r="R101" i="1"/>
  <c r="U101" i="1" s="1"/>
  <c r="X101" i="1" s="1"/>
  <c r="AA101" i="1" s="1"/>
  <c r="AD101" i="1" s="1"/>
  <c r="AG101" i="1" s="1"/>
  <c r="AJ101" i="1" s="1"/>
  <c r="AM101" i="1" s="1"/>
  <c r="AP101" i="1" s="1"/>
  <c r="AS101" i="1" s="1"/>
  <c r="AV101" i="1" s="1"/>
  <c r="AY101" i="1" s="1"/>
  <c r="BB101" i="1" s="1"/>
  <c r="T100" i="1"/>
  <c r="W100" i="1" s="1"/>
  <c r="Z100" i="1" s="1"/>
  <c r="AC100" i="1" s="1"/>
  <c r="AF100" i="1" s="1"/>
  <c r="AI100" i="1" s="1"/>
  <c r="AL100" i="1" s="1"/>
  <c r="AO100" i="1" s="1"/>
  <c r="AR100" i="1" s="1"/>
  <c r="AU100" i="1" s="1"/>
  <c r="AX100" i="1" s="1"/>
  <c r="BA100" i="1" s="1"/>
  <c r="BD100" i="1" s="1"/>
  <c r="S100" i="1"/>
  <c r="V100" i="1" s="1"/>
  <c r="Y100" i="1" s="1"/>
  <c r="AB100" i="1" s="1"/>
  <c r="AE100" i="1" s="1"/>
  <c r="AH100" i="1" s="1"/>
  <c r="AK100" i="1" s="1"/>
  <c r="AN100" i="1" s="1"/>
  <c r="AQ100" i="1" s="1"/>
  <c r="AT100" i="1" s="1"/>
  <c r="AW100" i="1" s="1"/>
  <c r="AZ100" i="1" s="1"/>
  <c r="BC100" i="1" s="1"/>
  <c r="R100" i="1"/>
  <c r="U100" i="1" s="1"/>
  <c r="X100" i="1" s="1"/>
  <c r="AA100" i="1" s="1"/>
  <c r="AD100" i="1" s="1"/>
  <c r="AG100" i="1" s="1"/>
  <c r="AJ100" i="1" s="1"/>
  <c r="AM100" i="1" s="1"/>
  <c r="AP100" i="1" s="1"/>
  <c r="AS100" i="1" s="1"/>
  <c r="AV100" i="1" s="1"/>
  <c r="AY100" i="1" s="1"/>
  <c r="BB100" i="1" s="1"/>
  <c r="T99" i="1"/>
  <c r="W99" i="1" s="1"/>
  <c r="Z99" i="1" s="1"/>
  <c r="AC99" i="1" s="1"/>
  <c r="AF99" i="1" s="1"/>
  <c r="AI99" i="1" s="1"/>
  <c r="AL99" i="1" s="1"/>
  <c r="AO99" i="1" s="1"/>
  <c r="AR99" i="1" s="1"/>
  <c r="AU99" i="1" s="1"/>
  <c r="AX99" i="1" s="1"/>
  <c r="BA99" i="1" s="1"/>
  <c r="BD99" i="1" s="1"/>
  <c r="S99" i="1"/>
  <c r="V99" i="1" s="1"/>
  <c r="Y99" i="1" s="1"/>
  <c r="AB99" i="1" s="1"/>
  <c r="AE99" i="1" s="1"/>
  <c r="AH99" i="1" s="1"/>
  <c r="AK99" i="1" s="1"/>
  <c r="AN99" i="1" s="1"/>
  <c r="AQ99" i="1" s="1"/>
  <c r="AT99" i="1" s="1"/>
  <c r="AW99" i="1" s="1"/>
  <c r="AZ99" i="1" s="1"/>
  <c r="BC99" i="1" s="1"/>
  <c r="R99" i="1"/>
  <c r="U99" i="1" s="1"/>
  <c r="X99" i="1" s="1"/>
  <c r="AA99" i="1" s="1"/>
  <c r="AD99" i="1" s="1"/>
  <c r="AG99" i="1" s="1"/>
  <c r="AJ99" i="1" s="1"/>
  <c r="AM99" i="1" s="1"/>
  <c r="AP99" i="1" s="1"/>
  <c r="AS99" i="1" s="1"/>
  <c r="AV99" i="1" s="1"/>
  <c r="AY99" i="1" s="1"/>
  <c r="BB99" i="1" s="1"/>
  <c r="T98" i="1"/>
  <c r="W98" i="1" s="1"/>
  <c r="Z98" i="1" s="1"/>
  <c r="AC98" i="1" s="1"/>
  <c r="AF98" i="1" s="1"/>
  <c r="AI98" i="1" s="1"/>
  <c r="AL98" i="1" s="1"/>
  <c r="AO98" i="1" s="1"/>
  <c r="AR98" i="1" s="1"/>
  <c r="AU98" i="1" s="1"/>
  <c r="AX98" i="1" s="1"/>
  <c r="BA98" i="1" s="1"/>
  <c r="BD98" i="1" s="1"/>
  <c r="S98" i="1"/>
  <c r="V98" i="1" s="1"/>
  <c r="Y98" i="1" s="1"/>
  <c r="AB98" i="1" s="1"/>
  <c r="AE98" i="1" s="1"/>
  <c r="AH98" i="1" s="1"/>
  <c r="AK98" i="1" s="1"/>
  <c r="AN98" i="1" s="1"/>
  <c r="AQ98" i="1" s="1"/>
  <c r="AT98" i="1" s="1"/>
  <c r="AW98" i="1" s="1"/>
  <c r="AZ98" i="1" s="1"/>
  <c r="BC98" i="1" s="1"/>
  <c r="R98" i="1"/>
  <c r="U98" i="1" s="1"/>
  <c r="X98" i="1" s="1"/>
  <c r="AA98" i="1" s="1"/>
  <c r="AD98" i="1" s="1"/>
  <c r="AG98" i="1" s="1"/>
  <c r="AJ98" i="1" s="1"/>
  <c r="AM98" i="1" s="1"/>
  <c r="AP98" i="1" s="1"/>
  <c r="AS98" i="1" s="1"/>
  <c r="AV98" i="1" s="1"/>
  <c r="AY98" i="1" s="1"/>
  <c r="BB98" i="1" s="1"/>
  <c r="T97" i="1"/>
  <c r="W97" i="1" s="1"/>
  <c r="Z97" i="1" s="1"/>
  <c r="AC97" i="1" s="1"/>
  <c r="AF97" i="1" s="1"/>
  <c r="AI97" i="1" s="1"/>
  <c r="AL97" i="1" s="1"/>
  <c r="AO97" i="1" s="1"/>
  <c r="AR97" i="1" s="1"/>
  <c r="AU97" i="1" s="1"/>
  <c r="AX97" i="1" s="1"/>
  <c r="BA97" i="1" s="1"/>
  <c r="BD97" i="1" s="1"/>
  <c r="S97" i="1"/>
  <c r="V97" i="1" s="1"/>
  <c r="Y97" i="1" s="1"/>
  <c r="AB97" i="1" s="1"/>
  <c r="AE97" i="1" s="1"/>
  <c r="AH97" i="1" s="1"/>
  <c r="AK97" i="1" s="1"/>
  <c r="AN97" i="1" s="1"/>
  <c r="AQ97" i="1" s="1"/>
  <c r="AT97" i="1" s="1"/>
  <c r="AW97" i="1" s="1"/>
  <c r="AZ97" i="1" s="1"/>
  <c r="BC97" i="1" s="1"/>
  <c r="R97" i="1"/>
  <c r="U97" i="1" s="1"/>
  <c r="X97" i="1" s="1"/>
  <c r="AA97" i="1" s="1"/>
  <c r="AD97" i="1" s="1"/>
  <c r="AG97" i="1" s="1"/>
  <c r="AJ97" i="1" s="1"/>
  <c r="AM97" i="1" s="1"/>
  <c r="AP97" i="1" s="1"/>
  <c r="AS97" i="1" s="1"/>
  <c r="AV97" i="1" s="1"/>
  <c r="AY97" i="1" s="1"/>
  <c r="BB97" i="1" s="1"/>
  <c r="T96" i="1"/>
  <c r="W96" i="1" s="1"/>
  <c r="Z96" i="1" s="1"/>
  <c r="AC96" i="1" s="1"/>
  <c r="AF96" i="1" s="1"/>
  <c r="AI96" i="1" s="1"/>
  <c r="AL96" i="1" s="1"/>
  <c r="AO96" i="1" s="1"/>
  <c r="AR96" i="1" s="1"/>
  <c r="AU96" i="1" s="1"/>
  <c r="AX96" i="1" s="1"/>
  <c r="BA96" i="1" s="1"/>
  <c r="BD96" i="1" s="1"/>
  <c r="S96" i="1"/>
  <c r="V96" i="1" s="1"/>
  <c r="Y96" i="1" s="1"/>
  <c r="AB96" i="1" s="1"/>
  <c r="AE96" i="1" s="1"/>
  <c r="AH96" i="1" s="1"/>
  <c r="AK96" i="1" s="1"/>
  <c r="AN96" i="1" s="1"/>
  <c r="AQ96" i="1" s="1"/>
  <c r="AT96" i="1" s="1"/>
  <c r="AW96" i="1" s="1"/>
  <c r="AZ96" i="1" s="1"/>
  <c r="BC96" i="1" s="1"/>
  <c r="R96" i="1"/>
  <c r="U96" i="1" s="1"/>
  <c r="X96" i="1" s="1"/>
  <c r="AA96" i="1" s="1"/>
  <c r="AD96" i="1" s="1"/>
  <c r="AG96" i="1" s="1"/>
  <c r="AJ96" i="1" s="1"/>
  <c r="AM96" i="1" s="1"/>
  <c r="AP96" i="1" s="1"/>
  <c r="AS96" i="1" s="1"/>
  <c r="AV96" i="1" s="1"/>
  <c r="AY96" i="1" s="1"/>
  <c r="BB96" i="1" s="1"/>
  <c r="T95" i="1"/>
  <c r="W95" i="1" s="1"/>
  <c r="Z95" i="1" s="1"/>
  <c r="AC95" i="1" s="1"/>
  <c r="AF95" i="1" s="1"/>
  <c r="AI95" i="1" s="1"/>
  <c r="AL95" i="1" s="1"/>
  <c r="AO95" i="1" s="1"/>
  <c r="AR95" i="1" s="1"/>
  <c r="AU95" i="1" s="1"/>
  <c r="AX95" i="1" s="1"/>
  <c r="BA95" i="1" s="1"/>
  <c r="BD95" i="1" s="1"/>
  <c r="S95" i="1"/>
  <c r="V95" i="1" s="1"/>
  <c r="Y95" i="1" s="1"/>
  <c r="AB95" i="1" s="1"/>
  <c r="AE95" i="1" s="1"/>
  <c r="AH95" i="1" s="1"/>
  <c r="AK95" i="1" s="1"/>
  <c r="AN95" i="1" s="1"/>
  <c r="AQ95" i="1" s="1"/>
  <c r="AT95" i="1" s="1"/>
  <c r="AW95" i="1" s="1"/>
  <c r="AZ95" i="1" s="1"/>
  <c r="BC95" i="1" s="1"/>
  <c r="R95" i="1"/>
  <c r="U95" i="1" s="1"/>
  <c r="X95" i="1" s="1"/>
  <c r="AA95" i="1" s="1"/>
  <c r="AD95" i="1" s="1"/>
  <c r="AG95" i="1" s="1"/>
  <c r="AJ95" i="1" s="1"/>
  <c r="AM95" i="1" s="1"/>
  <c r="AP95" i="1" s="1"/>
  <c r="AS95" i="1" s="1"/>
  <c r="AV95" i="1" s="1"/>
  <c r="AY95" i="1" s="1"/>
  <c r="BB95" i="1" s="1"/>
  <c r="T94" i="1"/>
  <c r="W94" i="1" s="1"/>
  <c r="Z94" i="1" s="1"/>
  <c r="AC94" i="1" s="1"/>
  <c r="AF94" i="1" s="1"/>
  <c r="AI94" i="1" s="1"/>
  <c r="AL94" i="1" s="1"/>
  <c r="AO94" i="1" s="1"/>
  <c r="AR94" i="1" s="1"/>
  <c r="AU94" i="1" s="1"/>
  <c r="AX94" i="1" s="1"/>
  <c r="BA94" i="1" s="1"/>
  <c r="BD94" i="1" s="1"/>
  <c r="S94" i="1"/>
  <c r="V94" i="1" s="1"/>
  <c r="Y94" i="1" s="1"/>
  <c r="AB94" i="1" s="1"/>
  <c r="AE94" i="1" s="1"/>
  <c r="AH94" i="1" s="1"/>
  <c r="AK94" i="1" s="1"/>
  <c r="AN94" i="1" s="1"/>
  <c r="AQ94" i="1" s="1"/>
  <c r="AT94" i="1" s="1"/>
  <c r="AW94" i="1" s="1"/>
  <c r="AZ94" i="1" s="1"/>
  <c r="BC94" i="1" s="1"/>
  <c r="R94" i="1"/>
  <c r="U94" i="1" s="1"/>
  <c r="X94" i="1" s="1"/>
  <c r="AA94" i="1" s="1"/>
  <c r="AD94" i="1" s="1"/>
  <c r="AG94" i="1" s="1"/>
  <c r="AJ94" i="1" s="1"/>
  <c r="AM94" i="1" s="1"/>
  <c r="AP94" i="1" s="1"/>
  <c r="AS94" i="1" s="1"/>
  <c r="AV94" i="1" s="1"/>
  <c r="AY94" i="1" s="1"/>
  <c r="BB94" i="1" s="1"/>
  <c r="T93" i="1"/>
  <c r="W93" i="1" s="1"/>
  <c r="Z93" i="1" s="1"/>
  <c r="AC93" i="1" s="1"/>
  <c r="AF93" i="1" s="1"/>
  <c r="AI93" i="1" s="1"/>
  <c r="AL93" i="1" s="1"/>
  <c r="AO93" i="1" s="1"/>
  <c r="AR93" i="1" s="1"/>
  <c r="AU93" i="1" s="1"/>
  <c r="AX93" i="1" s="1"/>
  <c r="BA93" i="1" s="1"/>
  <c r="BD93" i="1" s="1"/>
  <c r="S93" i="1"/>
  <c r="V93" i="1" s="1"/>
  <c r="Y93" i="1" s="1"/>
  <c r="AB93" i="1" s="1"/>
  <c r="AE93" i="1" s="1"/>
  <c r="AH93" i="1" s="1"/>
  <c r="AK93" i="1" s="1"/>
  <c r="AN93" i="1" s="1"/>
  <c r="AQ93" i="1" s="1"/>
  <c r="AT93" i="1" s="1"/>
  <c r="AW93" i="1" s="1"/>
  <c r="AZ93" i="1" s="1"/>
  <c r="BC93" i="1" s="1"/>
  <c r="R93" i="1"/>
  <c r="U93" i="1" s="1"/>
  <c r="X93" i="1" s="1"/>
  <c r="AA93" i="1" s="1"/>
  <c r="AD93" i="1" s="1"/>
  <c r="AG93" i="1" s="1"/>
  <c r="AJ93" i="1" s="1"/>
  <c r="AM93" i="1" s="1"/>
  <c r="AP93" i="1" s="1"/>
  <c r="AS93" i="1" s="1"/>
  <c r="AV93" i="1" s="1"/>
  <c r="AY93" i="1" s="1"/>
  <c r="BB93" i="1" s="1"/>
  <c r="S66" i="1"/>
  <c r="S79" i="1" s="1"/>
  <c r="R79" i="1"/>
  <c r="R92" i="1" s="1"/>
  <c r="AD26" i="1"/>
  <c r="AD41" i="1" s="1"/>
  <c r="AC26" i="1"/>
  <c r="AB26" i="1"/>
  <c r="AA26" i="1"/>
  <c r="Z26" i="1"/>
  <c r="Y26" i="1"/>
  <c r="X26" i="1"/>
  <c r="W26" i="1"/>
  <c r="W41" i="1" s="1"/>
  <c r="V26" i="1"/>
  <c r="V41" i="1" s="1"/>
  <c r="U26" i="1"/>
  <c r="T26" i="1"/>
  <c r="S26" i="1"/>
  <c r="R26" i="1"/>
  <c r="R41" i="1" s="1"/>
  <c r="Q67" i="1"/>
  <c r="Q80" i="1" s="1"/>
  <c r="Q93" i="1" s="1"/>
  <c r="Q106" i="1" s="1"/>
  <c r="Q152" i="1" s="1"/>
  <c r="Q155" i="1" s="1"/>
  <c r="AD53" i="1"/>
  <c r="AC53" i="1"/>
  <c r="AB53" i="1"/>
  <c r="AA53" i="1"/>
  <c r="Z53" i="1"/>
  <c r="Y53" i="1"/>
  <c r="X53" i="1"/>
  <c r="U53" i="1"/>
  <c r="T53" i="1"/>
  <c r="S53" i="1"/>
  <c r="R53" i="1"/>
  <c r="AC41" i="1"/>
  <c r="AB41" i="1"/>
  <c r="AA41" i="1"/>
  <c r="Z41" i="1"/>
  <c r="Y41" i="1"/>
  <c r="X41" i="1"/>
  <c r="U41" i="1"/>
  <c r="T41" i="1"/>
  <c r="S41" i="1"/>
  <c r="Q26" i="1"/>
  <c r="Q41" i="1" s="1"/>
  <c r="Q53" i="1" s="1"/>
  <c r="Q27" i="1"/>
  <c r="Q54" i="1" s="1"/>
  <c r="C2" i="1"/>
  <c r="R27" i="1" s="1"/>
  <c r="B51" i="1"/>
  <c r="O50" i="1"/>
  <c r="N50" i="1"/>
  <c r="M50" i="1"/>
  <c r="L50" i="1"/>
  <c r="K50" i="1"/>
  <c r="J50" i="1"/>
  <c r="I50" i="1"/>
  <c r="H50" i="1"/>
  <c r="G50" i="1"/>
  <c r="F50" i="1"/>
  <c r="E50" i="1"/>
  <c r="D50" i="1"/>
  <c r="C50" i="1"/>
  <c r="B12" i="1"/>
  <c r="B18" i="1"/>
  <c r="B16" i="1"/>
  <c r="B10" i="1"/>
  <c r="B6" i="1"/>
  <c r="B4" i="1"/>
  <c r="B2" i="1"/>
  <c r="B20" i="1"/>
  <c r="B14" i="1"/>
  <c r="B8" i="1"/>
  <c r="A4" i="1"/>
  <c r="A6" i="1" s="1"/>
  <c r="A8" i="1" s="1"/>
  <c r="A10" i="1" s="1"/>
  <c r="A12" i="1" s="1"/>
  <c r="A14" i="1" s="1"/>
  <c r="A16" i="1" s="1"/>
  <c r="A18" i="1" s="1"/>
  <c r="A20" i="1" s="1"/>
  <c r="Q36" i="1" s="1"/>
  <c r="Q63" i="1" l="1"/>
  <c r="Q51" i="1"/>
  <c r="B57" i="1"/>
  <c r="Q29" i="1"/>
  <c r="Q42" i="1"/>
  <c r="Q74" i="1"/>
  <c r="Q87" i="1" s="1"/>
  <c r="Q100" i="1" s="1"/>
  <c r="Q113" i="1" s="1"/>
  <c r="R105" i="1"/>
  <c r="S92" i="1"/>
  <c r="B58" i="1"/>
  <c r="Q30" i="1"/>
  <c r="Q75" i="1"/>
  <c r="Q88" i="1" s="1"/>
  <c r="Q101" i="1" s="1"/>
  <c r="Q114" i="1" s="1"/>
  <c r="T92" i="1"/>
  <c r="B59" i="1"/>
  <c r="Q31" i="1"/>
  <c r="Q68" i="1"/>
  <c r="Q81" i="1" s="1"/>
  <c r="Q94" i="1" s="1"/>
  <c r="Q107" i="1" s="1"/>
  <c r="Q76" i="1"/>
  <c r="Q89" i="1" s="1"/>
  <c r="Q102" i="1" s="1"/>
  <c r="Q115" i="1" s="1"/>
  <c r="Q66" i="1"/>
  <c r="Q79" i="1" s="1"/>
  <c r="Q92" i="1" s="1"/>
  <c r="U92" i="1"/>
  <c r="B52" i="1"/>
  <c r="B60" i="1"/>
  <c r="Q32" i="1"/>
  <c r="Q69" i="1"/>
  <c r="Q82" i="1" s="1"/>
  <c r="Q95" i="1" s="1"/>
  <c r="Q108" i="1" s="1"/>
  <c r="B53" i="1"/>
  <c r="Q33" i="1"/>
  <c r="Q70" i="1"/>
  <c r="Q83" i="1" s="1"/>
  <c r="Q96" i="1" s="1"/>
  <c r="Q109" i="1" s="1"/>
  <c r="T66" i="1"/>
  <c r="B54" i="1"/>
  <c r="Q34" i="1"/>
  <c r="Q71" i="1"/>
  <c r="Q84" i="1" s="1"/>
  <c r="Q97" i="1" s="1"/>
  <c r="Q110" i="1" s="1"/>
  <c r="B55" i="1"/>
  <c r="Q35" i="1"/>
  <c r="Q72" i="1"/>
  <c r="Q85" i="1" s="1"/>
  <c r="Q98" i="1" s="1"/>
  <c r="Q111" i="1" s="1"/>
  <c r="B56" i="1"/>
  <c r="Q28" i="1"/>
  <c r="V53" i="1"/>
  <c r="Q73" i="1"/>
  <c r="Q86" i="1" s="1"/>
  <c r="Q99" i="1" s="1"/>
  <c r="Q112" i="1" s="1"/>
  <c r="Q158" i="1"/>
  <c r="Q122" i="1"/>
  <c r="Q153" i="1"/>
  <c r="Q119" i="1"/>
  <c r="Q154" i="1"/>
  <c r="W53" i="1"/>
  <c r="C3" i="3"/>
  <c r="C4" i="1" s="1"/>
  <c r="S105" i="1" l="1"/>
  <c r="V92" i="1"/>
  <c r="Q46" i="1"/>
  <c r="Q58" i="1"/>
  <c r="Q50" i="1"/>
  <c r="Q62" i="1"/>
  <c r="Q47" i="1"/>
  <c r="Q59" i="1"/>
  <c r="Q49" i="1"/>
  <c r="Q61" i="1"/>
  <c r="W92" i="1"/>
  <c r="T105" i="1"/>
  <c r="Q44" i="1"/>
  <c r="Q56" i="1"/>
  <c r="Q48" i="1"/>
  <c r="Q60" i="1"/>
  <c r="Q55" i="1"/>
  <c r="Q43" i="1"/>
  <c r="U66" i="1"/>
  <c r="T79" i="1"/>
  <c r="X92" i="1"/>
  <c r="U105" i="1"/>
  <c r="Q45" i="1"/>
  <c r="Q57" i="1"/>
  <c r="Q105" i="1"/>
  <c r="Q151" i="1" s="1"/>
  <c r="Q118" i="1"/>
  <c r="Q157" i="1"/>
  <c r="Q121" i="1"/>
  <c r="Q125" i="1"/>
  <c r="Q161" i="1"/>
  <c r="Q120" i="1"/>
  <c r="Q156" i="1"/>
  <c r="D2" i="1"/>
  <c r="E2" i="1" s="1"/>
  <c r="T27" i="1" s="1"/>
  <c r="C6" i="1"/>
  <c r="D6" i="1" s="1"/>
  <c r="R28" i="1"/>
  <c r="D4" i="1"/>
  <c r="C3" i="1"/>
  <c r="AA92" i="1" l="1"/>
  <c r="X105" i="1"/>
  <c r="V66" i="1"/>
  <c r="U79" i="1"/>
  <c r="W105" i="1"/>
  <c r="Z92" i="1"/>
  <c r="Y92" i="1"/>
  <c r="V105" i="1"/>
  <c r="Q123" i="1"/>
  <c r="Q159" i="1"/>
  <c r="Q164" i="1"/>
  <c r="Q128" i="1"/>
  <c r="Q160" i="1"/>
  <c r="Q124" i="1"/>
  <c r="S27" i="1"/>
  <c r="F2" i="1"/>
  <c r="U27" i="1" s="1"/>
  <c r="E4" i="1"/>
  <c r="T28" i="1" s="1"/>
  <c r="S28" i="1"/>
  <c r="E6" i="1"/>
  <c r="T29" i="1" s="1"/>
  <c r="S29" i="1"/>
  <c r="C8" i="1"/>
  <c r="D8" i="1" s="1"/>
  <c r="R29" i="1"/>
  <c r="D3" i="1"/>
  <c r="C5" i="1"/>
  <c r="Z105" i="1" l="1"/>
  <c r="AC92" i="1"/>
  <c r="W66" i="1"/>
  <c r="V79" i="1"/>
  <c r="Y105" i="1"/>
  <c r="AB92" i="1"/>
  <c r="AD92" i="1"/>
  <c r="AA105" i="1"/>
  <c r="Q163" i="1"/>
  <c r="Q127" i="1"/>
  <c r="Q167" i="1"/>
  <c r="Q134" i="1" s="1"/>
  <c r="Q131" i="1"/>
  <c r="Q162" i="1"/>
  <c r="Q126" i="1"/>
  <c r="F6" i="1"/>
  <c r="U29" i="1" s="1"/>
  <c r="F4" i="1"/>
  <c r="U28" i="1" s="1"/>
  <c r="G2" i="1"/>
  <c r="V27" i="1" s="1"/>
  <c r="E8" i="1"/>
  <c r="T30" i="1" s="1"/>
  <c r="S30" i="1"/>
  <c r="C10" i="1"/>
  <c r="D10" i="1" s="1"/>
  <c r="R30" i="1"/>
  <c r="E3" i="1"/>
  <c r="C7" i="1"/>
  <c r="D5" i="1"/>
  <c r="AD105" i="1" l="1"/>
  <c r="AG92" i="1"/>
  <c r="AB105" i="1"/>
  <c r="AE92" i="1"/>
  <c r="X66" i="1"/>
  <c r="W79" i="1"/>
  <c r="AC105" i="1"/>
  <c r="AF92" i="1"/>
  <c r="Q165" i="1"/>
  <c r="Q129" i="1"/>
  <c r="Q170" i="1"/>
  <c r="Q137" i="1" s="1"/>
  <c r="Q166" i="1"/>
  <c r="Q130" i="1"/>
  <c r="H2" i="1"/>
  <c r="W27" i="1" s="1"/>
  <c r="F8" i="1"/>
  <c r="U30" i="1" s="1"/>
  <c r="G4" i="1"/>
  <c r="V28" i="1" s="1"/>
  <c r="G6" i="1"/>
  <c r="V29" i="1" s="1"/>
  <c r="E10" i="1"/>
  <c r="T31" i="1" s="1"/>
  <c r="S31" i="1"/>
  <c r="C12" i="1"/>
  <c r="D12" i="1" s="1"/>
  <c r="R31" i="1"/>
  <c r="F3" i="1"/>
  <c r="C9" i="1"/>
  <c r="D7" i="1"/>
  <c r="E5" i="1"/>
  <c r="X79" i="1" l="1"/>
  <c r="Y66" i="1"/>
  <c r="AH92" i="1"/>
  <c r="AE105" i="1"/>
  <c r="AJ92" i="1"/>
  <c r="AG105" i="1"/>
  <c r="AI92" i="1"/>
  <c r="AF105" i="1"/>
  <c r="Q169" i="1"/>
  <c r="Q136" i="1" s="1"/>
  <c r="Q133" i="1"/>
  <c r="Q173" i="1"/>
  <c r="Q168" i="1"/>
  <c r="Q135" i="1" s="1"/>
  <c r="Q132" i="1"/>
  <c r="H6" i="1"/>
  <c r="W29" i="1" s="1"/>
  <c r="H4" i="1"/>
  <c r="W28" i="1" s="1"/>
  <c r="G8" i="1"/>
  <c r="V30" i="1" s="1"/>
  <c r="F10" i="1"/>
  <c r="U31" i="1" s="1"/>
  <c r="I2" i="1"/>
  <c r="X27" i="1" s="1"/>
  <c r="E12" i="1"/>
  <c r="T32" i="1" s="1"/>
  <c r="S32" i="1"/>
  <c r="C14" i="1"/>
  <c r="R32" i="1"/>
  <c r="G3" i="1"/>
  <c r="C11" i="1"/>
  <c r="D9" i="1"/>
  <c r="E7" i="1"/>
  <c r="F5" i="1"/>
  <c r="AL92" i="1" l="1"/>
  <c r="AI105" i="1"/>
  <c r="Q176" i="1"/>
  <c r="Q140" i="1"/>
  <c r="AK92" i="1"/>
  <c r="AH105" i="1"/>
  <c r="AM92" i="1"/>
  <c r="AJ105" i="1"/>
  <c r="Y79" i="1"/>
  <c r="Z66" i="1"/>
  <c r="Q171" i="1"/>
  <c r="Q138" i="1" s="1"/>
  <c r="Q172" i="1"/>
  <c r="Q139" i="1" s="1"/>
  <c r="H8" i="1"/>
  <c r="W30" i="1" s="1"/>
  <c r="G10" i="1"/>
  <c r="V31" i="1" s="1"/>
  <c r="I4" i="1"/>
  <c r="X28" i="1" s="1"/>
  <c r="F12" i="1"/>
  <c r="U32" i="1" s="1"/>
  <c r="J2" i="1"/>
  <c r="Y27" i="1" s="1"/>
  <c r="I6" i="1"/>
  <c r="X29" i="1" s="1"/>
  <c r="C16" i="1"/>
  <c r="R33" i="1"/>
  <c r="D14" i="1"/>
  <c r="H3" i="1"/>
  <c r="C13" i="1"/>
  <c r="D11" i="1"/>
  <c r="E9" i="1"/>
  <c r="F7" i="1"/>
  <c r="G5" i="1"/>
  <c r="AP92" i="1" l="1"/>
  <c r="AM105" i="1"/>
  <c r="AN92" i="1"/>
  <c r="AK105" i="1"/>
  <c r="Q179" i="1"/>
  <c r="Q146" i="1" s="1"/>
  <c r="Q143" i="1"/>
  <c r="AA66" i="1"/>
  <c r="Z79" i="1"/>
  <c r="AO92" i="1"/>
  <c r="AL105" i="1"/>
  <c r="Q175" i="1"/>
  <c r="Q174" i="1"/>
  <c r="K2" i="1"/>
  <c r="Z27" i="1" s="1"/>
  <c r="G12" i="1"/>
  <c r="V32" i="1" s="1"/>
  <c r="J4" i="1"/>
  <c r="Y28" i="1" s="1"/>
  <c r="H10" i="1"/>
  <c r="W31" i="1" s="1"/>
  <c r="J6" i="1"/>
  <c r="Y29" i="1" s="1"/>
  <c r="I8" i="1"/>
  <c r="X30" i="1" s="1"/>
  <c r="E14" i="1"/>
  <c r="T33" i="1" s="1"/>
  <c r="S33" i="1"/>
  <c r="C18" i="1"/>
  <c r="D18" i="1" s="1"/>
  <c r="R34" i="1"/>
  <c r="D16" i="1"/>
  <c r="I3" i="1"/>
  <c r="C15" i="1"/>
  <c r="D13" i="1"/>
  <c r="E11" i="1"/>
  <c r="F9" i="1"/>
  <c r="G7" i="1"/>
  <c r="H5" i="1"/>
  <c r="AB66" i="1" l="1"/>
  <c r="AA79" i="1"/>
  <c r="Q177" i="1"/>
  <c r="Q141" i="1"/>
  <c r="Q178" i="1"/>
  <c r="Q142" i="1"/>
  <c r="AQ92" i="1"/>
  <c r="AN105" i="1"/>
  <c r="AR92" i="1"/>
  <c r="AO105" i="1"/>
  <c r="AS92" i="1"/>
  <c r="AP105" i="1"/>
  <c r="K6" i="1"/>
  <c r="Z29" i="1" s="1"/>
  <c r="I10" i="1"/>
  <c r="X31" i="1" s="1"/>
  <c r="K4" i="1"/>
  <c r="Z28" i="1" s="1"/>
  <c r="F14" i="1"/>
  <c r="U33" i="1" s="1"/>
  <c r="J8" i="1"/>
  <c r="Y30" i="1" s="1"/>
  <c r="H12" i="1"/>
  <c r="W32" i="1" s="1"/>
  <c r="L2" i="1"/>
  <c r="AA27" i="1" s="1"/>
  <c r="E16" i="1"/>
  <c r="T34" i="1" s="1"/>
  <c r="S34" i="1"/>
  <c r="E18" i="1"/>
  <c r="T35" i="1" s="1"/>
  <c r="S35" i="1"/>
  <c r="C20" i="1"/>
  <c r="D20" i="1" s="1"/>
  <c r="S36" i="1" s="1"/>
  <c r="R35" i="1"/>
  <c r="J3" i="1"/>
  <c r="C17" i="1"/>
  <c r="D15" i="1"/>
  <c r="E13" i="1"/>
  <c r="F11" i="1"/>
  <c r="G9" i="1"/>
  <c r="H7" i="1"/>
  <c r="I5" i="1"/>
  <c r="AU92" i="1" l="1"/>
  <c r="AR105" i="1"/>
  <c r="AT92" i="1"/>
  <c r="AQ105" i="1"/>
  <c r="Q181" i="1"/>
  <c r="Q148" i="1" s="1"/>
  <c r="Q145" i="1"/>
  <c r="AC66" i="1"/>
  <c r="AB79" i="1"/>
  <c r="AV92" i="1"/>
  <c r="AS105" i="1"/>
  <c r="Q180" i="1"/>
  <c r="Q147" i="1" s="1"/>
  <c r="Q144" i="1"/>
  <c r="S37" i="1"/>
  <c r="S38" i="1"/>
  <c r="S39" i="1"/>
  <c r="S51" i="1" s="1"/>
  <c r="S76" i="1" s="1"/>
  <c r="F18" i="1"/>
  <c r="U35" i="1" s="1"/>
  <c r="K8" i="1"/>
  <c r="Z30" i="1" s="1"/>
  <c r="L6" i="1"/>
  <c r="AA29" i="1" s="1"/>
  <c r="F16" i="1"/>
  <c r="U34" i="1" s="1"/>
  <c r="G14" i="1"/>
  <c r="V33" i="1" s="1"/>
  <c r="M2" i="1"/>
  <c r="AB27" i="1" s="1"/>
  <c r="L4" i="1"/>
  <c r="AA28" i="1" s="1"/>
  <c r="I12" i="1"/>
  <c r="X32" i="1" s="1"/>
  <c r="J10" i="1"/>
  <c r="Y31" i="1" s="1"/>
  <c r="C22" i="1"/>
  <c r="R36" i="1"/>
  <c r="E20" i="1"/>
  <c r="T36" i="1" s="1"/>
  <c r="D22" i="1"/>
  <c r="K3" i="1"/>
  <c r="C62" i="1"/>
  <c r="C63" i="1"/>
  <c r="C60" i="1" s="1"/>
  <c r="C21" i="1"/>
  <c r="C19" i="1"/>
  <c r="D17" i="1"/>
  <c r="E15" i="1"/>
  <c r="F13" i="1"/>
  <c r="G11" i="1"/>
  <c r="H9" i="1"/>
  <c r="I7" i="1"/>
  <c r="J5" i="1"/>
  <c r="AD66" i="1" l="1"/>
  <c r="AD79" i="1" s="1"/>
  <c r="AC79" i="1"/>
  <c r="AW92" i="1"/>
  <c r="AT105" i="1"/>
  <c r="AY92" i="1"/>
  <c r="AV105" i="1"/>
  <c r="AX92" i="1"/>
  <c r="AU105" i="1"/>
  <c r="S44" i="1"/>
  <c r="S69" i="1" s="1"/>
  <c r="S43" i="1"/>
  <c r="S68" i="1" s="1"/>
  <c r="S42" i="1"/>
  <c r="S67" i="1" s="1"/>
  <c r="S45" i="1"/>
  <c r="S70" i="1" s="1"/>
  <c r="S46" i="1"/>
  <c r="S71" i="1" s="1"/>
  <c r="S47" i="1"/>
  <c r="S72" i="1" s="1"/>
  <c r="S48" i="1"/>
  <c r="S73" i="1" s="1"/>
  <c r="S50" i="1"/>
  <c r="S75" i="1" s="1"/>
  <c r="S49" i="1"/>
  <c r="S74" i="1" s="1"/>
  <c r="R39" i="1"/>
  <c r="R51" i="1" s="1"/>
  <c r="R76" i="1" s="1"/>
  <c r="T37" i="1"/>
  <c r="T39" i="1"/>
  <c r="T38" i="1"/>
  <c r="R37" i="1"/>
  <c r="R38" i="1"/>
  <c r="K10" i="1"/>
  <c r="Z31" i="1" s="1"/>
  <c r="G18" i="1"/>
  <c r="V35" i="1" s="1"/>
  <c r="G16" i="1"/>
  <c r="V34" i="1" s="1"/>
  <c r="M4" i="1"/>
  <c r="AB28" i="1" s="1"/>
  <c r="M6" i="1"/>
  <c r="AB29" i="1" s="1"/>
  <c r="H14" i="1"/>
  <c r="W33" i="1" s="1"/>
  <c r="J12" i="1"/>
  <c r="Y32" i="1" s="1"/>
  <c r="N2" i="1"/>
  <c r="L8" i="1"/>
  <c r="AA30" i="1" s="1"/>
  <c r="F20" i="1"/>
  <c r="U36" i="1" s="1"/>
  <c r="E22" i="1"/>
  <c r="L3" i="1"/>
  <c r="C58" i="1"/>
  <c r="C59" i="1"/>
  <c r="C56" i="1"/>
  <c r="C57" i="1"/>
  <c r="C54" i="1"/>
  <c r="C55" i="1"/>
  <c r="C52" i="1"/>
  <c r="C53" i="1"/>
  <c r="C51" i="1"/>
  <c r="D63" i="1"/>
  <c r="D60" i="1" s="1"/>
  <c r="D62" i="1"/>
  <c r="D21" i="1"/>
  <c r="D19" i="1"/>
  <c r="E17" i="1"/>
  <c r="F15" i="1"/>
  <c r="G13" i="1"/>
  <c r="H11" i="1"/>
  <c r="I9" i="1"/>
  <c r="J7" i="1"/>
  <c r="K5" i="1"/>
  <c r="BA92" i="1" l="1"/>
  <c r="AX105" i="1"/>
  <c r="BB92" i="1"/>
  <c r="BB105" i="1" s="1"/>
  <c r="AY105" i="1"/>
  <c r="AZ92" i="1"/>
  <c r="AW105" i="1"/>
  <c r="T42" i="1"/>
  <c r="T67" i="1" s="1"/>
  <c r="T44" i="1"/>
  <c r="T69" i="1" s="1"/>
  <c r="T43" i="1"/>
  <c r="T68" i="1" s="1"/>
  <c r="T45" i="1"/>
  <c r="T70" i="1" s="1"/>
  <c r="T46" i="1"/>
  <c r="T71" i="1" s="1"/>
  <c r="T47" i="1"/>
  <c r="T72" i="1" s="1"/>
  <c r="T48" i="1"/>
  <c r="T73" i="1" s="1"/>
  <c r="T49" i="1"/>
  <c r="T74" i="1" s="1"/>
  <c r="T50" i="1"/>
  <c r="T75" i="1" s="1"/>
  <c r="T51" i="1"/>
  <c r="T76" i="1" s="1"/>
  <c r="R42" i="1"/>
  <c r="R67" i="1" s="1"/>
  <c r="R43" i="1"/>
  <c r="R68" i="1" s="1"/>
  <c r="R44" i="1"/>
  <c r="R69" i="1" s="1"/>
  <c r="R45" i="1"/>
  <c r="R70" i="1" s="1"/>
  <c r="R46" i="1"/>
  <c r="R71" i="1" s="1"/>
  <c r="R47" i="1"/>
  <c r="R72" i="1" s="1"/>
  <c r="R48" i="1"/>
  <c r="R73" i="1" s="1"/>
  <c r="R49" i="1"/>
  <c r="R74" i="1" s="1"/>
  <c r="R50" i="1"/>
  <c r="R75" i="1" s="1"/>
  <c r="U37" i="1"/>
  <c r="U38" i="1"/>
  <c r="U39" i="1"/>
  <c r="U51" i="1" s="1"/>
  <c r="U76" i="1" s="1"/>
  <c r="O2" i="1"/>
  <c r="AD27" i="1" s="1"/>
  <c r="AC27" i="1"/>
  <c r="M8" i="1"/>
  <c r="AB30" i="1" s="1"/>
  <c r="N6" i="1"/>
  <c r="L10" i="1"/>
  <c r="AA31" i="1" s="1"/>
  <c r="N4" i="1"/>
  <c r="K12" i="1"/>
  <c r="Z32" i="1" s="1"/>
  <c r="H16" i="1"/>
  <c r="W34" i="1" s="1"/>
  <c r="I14" i="1"/>
  <c r="X33" i="1" s="1"/>
  <c r="H18" i="1"/>
  <c r="W35" i="1" s="1"/>
  <c r="G20" i="1"/>
  <c r="V36" i="1" s="1"/>
  <c r="F22" i="1"/>
  <c r="M3" i="1"/>
  <c r="D51" i="1"/>
  <c r="D52" i="1"/>
  <c r="D53" i="1"/>
  <c r="D54" i="1"/>
  <c r="D55" i="1"/>
  <c r="D56" i="1"/>
  <c r="D57" i="1"/>
  <c r="D58" i="1"/>
  <c r="D59" i="1"/>
  <c r="E63" i="1"/>
  <c r="E62" i="1"/>
  <c r="E21" i="1"/>
  <c r="E19" i="1"/>
  <c r="F17" i="1"/>
  <c r="G15" i="1"/>
  <c r="H13" i="1"/>
  <c r="I11" i="1"/>
  <c r="J9" i="1"/>
  <c r="K7" i="1"/>
  <c r="L5" i="1"/>
  <c r="BC92" i="1" l="1"/>
  <c r="BC105" i="1" s="1"/>
  <c r="AZ105" i="1"/>
  <c r="BD92" i="1"/>
  <c r="BD105" i="1" s="1"/>
  <c r="BA105" i="1"/>
  <c r="AG27" i="1"/>
  <c r="AE27" i="1"/>
  <c r="AF27" i="1"/>
  <c r="U42" i="1"/>
  <c r="U67" i="1" s="1"/>
  <c r="U44" i="1"/>
  <c r="U69" i="1" s="1"/>
  <c r="U43" i="1"/>
  <c r="U68" i="1" s="1"/>
  <c r="U45" i="1"/>
  <c r="U70" i="1" s="1"/>
  <c r="U46" i="1"/>
  <c r="U71" i="1" s="1"/>
  <c r="U47" i="1"/>
  <c r="U72" i="1" s="1"/>
  <c r="U48" i="1"/>
  <c r="U73" i="1" s="1"/>
  <c r="U50" i="1"/>
  <c r="U75" i="1" s="1"/>
  <c r="U49" i="1"/>
  <c r="U74" i="1" s="1"/>
  <c r="V39" i="1"/>
  <c r="V51" i="1" s="1"/>
  <c r="V76" i="1" s="1"/>
  <c r="V38" i="1"/>
  <c r="V37" i="1"/>
  <c r="O4" i="1"/>
  <c r="AD28" i="1" s="1"/>
  <c r="AC28" i="1"/>
  <c r="O6" i="1"/>
  <c r="AD29" i="1" s="1"/>
  <c r="AC29" i="1"/>
  <c r="L12" i="1"/>
  <c r="AA32" i="1" s="1"/>
  <c r="N8" i="1"/>
  <c r="J14" i="1"/>
  <c r="Y33" i="1" s="1"/>
  <c r="M10" i="1"/>
  <c r="AB31" i="1" s="1"/>
  <c r="I18" i="1"/>
  <c r="X35" i="1" s="1"/>
  <c r="I16" i="1"/>
  <c r="X34" i="1" s="1"/>
  <c r="H20" i="1"/>
  <c r="W36" i="1" s="1"/>
  <c r="G22" i="1"/>
  <c r="N3" i="1"/>
  <c r="F63" i="1"/>
  <c r="F62" i="1"/>
  <c r="E51" i="1"/>
  <c r="E52" i="1"/>
  <c r="E53" i="1"/>
  <c r="E54" i="1"/>
  <c r="E55" i="1"/>
  <c r="E56" i="1"/>
  <c r="E57" i="1"/>
  <c r="E58" i="1"/>
  <c r="E59" i="1"/>
  <c r="E60" i="1"/>
  <c r="F21" i="1"/>
  <c r="F19" i="1"/>
  <c r="G17" i="1"/>
  <c r="H15" i="1"/>
  <c r="I13" i="1"/>
  <c r="J11" i="1"/>
  <c r="K9" i="1"/>
  <c r="L7" i="1"/>
  <c r="M5" i="1"/>
  <c r="R54" i="1" l="1"/>
  <c r="R80" i="1" s="1"/>
  <c r="T54" i="1"/>
  <c r="T80" i="1" s="1"/>
  <c r="S54" i="1"/>
  <c r="S80" i="1" s="1"/>
  <c r="U54" i="1"/>
  <c r="U80" i="1" s="1"/>
  <c r="V54" i="1"/>
  <c r="V80" i="1" s="1"/>
  <c r="W54" i="1"/>
  <c r="W80" i="1" s="1"/>
  <c r="X54" i="1"/>
  <c r="X80" i="1" s="1"/>
  <c r="Y54" i="1"/>
  <c r="Y80" i="1" s="1"/>
  <c r="Z54" i="1"/>
  <c r="Z80" i="1" s="1"/>
  <c r="AA54" i="1"/>
  <c r="AA80" i="1" s="1"/>
  <c r="AB54" i="1"/>
  <c r="AB80" i="1" s="1"/>
  <c r="AD54" i="1"/>
  <c r="AD80" i="1" s="1"/>
  <c r="AC54" i="1"/>
  <c r="AC80" i="1" s="1"/>
  <c r="AG29" i="1"/>
  <c r="AD56" i="1" s="1"/>
  <c r="AD82" i="1" s="1"/>
  <c r="AE29" i="1"/>
  <c r="AF29" i="1"/>
  <c r="AE28" i="1"/>
  <c r="AG28" i="1"/>
  <c r="AF28" i="1"/>
  <c r="V42" i="1"/>
  <c r="V67" i="1" s="1"/>
  <c r="V44" i="1"/>
  <c r="V69" i="1" s="1"/>
  <c r="V43" i="1"/>
  <c r="V68" i="1" s="1"/>
  <c r="V45" i="1"/>
  <c r="V70" i="1" s="1"/>
  <c r="V46" i="1"/>
  <c r="V71" i="1" s="1"/>
  <c r="V47" i="1"/>
  <c r="V72" i="1" s="1"/>
  <c r="V48" i="1"/>
  <c r="V73" i="1" s="1"/>
  <c r="V49" i="1"/>
  <c r="V74" i="1" s="1"/>
  <c r="V50" i="1"/>
  <c r="V75" i="1" s="1"/>
  <c r="W38" i="1"/>
  <c r="W37" i="1"/>
  <c r="W39" i="1"/>
  <c r="W51" i="1" s="1"/>
  <c r="W76" i="1" s="1"/>
  <c r="O8" i="1"/>
  <c r="AD30" i="1" s="1"/>
  <c r="AC30" i="1"/>
  <c r="M12" i="1"/>
  <c r="AB32" i="1" s="1"/>
  <c r="J18" i="1"/>
  <c r="Y35" i="1" s="1"/>
  <c r="N10" i="1"/>
  <c r="K14" i="1"/>
  <c r="Z33" i="1" s="1"/>
  <c r="J16" i="1"/>
  <c r="Y34" i="1" s="1"/>
  <c r="I20" i="1"/>
  <c r="X36" i="1" s="1"/>
  <c r="H22" i="1"/>
  <c r="O5" i="1"/>
  <c r="O3" i="1"/>
  <c r="G62" i="1"/>
  <c r="G63" i="1"/>
  <c r="G60" i="1" s="1"/>
  <c r="F51" i="1"/>
  <c r="F52" i="1"/>
  <c r="F53" i="1"/>
  <c r="F54" i="1"/>
  <c r="F55" i="1"/>
  <c r="F56" i="1"/>
  <c r="F57" i="1"/>
  <c r="F58" i="1"/>
  <c r="F59" i="1"/>
  <c r="F60" i="1"/>
  <c r="G21" i="1"/>
  <c r="G19" i="1"/>
  <c r="H17" i="1"/>
  <c r="I15" i="1"/>
  <c r="J13" i="1"/>
  <c r="K11" i="1"/>
  <c r="L9" i="1"/>
  <c r="M7" i="1"/>
  <c r="N5" i="1"/>
  <c r="R55" i="1" l="1"/>
  <c r="R81" i="1" s="1"/>
  <c r="S55" i="1"/>
  <c r="S81" i="1" s="1"/>
  <c r="T55" i="1"/>
  <c r="T81" i="1" s="1"/>
  <c r="U55" i="1"/>
  <c r="U81" i="1" s="1"/>
  <c r="V55" i="1"/>
  <c r="V81" i="1" s="1"/>
  <c r="W55" i="1"/>
  <c r="W81" i="1" s="1"/>
  <c r="X55" i="1"/>
  <c r="X81" i="1" s="1"/>
  <c r="Y55" i="1"/>
  <c r="Y81" i="1" s="1"/>
  <c r="Z55" i="1"/>
  <c r="Z81" i="1" s="1"/>
  <c r="AA55" i="1"/>
  <c r="AA81" i="1" s="1"/>
  <c r="AB55" i="1"/>
  <c r="AB81" i="1" s="1"/>
  <c r="AD55" i="1"/>
  <c r="AD81" i="1" s="1"/>
  <c r="R56" i="1"/>
  <c r="R82" i="1" s="1"/>
  <c r="S56" i="1"/>
  <c r="S82" i="1" s="1"/>
  <c r="T56" i="1"/>
  <c r="T82" i="1" s="1"/>
  <c r="U56" i="1"/>
  <c r="U82" i="1" s="1"/>
  <c r="V56" i="1"/>
  <c r="V82" i="1" s="1"/>
  <c r="W56" i="1"/>
  <c r="W82" i="1" s="1"/>
  <c r="X56" i="1"/>
  <c r="X82" i="1" s="1"/>
  <c r="Y56" i="1"/>
  <c r="Y82" i="1" s="1"/>
  <c r="Z56" i="1"/>
  <c r="Z82" i="1" s="1"/>
  <c r="AA56" i="1"/>
  <c r="AA82" i="1" s="1"/>
  <c r="AB56" i="1"/>
  <c r="AB82" i="1" s="1"/>
  <c r="AC56" i="1"/>
  <c r="AC82" i="1" s="1"/>
  <c r="AC55" i="1"/>
  <c r="AC81" i="1" s="1"/>
  <c r="AG30" i="1"/>
  <c r="AD57" i="1" s="1"/>
  <c r="AD83" i="1" s="1"/>
  <c r="AE30" i="1"/>
  <c r="AF30" i="1"/>
  <c r="W42" i="1"/>
  <c r="W67" i="1" s="1"/>
  <c r="W43" i="1"/>
  <c r="W68" i="1" s="1"/>
  <c r="W44" i="1"/>
  <c r="W69" i="1" s="1"/>
  <c r="W45" i="1"/>
  <c r="W70" i="1" s="1"/>
  <c r="W46" i="1"/>
  <c r="W71" i="1" s="1"/>
  <c r="W47" i="1"/>
  <c r="W72" i="1" s="1"/>
  <c r="W48" i="1"/>
  <c r="W73" i="1" s="1"/>
  <c r="W50" i="1"/>
  <c r="W75" i="1" s="1"/>
  <c r="W49" i="1"/>
  <c r="W74" i="1" s="1"/>
  <c r="X38" i="1"/>
  <c r="X37" i="1"/>
  <c r="X39" i="1"/>
  <c r="O10" i="1"/>
  <c r="AD31" i="1" s="1"/>
  <c r="AC31" i="1"/>
  <c r="K18" i="1"/>
  <c r="Z35" i="1" s="1"/>
  <c r="L14" i="1"/>
  <c r="AA33" i="1" s="1"/>
  <c r="K16" i="1"/>
  <c r="Z34" i="1" s="1"/>
  <c r="N12" i="1"/>
  <c r="J20" i="1"/>
  <c r="Y36" i="1" s="1"/>
  <c r="I22" i="1"/>
  <c r="O7" i="1"/>
  <c r="I62" i="1"/>
  <c r="H62" i="1"/>
  <c r="H63" i="1"/>
  <c r="H60" i="1" s="1"/>
  <c r="G51" i="1"/>
  <c r="G52" i="1"/>
  <c r="G53" i="1"/>
  <c r="G54" i="1"/>
  <c r="G55" i="1"/>
  <c r="G56" i="1"/>
  <c r="G57" i="1"/>
  <c r="G58" i="1"/>
  <c r="G59" i="1"/>
  <c r="H21" i="1"/>
  <c r="H19" i="1"/>
  <c r="I17" i="1"/>
  <c r="J15" i="1"/>
  <c r="K13" i="1"/>
  <c r="L11" i="1"/>
  <c r="M9" i="1"/>
  <c r="N7" i="1"/>
  <c r="AC57" i="1" l="1"/>
  <c r="AC83" i="1" s="1"/>
  <c r="R57" i="1"/>
  <c r="R83" i="1" s="1"/>
  <c r="T57" i="1"/>
  <c r="T83" i="1" s="1"/>
  <c r="S57" i="1"/>
  <c r="S83" i="1" s="1"/>
  <c r="U57" i="1"/>
  <c r="U83" i="1" s="1"/>
  <c r="V57" i="1"/>
  <c r="V83" i="1" s="1"/>
  <c r="W57" i="1"/>
  <c r="W83" i="1" s="1"/>
  <c r="X57" i="1"/>
  <c r="X83" i="1" s="1"/>
  <c r="Y57" i="1"/>
  <c r="Y83" i="1" s="1"/>
  <c r="Z57" i="1"/>
  <c r="Z83" i="1" s="1"/>
  <c r="AA57" i="1"/>
  <c r="AA83" i="1" s="1"/>
  <c r="AB57" i="1"/>
  <c r="AB83" i="1" s="1"/>
  <c r="AG31" i="1"/>
  <c r="AD58" i="1" s="1"/>
  <c r="AD84" i="1" s="1"/>
  <c r="AF31" i="1"/>
  <c r="AE31" i="1"/>
  <c r="X42" i="1"/>
  <c r="X67" i="1" s="1"/>
  <c r="X43" i="1"/>
  <c r="X68" i="1" s="1"/>
  <c r="X44" i="1"/>
  <c r="X69" i="1" s="1"/>
  <c r="X45" i="1"/>
  <c r="X70" i="1" s="1"/>
  <c r="X46" i="1"/>
  <c r="X71" i="1" s="1"/>
  <c r="X47" i="1"/>
  <c r="X72" i="1" s="1"/>
  <c r="X48" i="1"/>
  <c r="X73" i="1" s="1"/>
  <c r="X49" i="1"/>
  <c r="X74" i="1" s="1"/>
  <c r="X50" i="1"/>
  <c r="X75" i="1" s="1"/>
  <c r="X51" i="1"/>
  <c r="X76" i="1" s="1"/>
  <c r="Y37" i="1"/>
  <c r="Y38" i="1"/>
  <c r="Y39" i="1"/>
  <c r="Y51" i="1" s="1"/>
  <c r="Y76" i="1" s="1"/>
  <c r="O12" i="1"/>
  <c r="AD32" i="1" s="1"/>
  <c r="AC32" i="1"/>
  <c r="L16" i="1"/>
  <c r="AA34" i="1" s="1"/>
  <c r="M14" i="1"/>
  <c r="AB33" i="1" s="1"/>
  <c r="L18" i="1"/>
  <c r="AA35" i="1" s="1"/>
  <c r="K20" i="1"/>
  <c r="Z36" i="1" s="1"/>
  <c r="J22" i="1"/>
  <c r="J63" i="1"/>
  <c r="I63" i="1"/>
  <c r="H51" i="1"/>
  <c r="H52" i="1"/>
  <c r="H53" i="1"/>
  <c r="H54" i="1"/>
  <c r="H55" i="1"/>
  <c r="H56" i="1"/>
  <c r="H57" i="1"/>
  <c r="H58" i="1"/>
  <c r="H59" i="1"/>
  <c r="I21" i="1"/>
  <c r="I19" i="1"/>
  <c r="J17" i="1"/>
  <c r="K15" i="1"/>
  <c r="L13" i="1"/>
  <c r="M11" i="1"/>
  <c r="N9" i="1"/>
  <c r="AC58" i="1" l="1"/>
  <c r="AC84" i="1" s="1"/>
  <c r="T58" i="1"/>
  <c r="T84" i="1" s="1"/>
  <c r="R58" i="1"/>
  <c r="R84" i="1" s="1"/>
  <c r="S58" i="1"/>
  <c r="S84" i="1" s="1"/>
  <c r="U58" i="1"/>
  <c r="U84" i="1" s="1"/>
  <c r="V58" i="1"/>
  <c r="V84" i="1" s="1"/>
  <c r="W58" i="1"/>
  <c r="W84" i="1" s="1"/>
  <c r="X58" i="1"/>
  <c r="X84" i="1" s="1"/>
  <c r="Y58" i="1"/>
  <c r="Y84" i="1" s="1"/>
  <c r="Z58" i="1"/>
  <c r="Z84" i="1" s="1"/>
  <c r="AA58" i="1"/>
  <c r="AA84" i="1" s="1"/>
  <c r="AB58" i="1"/>
  <c r="AB84" i="1" s="1"/>
  <c r="AG32" i="1"/>
  <c r="AC59" i="1" s="1"/>
  <c r="AC85" i="1" s="1"/>
  <c r="AF32" i="1"/>
  <c r="AE32" i="1"/>
  <c r="Y42" i="1"/>
  <c r="Y67" i="1" s="1"/>
  <c r="Y44" i="1"/>
  <c r="Y69" i="1" s="1"/>
  <c r="Y43" i="1"/>
  <c r="Y68" i="1" s="1"/>
  <c r="Y45" i="1"/>
  <c r="Y70" i="1" s="1"/>
  <c r="Y46" i="1"/>
  <c r="Y71" i="1" s="1"/>
  <c r="Y47" i="1"/>
  <c r="Y72" i="1" s="1"/>
  <c r="Y48" i="1"/>
  <c r="Y73" i="1" s="1"/>
  <c r="Y49" i="1"/>
  <c r="Y74" i="1" s="1"/>
  <c r="Y50" i="1"/>
  <c r="Y75" i="1" s="1"/>
  <c r="Z38" i="1"/>
  <c r="Z37" i="1"/>
  <c r="Z39" i="1"/>
  <c r="Z51" i="1" s="1"/>
  <c r="Z76" i="1" s="1"/>
  <c r="M18" i="1"/>
  <c r="AB35" i="1" s="1"/>
  <c r="N14" i="1"/>
  <c r="M16" i="1"/>
  <c r="AB34" i="1" s="1"/>
  <c r="L20" i="1"/>
  <c r="AA36" i="1" s="1"/>
  <c r="K22" i="1"/>
  <c r="O9" i="1"/>
  <c r="O11" i="1"/>
  <c r="J51" i="1"/>
  <c r="J52" i="1"/>
  <c r="J53" i="1"/>
  <c r="J54" i="1"/>
  <c r="J55" i="1"/>
  <c r="J56" i="1"/>
  <c r="J57" i="1"/>
  <c r="J58" i="1"/>
  <c r="J59" i="1"/>
  <c r="K62" i="1"/>
  <c r="J60" i="1"/>
  <c r="J62" i="1"/>
  <c r="I51" i="1"/>
  <c r="I52" i="1"/>
  <c r="I53" i="1"/>
  <c r="I54" i="1"/>
  <c r="I55" i="1"/>
  <c r="I56" i="1"/>
  <c r="I57" i="1"/>
  <c r="I58" i="1"/>
  <c r="I59" i="1"/>
  <c r="I60" i="1"/>
  <c r="J21" i="1"/>
  <c r="J19" i="1"/>
  <c r="K17" i="1"/>
  <c r="L15" i="1"/>
  <c r="M13" i="1"/>
  <c r="N11" i="1"/>
  <c r="AD59" i="1" l="1"/>
  <c r="AD85" i="1" s="1"/>
  <c r="R59" i="1"/>
  <c r="R85" i="1" s="1"/>
  <c r="T59" i="1"/>
  <c r="T85" i="1" s="1"/>
  <c r="S59" i="1"/>
  <c r="S85" i="1" s="1"/>
  <c r="U59" i="1"/>
  <c r="U85" i="1" s="1"/>
  <c r="V59" i="1"/>
  <c r="V85" i="1" s="1"/>
  <c r="W59" i="1"/>
  <c r="W85" i="1" s="1"/>
  <c r="X59" i="1"/>
  <c r="X85" i="1" s="1"/>
  <c r="Y59" i="1"/>
  <c r="Y85" i="1" s="1"/>
  <c r="Z59" i="1"/>
  <c r="Z85" i="1" s="1"/>
  <c r="AA59" i="1"/>
  <c r="AA85" i="1" s="1"/>
  <c r="AB59" i="1"/>
  <c r="AB85" i="1" s="1"/>
  <c r="Z42" i="1"/>
  <c r="Z67" i="1" s="1"/>
  <c r="Z44" i="1"/>
  <c r="Z69" i="1" s="1"/>
  <c r="Z43" i="1"/>
  <c r="Z68" i="1" s="1"/>
  <c r="Z45" i="1"/>
  <c r="Z70" i="1" s="1"/>
  <c r="Z46" i="1"/>
  <c r="Z71" i="1" s="1"/>
  <c r="Z47" i="1"/>
  <c r="Z72" i="1" s="1"/>
  <c r="Z48" i="1"/>
  <c r="Z73" i="1" s="1"/>
  <c r="Z49" i="1"/>
  <c r="Z74" i="1" s="1"/>
  <c r="Z50" i="1"/>
  <c r="Z75" i="1" s="1"/>
  <c r="AA37" i="1"/>
  <c r="AA38" i="1"/>
  <c r="AA39" i="1"/>
  <c r="O14" i="1"/>
  <c r="AD33" i="1" s="1"/>
  <c r="AC33" i="1"/>
  <c r="N18" i="1"/>
  <c r="N16" i="1"/>
  <c r="M20" i="1"/>
  <c r="AB36" i="1" s="1"/>
  <c r="L22" i="1"/>
  <c r="L63" i="1"/>
  <c r="K63" i="1"/>
  <c r="K60" i="1" s="1"/>
  <c r="K21" i="1"/>
  <c r="K19" i="1"/>
  <c r="L17" i="1"/>
  <c r="M15" i="1"/>
  <c r="N13" i="1"/>
  <c r="AF33" i="1" l="1"/>
  <c r="AE33" i="1"/>
  <c r="AG33" i="1"/>
  <c r="AA42" i="1"/>
  <c r="AA67" i="1" s="1"/>
  <c r="AA43" i="1"/>
  <c r="AA68" i="1" s="1"/>
  <c r="AA44" i="1"/>
  <c r="AA69" i="1" s="1"/>
  <c r="AA45" i="1"/>
  <c r="AA70" i="1" s="1"/>
  <c r="AA46" i="1"/>
  <c r="AA71" i="1" s="1"/>
  <c r="AA47" i="1"/>
  <c r="AA72" i="1" s="1"/>
  <c r="AA48" i="1"/>
  <c r="AA73" i="1" s="1"/>
  <c r="AA50" i="1"/>
  <c r="AA75" i="1" s="1"/>
  <c r="AA49" i="1"/>
  <c r="AA74" i="1" s="1"/>
  <c r="AA51" i="1"/>
  <c r="AA76" i="1" s="1"/>
  <c r="AB37" i="1"/>
  <c r="AB39" i="1"/>
  <c r="AB38" i="1"/>
  <c r="O13" i="1"/>
  <c r="O16" i="1"/>
  <c r="AD34" i="1" s="1"/>
  <c r="AC34" i="1"/>
  <c r="O18" i="1"/>
  <c r="AD35" i="1" s="1"/>
  <c r="AC35" i="1"/>
  <c r="N20" i="1"/>
  <c r="AC36" i="1" s="1"/>
  <c r="M22" i="1"/>
  <c r="L62" i="1"/>
  <c r="L51" i="1"/>
  <c r="L52" i="1"/>
  <c r="L53" i="1"/>
  <c r="L54" i="1"/>
  <c r="L55" i="1"/>
  <c r="L56" i="1"/>
  <c r="L57" i="1"/>
  <c r="L58" i="1"/>
  <c r="L59" i="1"/>
  <c r="K51" i="1"/>
  <c r="K52" i="1"/>
  <c r="K53" i="1"/>
  <c r="K54" i="1"/>
  <c r="K55" i="1"/>
  <c r="K56" i="1"/>
  <c r="K57" i="1"/>
  <c r="K58" i="1"/>
  <c r="K59" i="1"/>
  <c r="M63" i="1"/>
  <c r="M59" i="1" s="1"/>
  <c r="L60" i="1"/>
  <c r="L21" i="1"/>
  <c r="L19" i="1"/>
  <c r="M17" i="1"/>
  <c r="N15" i="1"/>
  <c r="R60" i="1" l="1"/>
  <c r="R86" i="1" s="1"/>
  <c r="T60" i="1"/>
  <c r="T86" i="1" s="1"/>
  <c r="S60" i="1"/>
  <c r="S86" i="1" s="1"/>
  <c r="U60" i="1"/>
  <c r="U86" i="1" s="1"/>
  <c r="V60" i="1"/>
  <c r="V86" i="1" s="1"/>
  <c r="W60" i="1"/>
  <c r="W86" i="1" s="1"/>
  <c r="X60" i="1"/>
  <c r="X86" i="1" s="1"/>
  <c r="Y60" i="1"/>
  <c r="Y86" i="1" s="1"/>
  <c r="Z60" i="1"/>
  <c r="Z86" i="1" s="1"/>
  <c r="AA60" i="1"/>
  <c r="AA86" i="1" s="1"/>
  <c r="AB60" i="1"/>
  <c r="AB86" i="1" s="1"/>
  <c r="AD60" i="1"/>
  <c r="AD86" i="1" s="1"/>
  <c r="AC60" i="1"/>
  <c r="AC86" i="1" s="1"/>
  <c r="AF35" i="1"/>
  <c r="AE35" i="1"/>
  <c r="AG35" i="1"/>
  <c r="AE34" i="1"/>
  <c r="AG34" i="1"/>
  <c r="AF34" i="1"/>
  <c r="AB42" i="1"/>
  <c r="AB67" i="1" s="1"/>
  <c r="AB44" i="1"/>
  <c r="AB69" i="1" s="1"/>
  <c r="AB43" i="1"/>
  <c r="AB68" i="1" s="1"/>
  <c r="AB45" i="1"/>
  <c r="AB70" i="1" s="1"/>
  <c r="AB46" i="1"/>
  <c r="AB71" i="1" s="1"/>
  <c r="AB47" i="1"/>
  <c r="AB72" i="1" s="1"/>
  <c r="AB48" i="1"/>
  <c r="AB73" i="1" s="1"/>
  <c r="AB49" i="1"/>
  <c r="AB74" i="1" s="1"/>
  <c r="AB50" i="1"/>
  <c r="AB75" i="1" s="1"/>
  <c r="AB51" i="1"/>
  <c r="AB76" i="1" s="1"/>
  <c r="AC38" i="1"/>
  <c r="AC39" i="1"/>
  <c r="AC50" i="1" s="1"/>
  <c r="AC75" i="1" s="1"/>
  <c r="AC37" i="1"/>
  <c r="O20" i="1"/>
  <c r="N22" i="1"/>
  <c r="O17" i="1"/>
  <c r="M51" i="1"/>
  <c r="M52" i="1"/>
  <c r="M53" i="1"/>
  <c r="M54" i="1"/>
  <c r="M55" i="1"/>
  <c r="M56" i="1"/>
  <c r="M57" i="1"/>
  <c r="M58" i="1"/>
  <c r="O15" i="1"/>
  <c r="M60" i="1"/>
  <c r="M62" i="1"/>
  <c r="M21" i="1"/>
  <c r="M19" i="1"/>
  <c r="N17" i="1"/>
  <c r="R61" i="1" l="1"/>
  <c r="R87" i="1" s="1"/>
  <c r="T61" i="1"/>
  <c r="T87" i="1" s="1"/>
  <c r="S61" i="1"/>
  <c r="S87" i="1" s="1"/>
  <c r="U61" i="1"/>
  <c r="U87" i="1" s="1"/>
  <c r="V61" i="1"/>
  <c r="V87" i="1" s="1"/>
  <c r="W61" i="1"/>
  <c r="W87" i="1" s="1"/>
  <c r="X61" i="1"/>
  <c r="X87" i="1" s="1"/>
  <c r="Y61" i="1"/>
  <c r="Y87" i="1" s="1"/>
  <c r="Z61" i="1"/>
  <c r="Z87" i="1" s="1"/>
  <c r="AA61" i="1"/>
  <c r="AA87" i="1" s="1"/>
  <c r="AB61" i="1"/>
  <c r="AB87" i="1" s="1"/>
  <c r="AD61" i="1"/>
  <c r="AD87" i="1" s="1"/>
  <c r="R62" i="1"/>
  <c r="R88" i="1" s="1"/>
  <c r="S62" i="1"/>
  <c r="S88" i="1" s="1"/>
  <c r="T62" i="1"/>
  <c r="T88" i="1" s="1"/>
  <c r="U62" i="1"/>
  <c r="U88" i="1" s="1"/>
  <c r="V62" i="1"/>
  <c r="V88" i="1" s="1"/>
  <c r="W62" i="1"/>
  <c r="W88" i="1" s="1"/>
  <c r="X62" i="1"/>
  <c r="X88" i="1" s="1"/>
  <c r="Y62" i="1"/>
  <c r="Y88" i="1" s="1"/>
  <c r="Z62" i="1"/>
  <c r="Z88" i="1" s="1"/>
  <c r="AA62" i="1"/>
  <c r="AA88" i="1" s="1"/>
  <c r="AB62" i="1"/>
  <c r="AB88" i="1" s="1"/>
  <c r="AC61" i="1"/>
  <c r="AC87" i="1" s="1"/>
  <c r="AC62" i="1"/>
  <c r="AC88" i="1" s="1"/>
  <c r="AD62" i="1"/>
  <c r="AD88" i="1" s="1"/>
  <c r="AC49" i="1"/>
  <c r="AC74" i="1" s="1"/>
  <c r="AC51" i="1"/>
  <c r="AC76" i="1" s="1"/>
  <c r="AC42" i="1"/>
  <c r="AC67" i="1" s="1"/>
  <c r="AC43" i="1"/>
  <c r="AC68" i="1" s="1"/>
  <c r="AC44" i="1"/>
  <c r="AC69" i="1" s="1"/>
  <c r="AC45" i="1"/>
  <c r="AC70" i="1" s="1"/>
  <c r="AC46" i="1"/>
  <c r="AC71" i="1" s="1"/>
  <c r="AC47" i="1"/>
  <c r="AC72" i="1" s="1"/>
  <c r="AC48" i="1"/>
  <c r="AC73" i="1" s="1"/>
  <c r="O22" i="1"/>
  <c r="AD36" i="1"/>
  <c r="N63" i="1"/>
  <c r="N62" i="1"/>
  <c r="N21" i="1"/>
  <c r="N19" i="1"/>
  <c r="AE36" i="1" l="1"/>
  <c r="AF36" i="1"/>
  <c r="AG36" i="1"/>
  <c r="AD39" i="1"/>
  <c r="AD38" i="1"/>
  <c r="AD37" i="1"/>
  <c r="O63" i="1"/>
  <c r="O60" i="1" s="1"/>
  <c r="O62" i="1"/>
  <c r="N51" i="1"/>
  <c r="N52" i="1"/>
  <c r="N53" i="1"/>
  <c r="N54" i="1"/>
  <c r="N55" i="1"/>
  <c r="N56" i="1"/>
  <c r="N57" i="1"/>
  <c r="N58" i="1"/>
  <c r="N59" i="1"/>
  <c r="N60" i="1"/>
  <c r="O21" i="1"/>
  <c r="O19" i="1"/>
  <c r="S63" i="1" l="1"/>
  <c r="S89" i="1" s="1"/>
  <c r="T63" i="1"/>
  <c r="T89" i="1" s="1"/>
  <c r="R63" i="1"/>
  <c r="R89" i="1" s="1"/>
  <c r="U63" i="1"/>
  <c r="U89" i="1" s="1"/>
  <c r="V63" i="1"/>
  <c r="V89" i="1" s="1"/>
  <c r="W63" i="1"/>
  <c r="W89" i="1" s="1"/>
  <c r="X63" i="1"/>
  <c r="X89" i="1" s="1"/>
  <c r="Y63" i="1"/>
  <c r="Y89" i="1" s="1"/>
  <c r="Z63" i="1"/>
  <c r="Z89" i="1" s="1"/>
  <c r="AA63" i="1"/>
  <c r="AA89" i="1" s="1"/>
  <c r="AB63" i="1"/>
  <c r="AB89" i="1" s="1"/>
  <c r="AC63" i="1"/>
  <c r="AC89" i="1" s="1"/>
  <c r="AD63" i="1"/>
  <c r="AD89" i="1" s="1"/>
  <c r="AD42" i="1"/>
  <c r="AD67" i="1" s="1"/>
  <c r="AD43" i="1"/>
  <c r="AD68" i="1" s="1"/>
  <c r="AD44" i="1"/>
  <c r="AD69" i="1" s="1"/>
  <c r="AD45" i="1"/>
  <c r="AD70" i="1" s="1"/>
  <c r="AD46" i="1"/>
  <c r="AD71" i="1" s="1"/>
  <c r="AD47" i="1"/>
  <c r="AD72" i="1" s="1"/>
  <c r="AD48" i="1"/>
  <c r="AD73" i="1" s="1"/>
  <c r="AD50" i="1"/>
  <c r="AD75" i="1" s="1"/>
  <c r="AD49" i="1"/>
  <c r="AD74" i="1" s="1"/>
  <c r="AD51" i="1"/>
  <c r="AD76" i="1" s="1"/>
  <c r="O51" i="1"/>
  <c r="O52" i="1"/>
  <c r="O53" i="1"/>
  <c r="O54" i="1"/>
  <c r="O55" i="1"/>
  <c r="O56" i="1"/>
  <c r="O57" i="1"/>
  <c r="O58" i="1"/>
  <c r="O59" i="1"/>
</calcChain>
</file>

<file path=xl/sharedStrings.xml><?xml version="1.0" encoding="utf-8"?>
<sst xmlns="http://schemas.openxmlformats.org/spreadsheetml/2006/main" count="49" uniqueCount="46">
  <si>
    <t>Step</t>
  </si>
  <si>
    <t>Description</t>
  </si>
  <si>
    <t>Yr 0</t>
  </si>
  <si>
    <t>Yr 1</t>
  </si>
  <si>
    <t>Yr 2</t>
  </si>
  <si>
    <t>Yr 3</t>
  </si>
  <si>
    <t>Yr 4</t>
  </si>
  <si>
    <t>Yr 5</t>
  </si>
  <si>
    <t>Yr 6</t>
  </si>
  <si>
    <t>Yr 7</t>
  </si>
  <si>
    <t>Yr 8</t>
  </si>
  <si>
    <t>Yr 9</t>
  </si>
  <si>
    <t>Yr 10</t>
  </si>
  <si>
    <t>Yr 15</t>
  </si>
  <si>
    <t>Yr 20</t>
  </si>
  <si>
    <t>Decimal Precision</t>
  </si>
  <si>
    <t>Total $ Difference:</t>
  </si>
  <si>
    <t>Total % Difference:</t>
  </si>
  <si>
    <t>(130% zoom is about print size…maybe 2% smaller)</t>
  </si>
  <si>
    <t>max:</t>
  </si>
  <si>
    <t>min:</t>
  </si>
  <si>
    <t>Raw Data</t>
  </si>
  <si>
    <t>col min</t>
  </si>
  <si>
    <t>col max</t>
  </si>
  <si>
    <t>col abs max</t>
  </si>
  <si>
    <t>Col Proportion</t>
  </si>
  <si>
    <t>Row Proportion</t>
  </si>
  <si>
    <t>row min</t>
  </si>
  <si>
    <t>row max</t>
  </si>
  <si>
    <t>row abs max</t>
  </si>
  <si>
    <t>Report Grid, X-Axis</t>
  </si>
  <si>
    <t>Report Grid, Y-Axis</t>
  </si>
  <si>
    <t>Vertical Lines, X-Axis</t>
  </si>
  <si>
    <t>Vertical Lines, Y-Axis</t>
  </si>
  <si>
    <t>Horizontal Lines, X-Axis</t>
  </si>
  <si>
    <t>Horizontal Lines, Y-Axis</t>
  </si>
  <si>
    <t>Version</t>
  </si>
  <si>
    <t>Date</t>
  </si>
  <si>
    <t>Maker</t>
  </si>
  <si>
    <t>v0.1</t>
  </si>
  <si>
    <t>Alex Filiakov</t>
  </si>
  <si>
    <t>Established data generatornd basic look.</t>
  </si>
  <si>
    <t>v0.2</t>
  </si>
  <si>
    <t>Started Waterfall Grid macro, but not functional.</t>
  </si>
  <si>
    <t>v0.3</t>
  </si>
  <si>
    <t>Waterfall Grid macro works for Vertical Lines only (no horizontal, not a general solution).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</si>
</sst>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_);[Red]\-#,##0.00_)"/>
    <numFmt numFmtId="165" formatCode="0.00%_);[Red]\(0.00%\)"/>
    <numFmt numFmtId="166" formatCode="_(#,##0.00_);[Red]\(#,##0.00\)"/>
  </numFmts>
  <fonts count="8" x14ac:knownFonts="1">
    <font>
      <sz val="11"/>
      <color theme="1"/>
      <name val="Calibri"/>
      <family val="2"/>
      <scheme val="minor"/>
    </font>
    <font>
      <sz val="11"/>
      <color theme="1"/>
      <name val="Calibri"/>
      <family val="2"/>
      <scheme val="minor"/>
    </font>
    <font>
      <sz val="11"/>
      <color rgb="FF3F3F76"/>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sz val="8"/>
      <color theme="1"/>
      <name val="Calibri"/>
      <family val="2"/>
      <scheme val="minor"/>
    </font>
    <font>
      <b/>
      <sz val="8"/>
      <color theme="1"/>
      <name val="Calibri"/>
      <family val="2"/>
      <scheme val="minor"/>
    </font>
  </fonts>
  <fills count="3">
    <fill>
      <patternFill patternType="none"/>
    </fill>
    <fill>
      <patternFill patternType="gray125"/>
    </fill>
    <fill>
      <patternFill patternType="solid">
        <fgColor rgb="FFFFCC9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s>
  <cellStyleXfs count="3">
    <xf numFmtId="0" fontId="0" fillId="0" borderId="0"/>
    <xf numFmtId="9" fontId="1" fillId="0" borderId="0" applyFont="0" applyFill="0" applyBorder="0" applyAlignment="0" applyProtection="0"/>
    <xf numFmtId="0" fontId="2" fillId="2" borderId="1" applyNumberFormat="0" applyAlignment="0" applyProtection="0"/>
  </cellStyleXfs>
  <cellXfs count="36">
    <xf numFmtId="0" fontId="0" fillId="0" borderId="0" xfId="0"/>
    <xf numFmtId="0" fontId="3" fillId="0" borderId="0" xfId="0" applyFont="1"/>
    <xf numFmtId="0" fontId="2" fillId="2" borderId="1" xfId="2"/>
    <xf numFmtId="0" fontId="5" fillId="0" borderId="0" xfId="0" applyFont="1" applyAlignment="1">
      <alignment horizontal="center"/>
    </xf>
    <xf numFmtId="0" fontId="5" fillId="0" borderId="0" xfId="0" applyFont="1" applyAlignment="1">
      <alignment horizontal="left" indent="1"/>
    </xf>
    <xf numFmtId="0" fontId="5" fillId="0" borderId="0" xfId="0" applyFont="1" applyAlignment="1">
      <alignment horizontal="right" indent="2"/>
    </xf>
    <xf numFmtId="0" fontId="4" fillId="0" borderId="0" xfId="0" applyFont="1"/>
    <xf numFmtId="0" fontId="5" fillId="0" borderId="0" xfId="0" applyFont="1" applyAlignment="1">
      <alignment horizontal="center" vertical="center"/>
    </xf>
    <xf numFmtId="164" fontId="6" fillId="0" borderId="0" xfId="0" applyNumberFormat="1" applyFont="1" applyAlignment="1">
      <alignment horizontal="right" vertical="center"/>
    </xf>
    <xf numFmtId="0" fontId="4" fillId="0" borderId="0" xfId="0" applyFont="1" applyAlignment="1">
      <alignment horizontal="center" vertical="center"/>
    </xf>
    <xf numFmtId="0" fontId="5" fillId="0" borderId="0" xfId="0" applyFont="1" applyAlignment="1">
      <alignment horizontal="right" vertical="center"/>
    </xf>
    <xf numFmtId="165" fontId="6" fillId="0" borderId="0" xfId="1" applyNumberFormat="1" applyFont="1" applyAlignment="1">
      <alignment horizontal="right" vertical="center"/>
    </xf>
    <xf numFmtId="0" fontId="4" fillId="0" borderId="0" xfId="0" applyFont="1" applyAlignment="1">
      <alignment horizontal="center"/>
    </xf>
    <xf numFmtId="0" fontId="4" fillId="0" borderId="0" xfId="0" applyFont="1" applyBorder="1" applyAlignment="1">
      <alignment horizontal="right"/>
    </xf>
    <xf numFmtId="40" fontId="4" fillId="0" borderId="0" xfId="0" applyNumberFormat="1" applyFont="1"/>
    <xf numFmtId="40" fontId="4" fillId="0" borderId="0" xfId="0" applyNumberFormat="1" applyFont="1" applyAlignment="1">
      <alignment vertical="center"/>
    </xf>
    <xf numFmtId="0" fontId="0" fillId="0" borderId="0" xfId="0" applyFont="1"/>
    <xf numFmtId="0" fontId="6" fillId="0" borderId="0" xfId="0" applyFont="1" applyAlignment="1">
      <alignment vertical="center"/>
    </xf>
    <xf numFmtId="40" fontId="7" fillId="0" borderId="0" xfId="0" applyNumberFormat="1" applyFont="1" applyAlignment="1">
      <alignment horizontal="right" vertical="center"/>
    </xf>
    <xf numFmtId="166" fontId="6" fillId="0" borderId="0" xfId="0" applyNumberFormat="1" applyFont="1" applyAlignment="1">
      <alignment horizontal="right" vertical="center"/>
    </xf>
    <xf numFmtId="0" fontId="5" fillId="0" borderId="0" xfId="0" applyFont="1"/>
    <xf numFmtId="40" fontId="4" fillId="0" borderId="0" xfId="0" applyNumberFormat="1" applyFont="1" applyAlignment="1">
      <alignment horizontal="right" vertical="center"/>
    </xf>
    <xf numFmtId="40" fontId="4" fillId="0" borderId="2" xfId="0" applyNumberFormat="1" applyFont="1" applyBorder="1" applyAlignment="1">
      <alignment horizontal="right" vertical="center"/>
    </xf>
    <xf numFmtId="0" fontId="4" fillId="0" borderId="0" xfId="0" applyFont="1" applyAlignment="1">
      <alignment horizontal="right" indent="1"/>
    </xf>
    <xf numFmtId="0" fontId="4" fillId="0" borderId="0" xfId="0" applyFont="1" applyAlignment="1">
      <alignment horizontal="left"/>
    </xf>
    <xf numFmtId="40" fontId="4" fillId="0" borderId="0" xfId="0" applyNumberFormat="1" applyFont="1" applyBorder="1"/>
    <xf numFmtId="0" fontId="0" fillId="0" borderId="0" xfId="0" applyAlignment="1">
      <alignment horizontal="center" vertical="center"/>
    </xf>
    <xf numFmtId="14" fontId="0" fillId="0" borderId="0" xfId="0" applyNumberFormat="1" applyAlignment="1">
      <alignment horizontal="center" vertical="center"/>
    </xf>
    <xf numFmtId="0" fontId="0" fillId="0" borderId="0" xfId="0" applyAlignment="1">
      <alignment vertical="center" wrapText="1"/>
    </xf>
    <xf numFmtId="0" fontId="0" fillId="0" borderId="0" xfId="0" applyAlignment="1">
      <alignment horizontal="center"/>
    </xf>
    <xf numFmtId="0" fontId="0" fillId="0" borderId="0" xfId="0" applyAlignment="1">
      <alignment wrapText="1"/>
    </xf>
    <xf numFmtId="0" fontId="5" fillId="0" borderId="0" xfId="0" applyFont="1" applyBorder="1" applyAlignment="1">
      <alignment horizontal="right" indent="2"/>
    </xf>
    <xf numFmtId="40" fontId="7" fillId="0" borderId="0" xfId="0" applyNumberFormat="1" applyFont="1" applyBorder="1" applyAlignment="1">
      <alignment horizontal="right" vertical="center"/>
    </xf>
    <xf numFmtId="164" fontId="6" fillId="0" borderId="0" xfId="0" applyNumberFormat="1" applyFont="1" applyBorder="1" applyAlignment="1">
      <alignment horizontal="right" vertical="center"/>
    </xf>
    <xf numFmtId="166" fontId="6" fillId="0" borderId="0" xfId="0" applyNumberFormat="1" applyFont="1" applyBorder="1" applyAlignment="1">
      <alignment horizontal="right" vertical="center"/>
    </xf>
    <xf numFmtId="165" fontId="6" fillId="0" borderId="0" xfId="1" applyNumberFormat="1" applyFont="1" applyBorder="1" applyAlignment="1">
      <alignment horizontal="right" vertical="center"/>
    </xf>
  </cellXfs>
  <cellStyles count="3">
    <cellStyle name="Input" xfId="2" builtinId="20"/>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Template!$E$50</c:f>
              <c:strCache>
                <c:ptCount val="1"/>
                <c:pt idx="0">
                  <c:v>Yr 2 as Proportion</c:v>
                </c:pt>
              </c:strCache>
            </c:strRef>
          </c:tx>
          <c:marker>
            <c:symbol val="circle"/>
            <c:size val="4"/>
            <c:spPr>
              <a:solidFill>
                <a:schemeClr val="accent1"/>
              </a:solidFill>
              <a:ln w="19050">
                <a:noFill/>
              </a:ln>
            </c:spPr>
          </c:marker>
          <c:xVal>
            <c:numRef>
              <c:f>Template!$E$51:$E$60</c:f>
              <c:numCache>
                <c:formatCode>General</c:formatCode>
                <c:ptCount val="10"/>
                <c:pt idx="0">
                  <c:v>1</c:v>
                </c:pt>
                <c:pt idx="1">
                  <c:v>0.46207967785640636</c:v>
                </c:pt>
                <c:pt idx="2">
                  <c:v>0.60108105651238675</c:v>
                </c:pt>
                <c:pt idx="3">
                  <c:v>0.62632703945311596</c:v>
                </c:pt>
                <c:pt idx="4">
                  <c:v>0.62341366115027308</c:v>
                </c:pt>
                <c:pt idx="5">
                  <c:v>0.7292917402973369</c:v>
                </c:pt>
                <c:pt idx="6">
                  <c:v>0.39701715708652341</c:v>
                </c:pt>
                <c:pt idx="7">
                  <c:v>0.67031975403382149</c:v>
                </c:pt>
                <c:pt idx="8">
                  <c:v>0.25861097852607318</c:v>
                </c:pt>
                <c:pt idx="9">
                  <c:v>0.13216191438485173</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630-4AEF-A304-C128CD56470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630-4AEF-A304-C128CD56470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85000"/>
                </a:schemeClr>
              </a:solidFill>
              <a:prstDash val="sysDot"/>
              <a:round/>
            </a:ln>
            <a:effectLst/>
          </c:spPr>
        </c:majorGridlines>
        <c:minorGridlines>
          <c:spPr>
            <a:ln w="6350" cap="flat" cmpd="sng" algn="ctr">
              <a:solidFill>
                <a:schemeClr val="bg1">
                  <a:lumMod val="8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8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Template!$F$50</c:f>
              <c:strCache>
                <c:ptCount val="1"/>
                <c:pt idx="0">
                  <c:v>Yr 3 as Proportion</c:v>
                </c:pt>
              </c:strCache>
            </c:strRef>
          </c:tx>
          <c:marker>
            <c:symbol val="circle"/>
            <c:size val="4"/>
            <c:spPr>
              <a:solidFill>
                <a:schemeClr val="accent1"/>
              </a:solidFill>
              <a:ln w="19050">
                <a:noFill/>
              </a:ln>
            </c:spPr>
          </c:marker>
          <c:xVal>
            <c:numRef>
              <c:f>Template!$F$51:$F$60</c:f>
              <c:numCache>
                <c:formatCode>General</c:formatCode>
                <c:ptCount val="10"/>
                <c:pt idx="0">
                  <c:v>1</c:v>
                </c:pt>
                <c:pt idx="1">
                  <c:v>0.52261524606021181</c:v>
                </c:pt>
                <c:pt idx="2">
                  <c:v>0.83460536548316</c:v>
                </c:pt>
                <c:pt idx="3">
                  <c:v>0.70842082270084572</c:v>
                </c:pt>
                <c:pt idx="4">
                  <c:v>0.746035874308279</c:v>
                </c:pt>
                <c:pt idx="5">
                  <c:v>0.5359642124312276</c:v>
                </c:pt>
                <c:pt idx="6">
                  <c:v>0.32931804081091259</c:v>
                </c:pt>
                <c:pt idx="7">
                  <c:v>0.46021365415415733</c:v>
                </c:pt>
                <c:pt idx="8">
                  <c:v>0.21106555708262223</c:v>
                </c:pt>
                <c:pt idx="9">
                  <c:v>0.32089808093939848</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8028-4691-B428-666FB75A0F7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8028-4691-B428-666FB75A0F7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75000"/>
                </a:schemeClr>
              </a:solidFill>
              <a:prstDash val="sysDot"/>
              <a:round/>
            </a:ln>
            <a:effectLst/>
          </c:spPr>
        </c:majorGridlines>
        <c:minorGridlines>
          <c:spPr>
            <a:ln w="6350" cap="flat" cmpd="sng" algn="ctr">
              <a:solidFill>
                <a:schemeClr val="bg1">
                  <a:lumMod val="7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7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Template!$C$50</c:f>
              <c:strCache>
                <c:ptCount val="1"/>
                <c:pt idx="0">
                  <c:v>Yr 0 as Proportion</c:v>
                </c:pt>
              </c:strCache>
            </c:strRef>
          </c:tx>
          <c:marker>
            <c:symbol val="circle"/>
            <c:size val="4"/>
            <c:spPr>
              <a:solidFill>
                <a:schemeClr val="accent1"/>
              </a:solidFill>
              <a:ln w="19050">
                <a:noFill/>
              </a:ln>
            </c:spPr>
          </c:marker>
          <c:xVal>
            <c:numRef>
              <c:f>Template!$C$51:$C$60</c:f>
              <c:numCache>
                <c:formatCode>General</c:formatCode>
                <c:ptCount val="10"/>
                <c:pt idx="0">
                  <c:v>1</c:v>
                </c:pt>
                <c:pt idx="1">
                  <c:v>0.82069666217613235</c:v>
                </c:pt>
                <c:pt idx="2">
                  <c:v>0.87259182945043146</c:v>
                </c:pt>
                <c:pt idx="3">
                  <c:v>0.78369013773876606</c:v>
                </c:pt>
                <c:pt idx="4">
                  <c:v>0.75604406748698794</c:v>
                </c:pt>
                <c:pt idx="5">
                  <c:v>0.61316261607192712</c:v>
                </c:pt>
                <c:pt idx="6">
                  <c:v>0.54941279347497329</c:v>
                </c:pt>
                <c:pt idx="7">
                  <c:v>0.60004566269026671</c:v>
                </c:pt>
                <c:pt idx="8">
                  <c:v>0.71501287720173845</c:v>
                </c:pt>
                <c:pt idx="9">
                  <c:v>0.66367283193501192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519-41FC-9BC0-8B2EB6BED70F}"/>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4-1519-41FC-9BC0-8B2EB6BED70F}"/>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Template!$D$50</c:f>
              <c:strCache>
                <c:ptCount val="1"/>
                <c:pt idx="0">
                  <c:v>Yr 1 as Proportion</c:v>
                </c:pt>
              </c:strCache>
            </c:strRef>
          </c:tx>
          <c:marker>
            <c:symbol val="circle"/>
            <c:size val="4"/>
            <c:spPr>
              <a:solidFill>
                <a:schemeClr val="accent1"/>
              </a:solidFill>
              <a:ln w="19050">
                <a:noFill/>
              </a:ln>
            </c:spPr>
          </c:marker>
          <c:xVal>
            <c:numRef>
              <c:f>Template!$D$51:$D$60</c:f>
              <c:numCache>
                <c:formatCode>General</c:formatCode>
                <c:ptCount val="10"/>
                <c:pt idx="0">
                  <c:v>0.94353153577077542</c:v>
                </c:pt>
                <c:pt idx="1">
                  <c:v>0.44308279986058396</c:v>
                </c:pt>
                <c:pt idx="2">
                  <c:v>1</c:v>
                </c:pt>
                <c:pt idx="3">
                  <c:v>0.58477866295587499</c:v>
                </c:pt>
                <c:pt idx="4">
                  <c:v>0.48785981202541201</c:v>
                </c:pt>
                <c:pt idx="5">
                  <c:v>0.77841586190305068</c:v>
                </c:pt>
                <c:pt idx="6">
                  <c:v>0.34019823316339071</c:v>
                </c:pt>
                <c:pt idx="7">
                  <c:v>0.63347650322683646</c:v>
                </c:pt>
                <c:pt idx="8">
                  <c:v>0.59673294603231053</c:v>
                </c:pt>
                <c:pt idx="9">
                  <c:v>0.42485558208194285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2405-4A47-9BDC-9AFF923E684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2405-4A47-9BDC-9AFF923E684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Template!$I$50</c:f>
              <c:strCache>
                <c:ptCount val="1"/>
                <c:pt idx="0">
                  <c:v>Yr 6 as Proportion</c:v>
                </c:pt>
              </c:strCache>
            </c:strRef>
          </c:tx>
          <c:marker>
            <c:symbol val="circle"/>
            <c:size val="4"/>
            <c:spPr>
              <a:solidFill>
                <a:schemeClr val="accent1"/>
              </a:solidFill>
              <a:ln w="19050">
                <a:noFill/>
              </a:ln>
            </c:spPr>
          </c:marker>
          <c:xVal>
            <c:numRef>
              <c:f>Template!$I$51:$I$60</c:f>
              <c:numCache>
                <c:formatCode>General</c:formatCode>
                <c:ptCount val="10"/>
                <c:pt idx="0">
                  <c:v>0.53917358656614645</c:v>
                </c:pt>
                <c:pt idx="1">
                  <c:v>0.80622329806100568</c:v>
                </c:pt>
                <c:pt idx="2">
                  <c:v>0.9794535345304175</c:v>
                </c:pt>
                <c:pt idx="3">
                  <c:v>0.59967061886973561</c:v>
                </c:pt>
                <c:pt idx="4">
                  <c:v>1</c:v>
                </c:pt>
                <c:pt idx="5">
                  <c:v>0.12242615030658853</c:v>
                </c:pt>
                <c:pt idx="6">
                  <c:v>0.26984292888265321</c:v>
                </c:pt>
                <c:pt idx="7">
                  <c:v>0.31420334806802219</c:v>
                </c:pt>
                <c:pt idx="8">
                  <c:v>-0.11461011706119779</c:v>
                </c:pt>
                <c:pt idx="9">
                  <c:v>0.21799299372699962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9B5B-437A-A2E3-65085C5BAF6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9B5B-437A-A2E3-65085C5BAF6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Template!$J$50</c:f>
              <c:strCache>
                <c:ptCount val="1"/>
                <c:pt idx="0">
                  <c:v>Yr 7 as Proportion</c:v>
                </c:pt>
              </c:strCache>
            </c:strRef>
          </c:tx>
          <c:marker>
            <c:symbol val="circle"/>
            <c:size val="4"/>
            <c:spPr>
              <a:solidFill>
                <a:schemeClr val="accent1"/>
              </a:solidFill>
              <a:ln w="19050">
                <a:noFill/>
              </a:ln>
            </c:spPr>
          </c:marker>
          <c:xVal>
            <c:numRef>
              <c:f>Template!$J$51:$J$60</c:f>
              <c:numCache>
                <c:formatCode>General</c:formatCode>
                <c:ptCount val="10"/>
                <c:pt idx="0">
                  <c:v>0.31973848033185354</c:v>
                </c:pt>
                <c:pt idx="1">
                  <c:v>0.79111637062368401</c:v>
                </c:pt>
                <c:pt idx="2">
                  <c:v>1</c:v>
                </c:pt>
                <c:pt idx="3">
                  <c:v>0.64874944872807083</c:v>
                </c:pt>
                <c:pt idx="4">
                  <c:v>0.9590491322876582</c:v>
                </c:pt>
                <c:pt idx="5">
                  <c:v>0.2350730717525327</c:v>
                </c:pt>
                <c:pt idx="6">
                  <c:v>0.17999847124423793</c:v>
                </c:pt>
                <c:pt idx="7">
                  <c:v>0.29746977325793805</c:v>
                </c:pt>
                <c:pt idx="8">
                  <c:v>-0.16172911891961378</c:v>
                </c:pt>
                <c:pt idx="9">
                  <c:v>0.22636504664102641</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E42-44B2-8326-57A17979ED8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E42-44B2-8326-57A17979ED8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65000"/>
                  <a:lumOff val="35000"/>
                </a:schemeClr>
              </a:solidFill>
              <a:prstDash val="sysDot"/>
              <a:round/>
            </a:ln>
            <a:effectLst/>
          </c:spPr>
        </c:majorGridlines>
        <c:minorGridlines>
          <c:spPr>
            <a:ln w="6350" cap="flat" cmpd="sng" algn="ctr">
              <a:solidFill>
                <a:schemeClr val="tx1">
                  <a:lumMod val="65000"/>
                  <a:lumOff val="3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65000"/>
                <a:lumOff val="3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Template!$G$50</c:f>
              <c:strCache>
                <c:ptCount val="1"/>
                <c:pt idx="0">
                  <c:v>Yr 4 as Proportion</c:v>
                </c:pt>
              </c:strCache>
            </c:strRef>
          </c:tx>
          <c:marker>
            <c:symbol val="circle"/>
            <c:size val="4"/>
            <c:spPr>
              <a:solidFill>
                <a:schemeClr val="accent1"/>
              </a:solidFill>
              <a:ln w="19050">
                <a:noFill/>
              </a:ln>
            </c:spPr>
          </c:marker>
          <c:xVal>
            <c:numRef>
              <c:f>Template!$G$51:$G$60</c:f>
              <c:numCache>
                <c:formatCode>General</c:formatCode>
                <c:ptCount val="10"/>
                <c:pt idx="0">
                  <c:v>0.69412758540253638</c:v>
                </c:pt>
                <c:pt idx="1">
                  <c:v>0.69707651263761161</c:v>
                </c:pt>
                <c:pt idx="2">
                  <c:v>1</c:v>
                </c:pt>
                <c:pt idx="3">
                  <c:v>0.50269816326157057</c:v>
                </c:pt>
                <c:pt idx="4">
                  <c:v>0.83689212537974234</c:v>
                </c:pt>
                <c:pt idx="5">
                  <c:v>0.48776432048424362</c:v>
                </c:pt>
                <c:pt idx="6">
                  <c:v>0.42696654565186237</c:v>
                </c:pt>
                <c:pt idx="7">
                  <c:v>0.4116734570510589</c:v>
                </c:pt>
                <c:pt idx="8">
                  <c:v>0.11696464362301201</c:v>
                </c:pt>
                <c:pt idx="9">
                  <c:v>0.31232884025943292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7168-47F0-989D-6285BFB5FA43}"/>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7168-47F0-989D-6285BFB5FA43}"/>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65000"/>
                </a:schemeClr>
              </a:solidFill>
              <a:prstDash val="sysDot"/>
              <a:round/>
            </a:ln>
            <a:effectLst/>
          </c:spPr>
        </c:majorGridlines>
        <c:minorGridlines>
          <c:spPr>
            <a:ln w="6350" cap="flat" cmpd="sng" algn="ctr">
              <a:solidFill>
                <a:schemeClr val="bg1">
                  <a:lumMod val="6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6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Template!$H$50</c:f>
              <c:strCache>
                <c:ptCount val="1"/>
                <c:pt idx="0">
                  <c:v>Yr 5 as Proportion</c:v>
                </c:pt>
              </c:strCache>
            </c:strRef>
          </c:tx>
          <c:marker>
            <c:symbol val="circle"/>
            <c:size val="4"/>
            <c:spPr>
              <a:solidFill>
                <a:schemeClr val="accent1"/>
              </a:solidFill>
              <a:ln w="19050">
                <a:noFill/>
              </a:ln>
            </c:spPr>
          </c:marker>
          <c:xVal>
            <c:numRef>
              <c:f>Template!$H$51:$H$60</c:f>
              <c:numCache>
                <c:formatCode>General</c:formatCode>
                <c:ptCount val="10"/>
                <c:pt idx="0">
                  <c:v>0.32359365908301874</c:v>
                </c:pt>
                <c:pt idx="1">
                  <c:v>0.6174210292304213</c:v>
                </c:pt>
                <c:pt idx="2">
                  <c:v>1</c:v>
                </c:pt>
                <c:pt idx="3">
                  <c:v>0.41384875434433716</c:v>
                </c:pt>
                <c:pt idx="4">
                  <c:v>0.74294593269994724</c:v>
                </c:pt>
                <c:pt idx="5">
                  <c:v>0.27225000995751086</c:v>
                </c:pt>
                <c:pt idx="6">
                  <c:v>0.35952196674419962</c:v>
                </c:pt>
                <c:pt idx="7">
                  <c:v>0.21506411083456262</c:v>
                </c:pt>
                <c:pt idx="8">
                  <c:v>-9.2790732965361333E-2</c:v>
                </c:pt>
                <c:pt idx="9">
                  <c:v>0.20340652494311839</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96E-434D-BE16-70AE0F504606}"/>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96E-434D-BE16-70AE0F504606}"/>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bg1">
                  <a:lumMod val="50000"/>
                </a:schemeClr>
              </a:solidFill>
              <a:prstDash val="sysDot"/>
              <a:round/>
            </a:ln>
            <a:effectLst/>
          </c:spPr>
        </c:majorGridlines>
        <c:minorGridlines>
          <c:spPr>
            <a:ln w="6350" cap="flat" cmpd="sng" algn="ctr">
              <a:solidFill>
                <a:schemeClr val="bg1">
                  <a:lumMod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bg1">
                <a:lumMod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Template!$K$50</c:f>
              <c:strCache>
                <c:ptCount val="1"/>
                <c:pt idx="0">
                  <c:v>Yr 8 as Proportion</c:v>
                </c:pt>
              </c:strCache>
            </c:strRef>
          </c:tx>
          <c:marker>
            <c:symbol val="circle"/>
            <c:size val="4"/>
            <c:spPr>
              <a:solidFill>
                <a:schemeClr val="accent1"/>
              </a:solidFill>
              <a:ln w="19050">
                <a:noFill/>
              </a:ln>
            </c:spPr>
          </c:marker>
          <c:xVal>
            <c:numRef>
              <c:f>Template!$K$51:$K$60</c:f>
              <c:numCache>
                <c:formatCode>General</c:formatCode>
                <c:ptCount val="10"/>
                <c:pt idx="0">
                  <c:v>0.47512638703005966</c:v>
                </c:pt>
                <c:pt idx="1">
                  <c:v>0.77086448858274936</c:v>
                </c:pt>
                <c:pt idx="2">
                  <c:v>1</c:v>
                </c:pt>
                <c:pt idx="3">
                  <c:v>0.43045580290716745</c:v>
                </c:pt>
                <c:pt idx="4">
                  <c:v>0.72264255220884188</c:v>
                </c:pt>
                <c:pt idx="5">
                  <c:v>0.16806293144229692</c:v>
                </c:pt>
                <c:pt idx="6">
                  <c:v>0.24582092548875425</c:v>
                </c:pt>
                <c:pt idx="7">
                  <c:v>0.35794748901145551</c:v>
                </c:pt>
                <c:pt idx="8">
                  <c:v>-0.10824934461003902</c:v>
                </c:pt>
                <c:pt idx="9">
                  <c:v>0.28372022404850705</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D94E-470E-B23A-3F8FC125AF42}"/>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D94E-470E-B23A-3F8FC125AF42}"/>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75000"/>
                  <a:lumOff val="25000"/>
                </a:schemeClr>
              </a:solidFill>
              <a:prstDash val="sysDot"/>
              <a:round/>
            </a:ln>
            <a:effectLst/>
          </c:spPr>
        </c:majorGridlines>
        <c:minorGridlines>
          <c:spPr>
            <a:ln w="6350" cap="flat" cmpd="sng" algn="ctr">
              <a:solidFill>
                <a:schemeClr val="tx1">
                  <a:lumMod val="75000"/>
                  <a:lumOff val="2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75000"/>
                <a:lumOff val="2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Template!$N$50</c:f>
              <c:strCache>
                <c:ptCount val="1"/>
                <c:pt idx="0">
                  <c:v>Yr 15 as Proportion</c:v>
                </c:pt>
              </c:strCache>
            </c:strRef>
          </c:tx>
          <c:marker>
            <c:symbol val="circle"/>
            <c:size val="4"/>
            <c:spPr>
              <a:solidFill>
                <a:schemeClr val="accent1"/>
              </a:solidFill>
              <a:ln w="19050">
                <a:noFill/>
              </a:ln>
            </c:spPr>
          </c:marker>
          <c:xVal>
            <c:numRef>
              <c:f>Template!$N$51:$N$60</c:f>
              <c:numCache>
                <c:formatCode>General</c:formatCode>
                <c:ptCount val="10"/>
                <c:pt idx="0">
                  <c:v>0.76615933706745165</c:v>
                </c:pt>
                <c:pt idx="1">
                  <c:v>0.80107589011662883</c:v>
                </c:pt>
                <c:pt idx="2">
                  <c:v>1</c:v>
                </c:pt>
                <c:pt idx="3">
                  <c:v>0.51621185564869509</c:v>
                </c:pt>
                <c:pt idx="4">
                  <c:v>0.7972480253409403</c:v>
                </c:pt>
                <c:pt idx="5">
                  <c:v>0.28761627491726671</c:v>
                </c:pt>
                <c:pt idx="6">
                  <c:v>0.46218259720049548</c:v>
                </c:pt>
                <c:pt idx="7">
                  <c:v>0.56215772898778571</c:v>
                </c:pt>
                <c:pt idx="8">
                  <c:v>-1.3469150334781708E-2</c:v>
                </c:pt>
                <c:pt idx="9">
                  <c:v>0.24626938049569586</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0E9A-4879-B7A8-1F9D015E02C5}"/>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0E9A-4879-B7A8-1F9D015E02C5}"/>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Template!$O$50</c:f>
              <c:strCache>
                <c:ptCount val="1"/>
                <c:pt idx="0">
                  <c:v>Yr 20 as Proportion</c:v>
                </c:pt>
              </c:strCache>
            </c:strRef>
          </c:tx>
          <c:marker>
            <c:symbol val="circle"/>
            <c:size val="4"/>
            <c:spPr>
              <a:solidFill>
                <a:schemeClr val="accent1"/>
              </a:solidFill>
              <a:ln w="19050">
                <a:noFill/>
              </a:ln>
            </c:spPr>
          </c:marker>
          <c:xVal>
            <c:numRef>
              <c:f>Template!$O$51:$O$60</c:f>
              <c:numCache>
                <c:formatCode>General</c:formatCode>
                <c:ptCount val="10"/>
                <c:pt idx="0">
                  <c:v>0.65997564687868226</c:v>
                </c:pt>
                <c:pt idx="1">
                  <c:v>0.91411871760235708</c:v>
                </c:pt>
                <c:pt idx="2">
                  <c:v>1</c:v>
                </c:pt>
                <c:pt idx="3">
                  <c:v>0.30481088539234114</c:v>
                </c:pt>
                <c:pt idx="4">
                  <c:v>0.87457537004467645</c:v>
                </c:pt>
                <c:pt idx="5">
                  <c:v>0.40011668209136536</c:v>
                </c:pt>
                <c:pt idx="6">
                  <c:v>0.33269903539769247</c:v>
                </c:pt>
                <c:pt idx="7">
                  <c:v>0.38958025513204997</c:v>
                </c:pt>
                <c:pt idx="8">
                  <c:v>0.10826686935930206</c:v>
                </c:pt>
                <c:pt idx="9">
                  <c:v>0.23486201603724233</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12E7-46EB-A545-6F8CAE909850}"/>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12E7-46EB-A545-6F8CAE909850}"/>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50000"/>
                  <a:lumOff val="50000"/>
                </a:schemeClr>
              </a:solidFill>
              <a:prstDash val="sysDot"/>
              <a:round/>
            </a:ln>
            <a:effectLst/>
          </c:spPr>
        </c:majorGridlines>
        <c:minorGridlines>
          <c:spPr>
            <a:ln w="6350" cap="flat" cmpd="sng" algn="ctr">
              <a:solidFill>
                <a:schemeClr val="tx1">
                  <a:lumMod val="50000"/>
                  <a:lumOff val="50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50000"/>
                <a:lumOff val="50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oddHeader>&amp;L&amp;"Arial,Regular"&amp;20Capital (in Billions) for Years 0-10, 15, 20</c:oddHeader>
    </c:headerFooter>
    <c:pageMargins b="0.75" l="0.7" r="0.7" t="0.75" header="0.3" footer="0.3"/>
    <c:pageSetup orientation="portrait"/>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Template!$L$50</c:f>
              <c:strCache>
                <c:ptCount val="1"/>
                <c:pt idx="0">
                  <c:v>Yr 9 as Proportion</c:v>
                </c:pt>
              </c:strCache>
            </c:strRef>
          </c:tx>
          <c:marker>
            <c:symbol val="circle"/>
            <c:size val="4"/>
            <c:spPr>
              <a:solidFill>
                <a:schemeClr val="accent1"/>
              </a:solidFill>
              <a:ln w="19050">
                <a:noFill/>
              </a:ln>
            </c:spPr>
          </c:marker>
          <c:xVal>
            <c:numRef>
              <c:f>Template!$L$51:$L$60</c:f>
              <c:numCache>
                <c:formatCode>General</c:formatCode>
                <c:ptCount val="10"/>
                <c:pt idx="0">
                  <c:v>0.67033725656794729</c:v>
                </c:pt>
                <c:pt idx="1">
                  <c:v>0.90988996139094458</c:v>
                </c:pt>
                <c:pt idx="2">
                  <c:v>1</c:v>
                </c:pt>
                <c:pt idx="3">
                  <c:v>0.53592217722223012</c:v>
                </c:pt>
                <c:pt idx="4">
                  <c:v>0.74950292896524229</c:v>
                </c:pt>
                <c:pt idx="5">
                  <c:v>0.29484156008315482</c:v>
                </c:pt>
                <c:pt idx="6">
                  <c:v>0.27074730284987231</c:v>
                </c:pt>
                <c:pt idx="7">
                  <c:v>0.28404102946170701</c:v>
                </c:pt>
                <c:pt idx="8">
                  <c:v>-5.6871557585719164E-2</c:v>
                </c:pt>
                <c:pt idx="9">
                  <c:v>0.24434093382923142</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B4BD-49FF-9572-E6DE414D80F4}"/>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B4BD-49FF-9572-E6DE414D80F4}"/>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85000"/>
                  <a:lumOff val="15000"/>
                </a:schemeClr>
              </a:solidFill>
              <a:prstDash val="sysDot"/>
              <a:round/>
            </a:ln>
            <a:effectLst/>
          </c:spPr>
        </c:majorGridlines>
        <c:minorGridlines>
          <c:spPr>
            <a:ln w="6350" cap="flat" cmpd="sng" algn="ctr">
              <a:solidFill>
                <a:schemeClr val="tx1">
                  <a:lumMod val="85000"/>
                  <a:lumOff val="1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85000"/>
                <a:lumOff val="1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199141359509233"/>
          <c:y val="1.5960259742052486E-2"/>
          <c:w val="0.51601570905173355"/>
          <c:h val="0.96789535203884425"/>
        </c:manualLayout>
      </c:layout>
      <c:scatterChart>
        <c:scatterStyle val="lineMarker"/>
        <c:varyColors val="0"/>
        <c:ser>
          <c:idx val="0"/>
          <c:order val="0"/>
          <c:tx>
            <c:strRef>
              <c:f>Template!$M$50</c:f>
              <c:strCache>
                <c:ptCount val="1"/>
                <c:pt idx="0">
                  <c:v>Yr 10 as Proportion</c:v>
                </c:pt>
              </c:strCache>
            </c:strRef>
          </c:tx>
          <c:marker>
            <c:symbol val="circle"/>
            <c:size val="4"/>
            <c:spPr>
              <a:solidFill>
                <a:schemeClr val="accent1"/>
              </a:solidFill>
              <a:ln w="19050">
                <a:noFill/>
              </a:ln>
            </c:spPr>
          </c:marker>
          <c:xVal>
            <c:numRef>
              <c:f>Template!$M$51:$M$60</c:f>
              <c:numCache>
                <c:formatCode>General</c:formatCode>
                <c:ptCount val="10"/>
                <c:pt idx="0">
                  <c:v>0.9073040940100251</c:v>
                </c:pt>
                <c:pt idx="1">
                  <c:v>1</c:v>
                </c:pt>
                <c:pt idx="2">
                  <c:v>0.95181448746554154</c:v>
                </c:pt>
                <c:pt idx="3">
                  <c:v>0.58957683558209828</c:v>
                </c:pt>
                <c:pt idx="4">
                  <c:v>0.80949929941043963</c:v>
                </c:pt>
                <c:pt idx="5">
                  <c:v>0.43895535236511862</c:v>
                </c:pt>
                <c:pt idx="6">
                  <c:v>0.39207135807979421</c:v>
                </c:pt>
                <c:pt idx="7">
                  <c:v>0.45842215466426495</c:v>
                </c:pt>
                <c:pt idx="8">
                  <c:v>3.4785640990432277E-2</c:v>
                </c:pt>
                <c:pt idx="9">
                  <c:v>0.33623815274776409</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0-4ADD-47C6-AEE5-6261F5A795B9}"/>
            </c:ext>
          </c:extLst>
        </c:ser>
        <c:ser>
          <c:idx val="1"/>
          <c:order val="1"/>
          <c:tx>
            <c:v>Zero Line</c:v>
          </c:tx>
          <c:spPr>
            <a:ln w="6350">
              <a:solidFill>
                <a:schemeClr val="tx1"/>
              </a:solidFill>
            </a:ln>
          </c:spPr>
          <c:marker>
            <c:symbol val="none"/>
          </c:marker>
          <c:xVal>
            <c:numRef>
              <c:f>Template!$A$51:$A$60</c:f>
              <c:numCache>
                <c:formatCode>General</c:formatCode>
                <c:ptCount val="10"/>
                <c:pt idx="0">
                  <c:v>0</c:v>
                </c:pt>
                <c:pt idx="1">
                  <c:v>0</c:v>
                </c:pt>
                <c:pt idx="2">
                  <c:v>0</c:v>
                </c:pt>
                <c:pt idx="3">
                  <c:v>0</c:v>
                </c:pt>
                <c:pt idx="4">
                  <c:v>0</c:v>
                </c:pt>
                <c:pt idx="5">
                  <c:v>0</c:v>
                </c:pt>
                <c:pt idx="6">
                  <c:v>0</c:v>
                </c:pt>
                <c:pt idx="7">
                  <c:v>0</c:v>
                </c:pt>
                <c:pt idx="8">
                  <c:v>0</c:v>
                </c:pt>
                <c:pt idx="9">
                  <c:v>0</c:v>
                </c:pt>
              </c:numCache>
            </c:numRef>
          </c:xVal>
          <c:yVal>
            <c:numRef>
              <c:f>Template!$B$51:$B$60</c:f>
              <c:numCache>
                <c:formatCode>General</c:formatCode>
                <c:ptCount val="10"/>
                <c:pt idx="0">
                  <c:v>0</c:v>
                </c:pt>
                <c:pt idx="1">
                  <c:v>1</c:v>
                </c:pt>
                <c:pt idx="2">
                  <c:v>2</c:v>
                </c:pt>
                <c:pt idx="3">
                  <c:v>3</c:v>
                </c:pt>
                <c:pt idx="4">
                  <c:v>4</c:v>
                </c:pt>
                <c:pt idx="5">
                  <c:v>5</c:v>
                </c:pt>
                <c:pt idx="6">
                  <c:v>6</c:v>
                </c:pt>
                <c:pt idx="7">
                  <c:v>7</c:v>
                </c:pt>
                <c:pt idx="8">
                  <c:v>8</c:v>
                </c:pt>
                <c:pt idx="9">
                  <c:v>9</c:v>
                </c:pt>
              </c:numCache>
            </c:numRef>
          </c:yVal>
          <c:smooth val="0"/>
          <c:extLst>
            <c:ext xmlns:c16="http://schemas.microsoft.com/office/drawing/2014/chart" uri="{C3380CC4-5D6E-409C-BE32-E72D297353CC}">
              <c16:uniqueId val="{00000001-4ADD-47C6-AEE5-6261F5A795B9}"/>
            </c:ext>
          </c:extLst>
        </c:ser>
        <c:dLbls>
          <c:showLegendKey val="0"/>
          <c:showVal val="0"/>
          <c:showCatName val="0"/>
          <c:showSerName val="0"/>
          <c:showPercent val="0"/>
          <c:showBubbleSize val="0"/>
        </c:dLbls>
        <c:axId val="413758688"/>
        <c:axId val="413758032"/>
      </c:scatterChart>
      <c:valAx>
        <c:axId val="413758688"/>
        <c:scaling>
          <c:orientation val="minMax"/>
          <c:max val="1"/>
          <c:min val="-0.5"/>
        </c:scaling>
        <c:delete val="0"/>
        <c:axPos val="t"/>
        <c:majorGridlines>
          <c:spPr>
            <a:ln w="6350" cap="flat" cmpd="sng" algn="ctr">
              <a:solidFill>
                <a:schemeClr val="tx1">
                  <a:lumMod val="95000"/>
                  <a:lumOff val="5000"/>
                </a:schemeClr>
              </a:solidFill>
              <a:prstDash val="sysDot"/>
              <a:round/>
            </a:ln>
            <a:effectLst/>
          </c:spPr>
        </c:majorGridlines>
        <c:minorGridlines>
          <c:spPr>
            <a:ln w="6350" cap="flat" cmpd="sng" algn="ctr">
              <a:solidFill>
                <a:schemeClr val="tx1">
                  <a:lumMod val="95000"/>
                  <a:lumOff val="5000"/>
                </a:schemeClr>
              </a:solidFill>
              <a:prstDash val="sysDot"/>
              <a:round/>
            </a:ln>
            <a:effectLst/>
          </c:spPr>
        </c:minorGridlines>
        <c:numFmt formatCode="General" sourceLinked="1"/>
        <c:majorTickMark val="out"/>
        <c:minorTickMark val="none"/>
        <c:tickLblPos val="none"/>
        <c:spPr>
          <a:noFill/>
          <a:ln>
            <a:noFill/>
          </a:ln>
        </c:spPr>
        <c:txPr>
          <a:bodyPr/>
          <a:lstStyle/>
          <a:p>
            <a:pPr>
              <a:defRPr sz="800"/>
            </a:pPr>
            <a:endParaRPr lang="en-US"/>
          </a:p>
        </c:txPr>
        <c:crossAx val="413758032"/>
        <c:crosses val="autoZero"/>
        <c:crossBetween val="midCat"/>
        <c:minorUnit val="0.5"/>
      </c:valAx>
      <c:valAx>
        <c:axId val="413758032"/>
        <c:scaling>
          <c:orientation val="maxMin"/>
          <c:max val="9"/>
        </c:scaling>
        <c:delete val="0"/>
        <c:axPos val="r"/>
        <c:majorGridlines>
          <c:spPr>
            <a:ln>
              <a:noFill/>
            </a:ln>
            <a:effectLst/>
          </c:spPr>
        </c:majorGridlines>
        <c:numFmt formatCode="General" sourceLinked="1"/>
        <c:majorTickMark val="out"/>
        <c:minorTickMark val="none"/>
        <c:tickLblPos val="none"/>
        <c:spPr>
          <a:noFill/>
          <a:ln w="6350" cmpd="sng">
            <a:solidFill>
              <a:schemeClr val="tx1">
                <a:lumMod val="95000"/>
                <a:lumOff val="5000"/>
              </a:schemeClr>
            </a:solidFill>
            <a:prstDash val="sysDot"/>
          </a:ln>
        </c:spPr>
        <c:txPr>
          <a:bodyPr/>
          <a:lstStyle/>
          <a:p>
            <a:pPr>
              <a:defRPr sz="800"/>
            </a:pPr>
            <a:endParaRPr lang="en-US"/>
          </a:p>
        </c:txPr>
        <c:crossAx val="413758688"/>
        <c:crosses val="max"/>
        <c:crossBetween val="midCat"/>
      </c:valAx>
      <c:spPr>
        <a:noFill/>
        <a:ln w="6350">
          <a:noFill/>
        </a:ln>
      </c:spPr>
    </c:plotArea>
    <c:plotVisOnly val="1"/>
    <c:dispBlanksAs val="gap"/>
    <c:showDLblsOverMax val="0"/>
  </c:chart>
  <c:spPr>
    <a:noFill/>
    <a:ln w="9525" cap="flat" cmpd="sng" algn="ctr">
      <a:noFill/>
      <a:prstDash val="solid"/>
      <a:round/>
    </a:ln>
    <a:effectLst/>
  </c:spPr>
  <c:txPr>
    <a:bodyPr/>
    <a:lstStyle/>
    <a:p>
      <a:pPr>
        <a:defRPr>
          <a:ln>
            <a:noFill/>
          </a:ln>
          <a:solidFill>
            <a:schemeClr val="tx1"/>
          </a:solidFill>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Template!$Q$67</c:f>
              <c:strCache>
                <c:ptCount val="1"/>
                <c:pt idx="0">
                  <c:v>0</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Template!$R$67:$AD$67</c:f>
              <c:numCache>
                <c:formatCode>#,##0.00_);[Red]\(#,##0.00\)</c:formatCode>
                <c:ptCount val="13"/>
                <c:pt idx="0">
                  <c:v>0.17543859649122806</c:v>
                </c:pt>
                <c:pt idx="1">
                  <c:v>1.1655318483808377</c:v>
                </c:pt>
                <c:pt idx="2">
                  <c:v>2.1754385964912282</c:v>
                </c:pt>
                <c:pt idx="3">
                  <c:v>3.1754385964912282</c:v>
                </c:pt>
                <c:pt idx="4">
                  <c:v>4.1217767693688661</c:v>
                </c:pt>
                <c:pt idx="5">
                  <c:v>5.0567708173829855</c:v>
                </c:pt>
                <c:pt idx="6">
                  <c:v>6.0945918572923068</c:v>
                </c:pt>
                <c:pt idx="7">
                  <c:v>7.0560944702336581</c:v>
                </c:pt>
                <c:pt idx="8">
                  <c:v>8.0833555064965026</c:v>
                </c:pt>
                <c:pt idx="9">
                  <c:v>9.1176030274680606</c:v>
                </c:pt>
                <c:pt idx="10">
                  <c:v>10.159176156843865</c:v>
                </c:pt>
                <c:pt idx="11">
                  <c:v>11.134413918783764</c:v>
                </c:pt>
                <c:pt idx="12">
                  <c:v>12.115785201206787</c:v>
                </c:pt>
              </c:numCache>
            </c:numRef>
          </c:xVal>
          <c:yVal>
            <c:numRef>
              <c:f>Template!$R$80:$AD$80</c:f>
              <c:numCache>
                <c:formatCode>#,##0.00_);[Red]\(#,##0.00\)</c:formatCode>
                <c:ptCount val="13"/>
                <c:pt idx="0">
                  <c:v>-0.10262752214532804</c:v>
                </c:pt>
                <c:pt idx="1">
                  <c:v>-0.1122639235708086</c:v>
                </c:pt>
                <c:pt idx="2">
                  <c:v>-0.1496458075898893</c:v>
                </c:pt>
                <c:pt idx="3">
                  <c:v>-0.15547033328471238</c:v>
                </c:pt>
                <c:pt idx="4">
                  <c:v>-0.10729352788569708</c:v>
                </c:pt>
                <c:pt idx="5">
                  <c:v>-6.1078336401898005E-2</c:v>
                </c:pt>
                <c:pt idx="6">
                  <c:v>-9.0006144556513637E-2</c:v>
                </c:pt>
                <c:pt idx="7">
                  <c:v>-5.5281806858931103E-2</c:v>
                </c:pt>
                <c:pt idx="8">
                  <c:v>-0.10267968110340581</c:v>
                </c:pt>
                <c:pt idx="9">
                  <c:v>-0.14371576742911879</c:v>
                </c:pt>
                <c:pt idx="10">
                  <c:v>-0.17543859649122806</c:v>
                </c:pt>
                <c:pt idx="11">
                  <c:v>-0.14617844759413773</c:v>
                </c:pt>
                <c:pt idx="12">
                  <c:v>-0.13165873555136623</c:v>
                </c:pt>
              </c:numCache>
            </c:numRef>
          </c:yVal>
          <c:smooth val="0"/>
          <c:extLst>
            <c:ext xmlns:c16="http://schemas.microsoft.com/office/drawing/2014/chart" uri="{C3380CC4-5D6E-409C-BE32-E72D297353CC}">
              <c16:uniqueId val="{00000000-5EB8-4DC4-B34D-6901CCE7751B}"/>
            </c:ext>
          </c:extLst>
        </c:ser>
        <c:ser>
          <c:idx val="1"/>
          <c:order val="1"/>
          <c:tx>
            <c:strRef>
              <c:f>Template!$Q$68</c:f>
              <c:strCache>
                <c:ptCount val="1"/>
                <c:pt idx="0">
                  <c:v>1</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Template!$R$68:$AD$68</c:f>
              <c:numCache>
                <c:formatCode>#,##0.00_);[Red]\(#,##0.00\)</c:formatCode>
                <c:ptCount val="13"/>
                <c:pt idx="0">
                  <c:v>0.1439818705572162</c:v>
                </c:pt>
                <c:pt idx="1">
                  <c:v>1.0777338245369446</c:v>
                </c:pt>
                <c:pt idx="2">
                  <c:v>2.0810666101502466</c:v>
                </c:pt>
                <c:pt idx="3">
                  <c:v>3.0916868852737212</c:v>
                </c:pt>
                <c:pt idx="4">
                  <c:v>4.1222941250241423</c:v>
                </c:pt>
                <c:pt idx="5">
                  <c:v>5.1083194788123549</c:v>
                </c:pt>
                <c:pt idx="6">
                  <c:v>6.141442683870352</c:v>
                </c:pt>
                <c:pt idx="7">
                  <c:v>7.138792345723453</c:v>
                </c:pt>
                <c:pt idx="8">
                  <c:v>8.1352393839618866</c:v>
                </c:pt>
                <c:pt idx="9">
                  <c:v>9.1596298177878843</c:v>
                </c:pt>
                <c:pt idx="10">
                  <c:v>10.175438596491228</c:v>
                </c:pt>
                <c:pt idx="11">
                  <c:v>11.140539629845023</c:v>
                </c:pt>
                <c:pt idx="12">
                  <c:v>12.160371704842518</c:v>
                </c:pt>
              </c:numCache>
            </c:numRef>
          </c:xVal>
          <c:yVal>
            <c:numRef>
              <c:f>Template!$R$81:$AD$81</c:f>
              <c:numCache>
                <c:formatCode>#,##0.00_);[Red]\(#,##0.00\)</c:formatCode>
                <c:ptCount val="13"/>
                <c:pt idx="0">
                  <c:v>0.92425190406197966</c:v>
                </c:pt>
                <c:pt idx="1">
                  <c:v>0.95258738623805639</c:v>
                </c:pt>
                <c:pt idx="2">
                  <c:v>0.93781199379869007</c:v>
                </c:pt>
                <c:pt idx="3">
                  <c:v>0.92692735718683783</c:v>
                </c:pt>
                <c:pt idx="4">
                  <c:v>0.90309640676024971</c:v>
                </c:pt>
                <c:pt idx="5">
                  <c:v>0.89519214708090844</c:v>
                </c:pt>
                <c:pt idx="6">
                  <c:v>0.87896134066379694</c:v>
                </c:pt>
                <c:pt idx="7">
                  <c:v>0.87698646343882281</c:v>
                </c:pt>
                <c:pt idx="8">
                  <c:v>0.85017695814149752</c:v>
                </c:pt>
                <c:pt idx="9">
                  <c:v>0.82456140350877194</c:v>
                </c:pt>
                <c:pt idx="10">
                  <c:v>0.82610084013597851</c:v>
                </c:pt>
                <c:pt idx="11">
                  <c:v>0.86254418478584416</c:v>
                </c:pt>
                <c:pt idx="12">
                  <c:v>0.83599783499907532</c:v>
                </c:pt>
              </c:numCache>
            </c:numRef>
          </c:yVal>
          <c:smooth val="0"/>
          <c:extLst>
            <c:ext xmlns:c16="http://schemas.microsoft.com/office/drawing/2014/chart" uri="{C3380CC4-5D6E-409C-BE32-E72D297353CC}">
              <c16:uniqueId val="{00000001-5EB8-4DC4-B34D-6901CCE7751B}"/>
            </c:ext>
          </c:extLst>
        </c:ser>
        <c:ser>
          <c:idx val="2"/>
          <c:order val="2"/>
          <c:tx>
            <c:strRef>
              <c:f>Template!$Q$69</c:f>
              <c:strCache>
                <c:ptCount val="1"/>
                <c:pt idx="0">
                  <c:v>2</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Template!$R$69:$AD$69</c:f>
              <c:numCache>
                <c:formatCode>#,##0.00_);[Red]\(#,##0.00\)</c:formatCode>
                <c:ptCount val="13"/>
                <c:pt idx="0">
                  <c:v>0.15308628586849674</c:v>
                </c:pt>
                <c:pt idx="1">
                  <c:v>1.1754385964912282</c:v>
                </c:pt>
                <c:pt idx="2">
                  <c:v>2.1054528169319977</c:v>
                </c:pt>
                <c:pt idx="3">
                  <c:v>3.146421993944414</c:v>
                </c:pt>
                <c:pt idx="4">
                  <c:v>4.1754385964912277</c:v>
                </c:pt>
                <c:pt idx="5">
                  <c:v>5.1754385964912277</c:v>
                </c:pt>
                <c:pt idx="6">
                  <c:v>6.1718339534263889</c:v>
                </c:pt>
                <c:pt idx="7">
                  <c:v>7.1754385964912277</c:v>
                </c:pt>
                <c:pt idx="8">
                  <c:v>8.1754385964912277</c:v>
                </c:pt>
                <c:pt idx="9">
                  <c:v>9.1754385964912277</c:v>
                </c:pt>
                <c:pt idx="10">
                  <c:v>10.166984997800972</c:v>
                </c:pt>
                <c:pt idx="11">
                  <c:v>11.175438596491228</c:v>
                </c:pt>
                <c:pt idx="12">
                  <c:v>12.175438596491228</c:v>
                </c:pt>
              </c:numCache>
            </c:numRef>
          </c:xVal>
          <c:yVal>
            <c:numRef>
              <c:f>Template!$R$82:$AD$82</c:f>
              <c:numCache>
                <c:formatCode>#,##0.00_);[Red]\(#,##0.00\)</c:formatCode>
                <c:ptCount val="13"/>
                <c:pt idx="0">
                  <c:v>1.9273016139977093</c:v>
                </c:pt>
                <c:pt idx="1">
                  <c:v>1.903409685556124</c:v>
                </c:pt>
                <c:pt idx="2">
                  <c:v>1.9269790667788571</c:v>
                </c:pt>
                <c:pt idx="3">
                  <c:v>1.8946635966586791</c:v>
                </c:pt>
                <c:pt idx="4">
                  <c:v>1.8745172566272095</c:v>
                </c:pt>
                <c:pt idx="5">
                  <c:v>1.8467724067010265</c:v>
                </c:pt>
                <c:pt idx="6">
                  <c:v>1.8672675313373328</c:v>
                </c:pt>
                <c:pt idx="7">
                  <c:v>1.8596420209495503</c:v>
                </c:pt>
                <c:pt idx="8">
                  <c:v>1.8245614035087718</c:v>
                </c:pt>
                <c:pt idx="9">
                  <c:v>1.8259552833532244</c:v>
                </c:pt>
                <c:pt idx="10">
                  <c:v>1.8505918224918039</c:v>
                </c:pt>
                <c:pt idx="11">
                  <c:v>1.8451133344140722</c:v>
                </c:pt>
                <c:pt idx="12">
                  <c:v>1.8380535049993356</c:v>
                </c:pt>
              </c:numCache>
            </c:numRef>
          </c:yVal>
          <c:smooth val="0"/>
          <c:extLst>
            <c:ext xmlns:c16="http://schemas.microsoft.com/office/drawing/2014/chart" uri="{C3380CC4-5D6E-409C-BE32-E72D297353CC}">
              <c16:uniqueId val="{00000002-5EB8-4DC4-B34D-6901CCE7751B}"/>
            </c:ext>
          </c:extLst>
        </c:ser>
        <c:ser>
          <c:idx val="3"/>
          <c:order val="3"/>
          <c:tx>
            <c:strRef>
              <c:f>Template!$Q$70</c:f>
              <c:strCache>
                <c:ptCount val="1"/>
                <c:pt idx="0">
                  <c:v>3</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Template!$R$70:$AD$70</c:f>
              <c:numCache>
                <c:formatCode>#,##0.00_);[Red]\(#,##0.00\)</c:formatCode>
                <c:ptCount val="13"/>
                <c:pt idx="0">
                  <c:v>0.13748949784890632</c:v>
                </c:pt>
                <c:pt idx="1">
                  <c:v>1.1025927478869957</c:v>
                </c:pt>
                <c:pt idx="2">
                  <c:v>2.1098819367461608</c:v>
                </c:pt>
                <c:pt idx="3">
                  <c:v>3.1242843548597974</c:v>
                </c:pt>
                <c:pt idx="4">
                  <c:v>4.0881926602213285</c:v>
                </c:pt>
                <c:pt idx="5">
                  <c:v>5.0726050446218132</c:v>
                </c:pt>
                <c:pt idx="6">
                  <c:v>6.1052053717315324</c:v>
                </c:pt>
                <c:pt idx="7">
                  <c:v>7.113815692759311</c:v>
                </c:pt>
                <c:pt idx="8">
                  <c:v>8.0755185619135386</c:v>
                </c:pt>
                <c:pt idx="9">
                  <c:v>9.0940214346003909</c:v>
                </c:pt>
                <c:pt idx="10">
                  <c:v>10.103434532558262</c:v>
                </c:pt>
                <c:pt idx="11">
                  <c:v>11.09056348344714</c:v>
                </c:pt>
                <c:pt idx="12">
                  <c:v>12.05347559392848</c:v>
                </c:pt>
              </c:numCache>
            </c:numRef>
          </c:xVal>
          <c:yVal>
            <c:numRef>
              <c:f>Template!$R$83:$AD$83</c:f>
              <c:numCache>
                <c:formatCode>#,##0.00_);[Red]\(#,##0.00\)</c:formatCode>
                <c:ptCount val="13"/>
                <c:pt idx="0">
                  <c:v>2.877193719077813</c:v>
                </c:pt>
                <c:pt idx="1">
                  <c:v>2.8937600961933758</c:v>
                </c:pt>
                <c:pt idx="2">
                  <c:v>2.8568873346696431</c:v>
                </c:pt>
                <c:pt idx="3">
                  <c:v>2.8318289630525526</c:v>
                </c:pt>
                <c:pt idx="4">
                  <c:v>2.8813537887761398</c:v>
                </c:pt>
                <c:pt idx="5">
                  <c:v>2.8807272579795025</c:v>
                </c:pt>
                <c:pt idx="6">
                  <c:v>2.8471488622112178</c:v>
                </c:pt>
                <c:pt idx="7">
                  <c:v>2.8287318213930566</c:v>
                </c:pt>
                <c:pt idx="8">
                  <c:v>2.8579581624101067</c:v>
                </c:pt>
                <c:pt idx="9">
                  <c:v>2.8245614035087718</c:v>
                </c:pt>
                <c:pt idx="10">
                  <c:v>2.8259295547857302</c:v>
                </c:pt>
                <c:pt idx="11">
                  <c:v>2.8496149807017908</c:v>
                </c:pt>
                <c:pt idx="12">
                  <c:v>2.9071537010709902</c:v>
                </c:pt>
              </c:numCache>
            </c:numRef>
          </c:yVal>
          <c:smooth val="0"/>
          <c:extLst>
            <c:ext xmlns:c16="http://schemas.microsoft.com/office/drawing/2014/chart" uri="{C3380CC4-5D6E-409C-BE32-E72D297353CC}">
              <c16:uniqueId val="{00000003-5EB8-4DC4-B34D-6901CCE7751B}"/>
            </c:ext>
          </c:extLst>
        </c:ser>
        <c:ser>
          <c:idx val="4"/>
          <c:order val="4"/>
          <c:tx>
            <c:strRef>
              <c:f>Template!$Q$71</c:f>
              <c:strCache>
                <c:ptCount val="1"/>
                <c:pt idx="0">
                  <c:v>4</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Template!$R$71:$AD$71</c:f>
              <c:numCache>
                <c:formatCode>#,##0.00_);[Red]\(#,##0.00\)</c:formatCode>
                <c:ptCount val="13"/>
                <c:pt idx="0">
                  <c:v>0.13263931008543647</c:v>
                </c:pt>
                <c:pt idx="1">
                  <c:v>1.0855894407062125</c:v>
                </c:pt>
                <c:pt idx="2">
                  <c:v>2.109370817745662</c:v>
                </c:pt>
                <c:pt idx="3">
                  <c:v>3.1308834867207507</c:v>
                </c:pt>
                <c:pt idx="4">
                  <c:v>4.1468231798911832</c:v>
                </c:pt>
                <c:pt idx="5">
                  <c:v>5.1303413917017453</c:v>
                </c:pt>
                <c:pt idx="6">
                  <c:v>6.1754385964912277</c:v>
                </c:pt>
                <c:pt idx="7">
                  <c:v>7.1682542337346771</c:v>
                </c:pt>
                <c:pt idx="8">
                  <c:v>8.126779395124359</c:v>
                </c:pt>
                <c:pt idx="9">
                  <c:v>9.1314917419237265</c:v>
                </c:pt>
                <c:pt idx="10">
                  <c:v>10.1420174209492</c:v>
                </c:pt>
                <c:pt idx="11">
                  <c:v>11.139868074621218</c:v>
                </c:pt>
                <c:pt idx="12">
                  <c:v>12.153434275446434</c:v>
                </c:pt>
              </c:numCache>
            </c:numRef>
          </c:xVal>
          <c:yVal>
            <c:numRef>
              <c:f>Template!$R$84:$AD$84</c:f>
              <c:numCache>
                <c:formatCode>#,##0.00_);[Red]\(#,##0.00\)</c:formatCode>
                <c:ptCount val="13"/>
                <c:pt idx="0">
                  <c:v>3.9219779987561325</c:v>
                </c:pt>
                <c:pt idx="1">
                  <c:v>3.941630634442749</c:v>
                </c:pt>
                <c:pt idx="2">
                  <c:v>3.9061904610210245</c:v>
                </c:pt>
                <c:pt idx="3">
                  <c:v>3.8833691680221705</c:v>
                </c:pt>
                <c:pt idx="4">
                  <c:v>3.8699202075967527</c:v>
                </c:pt>
                <c:pt idx="5">
                  <c:v>3.8589897967529554</c:v>
                </c:pt>
                <c:pt idx="6">
                  <c:v>3.8321390476196764</c:v>
                </c:pt>
                <c:pt idx="7">
                  <c:v>3.8332621059541396</c:v>
                </c:pt>
                <c:pt idx="8">
                  <c:v>3.842961902866977</c:v>
                </c:pt>
                <c:pt idx="9">
                  <c:v>3.838418912264864</c:v>
                </c:pt>
                <c:pt idx="10">
                  <c:v>3.8426035679224504</c:v>
                </c:pt>
                <c:pt idx="11">
                  <c:v>3.8470449461116836</c:v>
                </c:pt>
                <c:pt idx="12">
                  <c:v>3.8245614035087718</c:v>
                </c:pt>
              </c:numCache>
            </c:numRef>
          </c:yVal>
          <c:smooth val="0"/>
          <c:extLst>
            <c:ext xmlns:c16="http://schemas.microsoft.com/office/drawing/2014/chart" uri="{C3380CC4-5D6E-409C-BE32-E72D297353CC}">
              <c16:uniqueId val="{00000004-5EB8-4DC4-B34D-6901CCE7751B}"/>
            </c:ext>
          </c:extLst>
        </c:ser>
        <c:ser>
          <c:idx val="5"/>
          <c:order val="5"/>
          <c:tx>
            <c:strRef>
              <c:f>Template!$Q$72</c:f>
              <c:strCache>
                <c:ptCount val="1"/>
                <c:pt idx="0">
                  <c:v>5</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Template!$R$72:$AD$72</c:f>
              <c:numCache>
                <c:formatCode>#,##0.00_);[Red]\(#,##0.00\)</c:formatCode>
                <c:ptCount val="13"/>
                <c:pt idx="0">
                  <c:v>0.10757238878454863</c:v>
                </c:pt>
                <c:pt idx="1">
                  <c:v>1.1365641862987808</c:v>
                </c:pt>
                <c:pt idx="2">
                  <c:v>2.12794591935041</c:v>
                </c:pt>
                <c:pt idx="3">
                  <c:v>3.0940288091984609</c:v>
                </c:pt>
                <c:pt idx="4">
                  <c:v>4.0855726878042535</c:v>
                </c:pt>
                <c:pt idx="5">
                  <c:v>5.0477631596416686</c:v>
                </c:pt>
                <c:pt idx="6">
                  <c:v>6.0214782719836117</c:v>
                </c:pt>
                <c:pt idx="7">
                  <c:v>7.0412408897811458</c:v>
                </c:pt>
                <c:pt idx="8">
                  <c:v>8.0294847248144379</c:v>
                </c:pt>
                <c:pt idx="9">
                  <c:v>9.0517265894882719</c:v>
                </c:pt>
                <c:pt idx="10">
                  <c:v>10.077009710941249</c:v>
                </c:pt>
                <c:pt idx="11">
                  <c:v>11.05045899559952</c:v>
                </c:pt>
                <c:pt idx="12">
                  <c:v>12.070195909138835</c:v>
                </c:pt>
              </c:numCache>
            </c:numRef>
          </c:xVal>
          <c:yVal>
            <c:numRef>
              <c:f>Template!$R$85:$AD$85</c:f>
              <c:numCache>
                <c:formatCode>#,##0.00_);[Red]\(#,##0.00\)</c:formatCode>
                <c:ptCount val="13"/>
                <c:pt idx="0">
                  <c:v>4.8988423324777086</c:v>
                </c:pt>
                <c:pt idx="1">
                  <c:v>4.8511136893426734</c:v>
                </c:pt>
                <c:pt idx="2">
                  <c:v>4.8245614035087723</c:v>
                </c:pt>
                <c:pt idx="3">
                  <c:v>4.8660500313066564</c:v>
                </c:pt>
                <c:pt idx="4">
                  <c:v>4.8787997417286189</c:v>
                </c:pt>
                <c:pt idx="5">
                  <c:v>4.9173934668273667</c:v>
                </c:pt>
                <c:pt idx="6">
                  <c:v>4.9671468483185084</c:v>
                </c:pt>
                <c:pt idx="7">
                  <c:v>4.9346644576921079</c:v>
                </c:pt>
                <c:pt idx="8">
                  <c:v>4.9416142867120056</c:v>
                </c:pt>
                <c:pt idx="9">
                  <c:v>4.8983847111002312</c:v>
                </c:pt>
                <c:pt idx="10">
                  <c:v>4.8635567932717905</c:v>
                </c:pt>
                <c:pt idx="11">
                  <c:v>4.9117861048685549</c:v>
                </c:pt>
                <c:pt idx="12">
                  <c:v>4.8716878673543462</c:v>
                </c:pt>
              </c:numCache>
            </c:numRef>
          </c:yVal>
          <c:smooth val="0"/>
          <c:extLst>
            <c:ext xmlns:c16="http://schemas.microsoft.com/office/drawing/2014/chart" uri="{C3380CC4-5D6E-409C-BE32-E72D297353CC}">
              <c16:uniqueId val="{00000005-5EB8-4DC4-B34D-6901CCE7751B}"/>
            </c:ext>
          </c:extLst>
        </c:ser>
        <c:ser>
          <c:idx val="6"/>
          <c:order val="6"/>
          <c:tx>
            <c:strRef>
              <c:f>Template!$Q$72</c:f>
              <c:strCache>
                <c:ptCount val="1"/>
                <c:pt idx="0">
                  <c:v>5</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Template!$R$72:$AD$72</c:f>
              <c:numCache>
                <c:formatCode>#,##0.00_);[Red]\(#,##0.00\)</c:formatCode>
                <c:ptCount val="13"/>
                <c:pt idx="0">
                  <c:v>0.10757238878454863</c:v>
                </c:pt>
                <c:pt idx="1">
                  <c:v>1.1365641862987808</c:v>
                </c:pt>
                <c:pt idx="2">
                  <c:v>2.12794591935041</c:v>
                </c:pt>
                <c:pt idx="3">
                  <c:v>3.0940288091984609</c:v>
                </c:pt>
                <c:pt idx="4">
                  <c:v>4.0855726878042535</c:v>
                </c:pt>
                <c:pt idx="5">
                  <c:v>5.0477631596416686</c:v>
                </c:pt>
                <c:pt idx="6">
                  <c:v>6.0214782719836117</c:v>
                </c:pt>
                <c:pt idx="7">
                  <c:v>7.0412408897811458</c:v>
                </c:pt>
                <c:pt idx="8">
                  <c:v>8.0294847248144379</c:v>
                </c:pt>
                <c:pt idx="9">
                  <c:v>9.0517265894882719</c:v>
                </c:pt>
                <c:pt idx="10">
                  <c:v>10.077009710941249</c:v>
                </c:pt>
                <c:pt idx="11">
                  <c:v>11.05045899559952</c:v>
                </c:pt>
                <c:pt idx="12">
                  <c:v>12.070195909138835</c:v>
                </c:pt>
              </c:numCache>
            </c:numRef>
          </c:xVal>
          <c:yVal>
            <c:numRef>
              <c:f>Template!$R$85:$AD$85</c:f>
              <c:numCache>
                <c:formatCode>#,##0.00_);[Red]\(#,##0.00\)</c:formatCode>
                <c:ptCount val="13"/>
                <c:pt idx="0">
                  <c:v>4.8988423324777086</c:v>
                </c:pt>
                <c:pt idx="1">
                  <c:v>4.8511136893426734</c:v>
                </c:pt>
                <c:pt idx="2">
                  <c:v>4.8245614035087723</c:v>
                </c:pt>
                <c:pt idx="3">
                  <c:v>4.8660500313066564</c:v>
                </c:pt>
                <c:pt idx="4">
                  <c:v>4.8787997417286189</c:v>
                </c:pt>
                <c:pt idx="5">
                  <c:v>4.9173934668273667</c:v>
                </c:pt>
                <c:pt idx="6">
                  <c:v>4.9671468483185084</c:v>
                </c:pt>
                <c:pt idx="7">
                  <c:v>4.9346644576921079</c:v>
                </c:pt>
                <c:pt idx="8">
                  <c:v>4.9416142867120056</c:v>
                </c:pt>
                <c:pt idx="9">
                  <c:v>4.8983847111002312</c:v>
                </c:pt>
                <c:pt idx="10">
                  <c:v>4.8635567932717905</c:v>
                </c:pt>
                <c:pt idx="11">
                  <c:v>4.9117861048685549</c:v>
                </c:pt>
                <c:pt idx="12">
                  <c:v>4.8716878673543462</c:v>
                </c:pt>
              </c:numCache>
            </c:numRef>
          </c:yVal>
          <c:smooth val="0"/>
          <c:extLst>
            <c:ext xmlns:c16="http://schemas.microsoft.com/office/drawing/2014/chart" uri="{C3380CC4-5D6E-409C-BE32-E72D297353CC}">
              <c16:uniqueId val="{00000007-5EB8-4DC4-B34D-6901CCE7751B}"/>
            </c:ext>
          </c:extLst>
        </c:ser>
        <c:ser>
          <c:idx val="7"/>
          <c:order val="7"/>
          <c:tx>
            <c:strRef>
              <c:f>Template!$Q$73</c:f>
              <c:strCache>
                <c:ptCount val="1"/>
                <c:pt idx="0">
                  <c:v>6</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Template!$R$73:$AD$73</c:f>
              <c:numCache>
                <c:formatCode>#,##0.00_);[Red]\(#,##0.00\)</c:formatCode>
                <c:ptCount val="13"/>
                <c:pt idx="0">
                  <c:v>9.6388209381574261E-2</c:v>
                </c:pt>
                <c:pt idx="1">
                  <c:v>1.0596839005549807</c:v>
                </c:pt>
                <c:pt idx="2">
                  <c:v>2.0696521328221973</c:v>
                </c:pt>
                <c:pt idx="3">
                  <c:v>3.0577750948791076</c:v>
                </c:pt>
                <c:pt idx="4">
                  <c:v>4.0749064115178708</c:v>
                </c:pt>
                <c:pt idx="5">
                  <c:v>5.063074029253368</c:v>
                </c:pt>
                <c:pt idx="6">
                  <c:v>6.0473408647162552</c:v>
                </c:pt>
                <c:pt idx="7">
                  <c:v>7.0315786791656558</c:v>
                </c:pt>
                <c:pt idx="8">
                  <c:v>8.0431264781559211</c:v>
                </c:pt>
                <c:pt idx="9">
                  <c:v>9.0474995268157663</c:v>
                </c:pt>
                <c:pt idx="10">
                  <c:v>10.068784448785928</c:v>
                </c:pt>
                <c:pt idx="11">
                  <c:v>11.081084666175526</c:v>
                </c:pt>
                <c:pt idx="12">
                  <c:v>12.058368251824156</c:v>
                </c:pt>
              </c:numCache>
            </c:numRef>
          </c:xVal>
          <c:yVal>
            <c:numRef>
              <c:f>Template!$R$86:$AD$86</c:f>
              <c:numCache>
                <c:formatCode>#,##0.00_);[Red]\(#,##0.00\)</c:formatCode>
                <c:ptCount val="13"/>
                <c:pt idx="0">
                  <c:v>5.8878214246464102</c:v>
                </c:pt>
                <c:pt idx="1">
                  <c:v>5.9194689875979014</c:v>
                </c:pt>
                <c:pt idx="2">
                  <c:v>5.8817990033733469</c:v>
                </c:pt>
                <c:pt idx="3">
                  <c:v>5.8981384310033222</c:v>
                </c:pt>
                <c:pt idx="4">
                  <c:v>5.8686967795720788</c:v>
                </c:pt>
                <c:pt idx="5">
                  <c:v>5.8649918654827564</c:v>
                </c:pt>
                <c:pt idx="6">
                  <c:v>5.9103806269654386</c:v>
                </c:pt>
                <c:pt idx="7">
                  <c:v>5.9380839206395484</c:v>
                </c:pt>
                <c:pt idx="8">
                  <c:v>5.8943081453133361</c:v>
                </c:pt>
                <c:pt idx="9">
                  <c:v>5.8845158164198299</c:v>
                </c:pt>
                <c:pt idx="10">
                  <c:v>5.8491710528017933</c:v>
                </c:pt>
                <c:pt idx="11">
                  <c:v>5.8245614035087723</c:v>
                </c:pt>
                <c:pt idx="12">
                  <c:v>5.8679554076968916</c:v>
                </c:pt>
              </c:numCache>
            </c:numRef>
          </c:yVal>
          <c:smooth val="0"/>
          <c:extLst>
            <c:ext xmlns:c16="http://schemas.microsoft.com/office/drawing/2014/chart" uri="{C3380CC4-5D6E-409C-BE32-E72D297353CC}">
              <c16:uniqueId val="{00000008-5EB8-4DC4-B34D-6901CCE7751B}"/>
            </c:ext>
          </c:extLst>
        </c:ser>
        <c:ser>
          <c:idx val="8"/>
          <c:order val="8"/>
          <c:tx>
            <c:strRef>
              <c:f>Template!$Q$74</c:f>
              <c:strCache>
                <c:ptCount val="1"/>
                <c:pt idx="0">
                  <c:v>7</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Template!$R$74:$AD$74</c:f>
              <c:numCache>
                <c:formatCode>#,##0.00_);[Red]\(#,##0.00\)</c:formatCode>
                <c:ptCount val="13"/>
                <c:pt idx="0">
                  <c:v>0.10527116889302925</c:v>
                </c:pt>
                <c:pt idx="1">
                  <c:v>1.1111362286362871</c:v>
                </c:pt>
                <c:pt idx="2">
                  <c:v>2.1175999568480388</c:v>
                </c:pt>
                <c:pt idx="3">
                  <c:v>3.0807392375709046</c:v>
                </c:pt>
                <c:pt idx="4">
                  <c:v>4.0722234135177295</c:v>
                </c:pt>
                <c:pt idx="5">
                  <c:v>5.03773054576045</c:v>
                </c:pt>
                <c:pt idx="6">
                  <c:v>6.0551233943978984</c:v>
                </c:pt>
                <c:pt idx="7">
                  <c:v>7.0521876795189362</c:v>
                </c:pt>
                <c:pt idx="8">
                  <c:v>8.0627978050897298</c:v>
                </c:pt>
                <c:pt idx="9">
                  <c:v>9.0498317595546851</c:v>
                </c:pt>
                <c:pt idx="10">
                  <c:v>10.080424939414783</c:v>
                </c:pt>
                <c:pt idx="11">
                  <c:v>11.098624162980313</c:v>
                </c:pt>
                <c:pt idx="12">
                  <c:v>12.068347413181062</c:v>
                </c:pt>
              </c:numCache>
            </c:numRef>
          </c:xVal>
          <c:yVal>
            <c:numRef>
              <c:f>Template!$R$87:$AD$87</c:f>
              <c:numCache>
                <c:formatCode>#,##0.00_);[Red]\(#,##0.00\)</c:formatCode>
                <c:ptCount val="13"/>
                <c:pt idx="0">
                  <c:v>6.8992718504434585</c:v>
                </c:pt>
                <c:pt idx="1">
                  <c:v>6.8767130755808363</c:v>
                </c:pt>
                <c:pt idx="2">
                  <c:v>6.835922404148941</c:v>
                </c:pt>
                <c:pt idx="3">
                  <c:v>6.8829666219322085</c:v>
                </c:pt>
                <c:pt idx="4">
                  <c:v>6.8959146038962569</c:v>
                </c:pt>
                <c:pt idx="5">
                  <c:v>6.9336015638018029</c:v>
                </c:pt>
                <c:pt idx="6">
                  <c:v>6.914205969606301</c:v>
                </c:pt>
                <c:pt idx="7">
                  <c:v>6.9158734891849196</c:v>
                </c:pt>
                <c:pt idx="8">
                  <c:v>6.8734688682846627</c:v>
                </c:pt>
                <c:pt idx="9">
                  <c:v>6.9003918554892314</c:v>
                </c:pt>
                <c:pt idx="10">
                  <c:v>6.8550091541780276</c:v>
                </c:pt>
                <c:pt idx="11">
                  <c:v>6.8245614035087723</c:v>
                </c:pt>
                <c:pt idx="12">
                  <c:v>6.8728777946171657</c:v>
                </c:pt>
              </c:numCache>
            </c:numRef>
          </c:yVal>
          <c:smooth val="0"/>
          <c:extLst>
            <c:ext xmlns:c16="http://schemas.microsoft.com/office/drawing/2014/chart" uri="{C3380CC4-5D6E-409C-BE32-E72D297353CC}">
              <c16:uniqueId val="{00000009-5EB8-4DC4-B34D-6901CCE7751B}"/>
            </c:ext>
          </c:extLst>
        </c:ser>
        <c:ser>
          <c:idx val="9"/>
          <c:order val="9"/>
          <c:tx>
            <c:strRef>
              <c:f>Template!$Q$75</c:f>
              <c:strCache>
                <c:ptCount val="1"/>
                <c:pt idx="0">
                  <c:v>8</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Template!$R$75:$AD$75</c:f>
              <c:numCache>
                <c:formatCode>#,##0.00_);[Red]\(#,##0.00\)</c:formatCode>
                <c:ptCount val="13"/>
                <c:pt idx="0">
                  <c:v>0.12544085564942781</c:v>
                </c:pt>
                <c:pt idx="1">
                  <c:v>1.1046899905319842</c:v>
                </c:pt>
                <c:pt idx="2">
                  <c:v>2.0453703471098375</c:v>
                </c:pt>
                <c:pt idx="3">
                  <c:v>3.0370290451022144</c:v>
                </c:pt>
                <c:pt idx="4">
                  <c:v>4.0205201129163175</c:v>
                </c:pt>
                <c:pt idx="5">
                  <c:v>4.9837209240411644</c:v>
                </c:pt>
                <c:pt idx="6">
                  <c:v>5.9798929619190879</c:v>
                </c:pt>
                <c:pt idx="7">
                  <c:v>6.9716264703649804</c:v>
                </c:pt>
                <c:pt idx="8">
                  <c:v>7.9810088869105194</c:v>
                </c:pt>
                <c:pt idx="9">
                  <c:v>8.9900225337568909</c:v>
                </c:pt>
                <c:pt idx="10">
                  <c:v>10.006102744033409</c:v>
                </c:pt>
                <c:pt idx="11">
                  <c:v>10.997636991169337</c:v>
                </c:pt>
                <c:pt idx="12">
                  <c:v>12.018994187606895</c:v>
                </c:pt>
              </c:numCache>
            </c:numRef>
          </c:xVal>
          <c:yVal>
            <c:numRef>
              <c:f>Template!$R$88:$AD$88</c:f>
              <c:numCache>
                <c:formatCode>#,##0.00_);[Red]\(#,##0.00\)</c:formatCode>
                <c:ptCount val="13"/>
                <c:pt idx="0">
                  <c:v>7.8245614035087723</c:v>
                </c:pt>
                <c:pt idx="1">
                  <c:v>7.8302494265533058</c:v>
                </c:pt>
                <c:pt idx="2">
                  <c:v>7.9074750307422255</c:v>
                </c:pt>
                <c:pt idx="3">
                  <c:v>7.9215464977930319</c:v>
                </c:pt>
                <c:pt idx="4">
                  <c:v>7.9567748747051059</c:v>
                </c:pt>
                <c:pt idx="5">
                  <c:v>8.0418734977457191</c:v>
                </c:pt>
                <c:pt idx="6">
                  <c:v>8.0457418730371657</c:v>
                </c:pt>
                <c:pt idx="7">
                  <c:v>8.0668533202044941</c:v>
                </c:pt>
                <c:pt idx="8">
                  <c:v>8.0559304191415428</c:v>
                </c:pt>
                <c:pt idx="9">
                  <c:v>8.0291510109787723</c:v>
                </c:pt>
                <c:pt idx="10">
                  <c:v>7.9839187530270355</c:v>
                </c:pt>
                <c:pt idx="11">
                  <c:v>8.0061440095858671</c:v>
                </c:pt>
                <c:pt idx="12">
                  <c:v>7.9483625501808328</c:v>
                </c:pt>
              </c:numCache>
            </c:numRef>
          </c:yVal>
          <c:smooth val="0"/>
          <c:extLst>
            <c:ext xmlns:c16="http://schemas.microsoft.com/office/drawing/2014/chart" uri="{C3380CC4-5D6E-409C-BE32-E72D297353CC}">
              <c16:uniqueId val="{0000000B-5EB8-4DC4-B34D-6901CCE7751B}"/>
            </c:ext>
          </c:extLst>
        </c:ser>
        <c:ser>
          <c:idx val="10"/>
          <c:order val="10"/>
          <c:tx>
            <c:strRef>
              <c:f>Template!$Q$76</c:f>
              <c:strCache>
                <c:ptCount val="1"/>
                <c:pt idx="0">
                  <c:v>9</c:v>
                </c:pt>
              </c:strCache>
            </c:strRef>
          </c:tx>
          <c:spPr>
            <a:ln w="19050" cap="rnd">
              <a:solidFill>
                <a:schemeClr val="accent1"/>
              </a:solidFill>
              <a:round/>
            </a:ln>
            <a:effectLst/>
          </c:spPr>
          <c:marker>
            <c:symbol val="circle"/>
            <c:size val="5"/>
            <c:spPr>
              <a:solidFill>
                <a:schemeClr val="accent1"/>
              </a:solidFill>
              <a:ln w="9525">
                <a:noFill/>
              </a:ln>
              <a:effectLst/>
            </c:spPr>
          </c:marker>
          <c:xVal>
            <c:numRef>
              <c:f>Template!$R$76:$AD$76</c:f>
              <c:numCache>
                <c:formatCode>#,##0.00_);[Red]\(#,##0.00\)</c:formatCode>
                <c:ptCount val="13"/>
                <c:pt idx="0">
                  <c:v>0.11643383016403719</c:v>
                </c:pt>
                <c:pt idx="1">
                  <c:v>1.0745360670319197</c:v>
                </c:pt>
                <c:pt idx="2">
                  <c:v>2.0231863007692721</c:v>
                </c:pt>
                <c:pt idx="3">
                  <c:v>3.0562979089367364</c:v>
                </c:pt>
                <c:pt idx="4">
                  <c:v>4.054794533378848</c:v>
                </c:pt>
                <c:pt idx="5">
                  <c:v>5.0356853552531788</c:v>
                </c:pt>
                <c:pt idx="6">
                  <c:v>6.0382443848643863</c:v>
                </c:pt>
                <c:pt idx="7">
                  <c:v>7.0397131660773731</c:v>
                </c:pt>
                <c:pt idx="8">
                  <c:v>8.0497754779032462</c:v>
                </c:pt>
                <c:pt idx="9">
                  <c:v>9.0428668304963562</c:v>
                </c:pt>
                <c:pt idx="10">
                  <c:v>10.058989149604871</c:v>
                </c:pt>
                <c:pt idx="11">
                  <c:v>11.043205154472929</c:v>
                </c:pt>
                <c:pt idx="12">
                  <c:v>12.041203862462675</c:v>
                </c:pt>
              </c:numCache>
            </c:numRef>
          </c:xVal>
          <c:yVal>
            <c:numRef>
              <c:f>Template!$R$89:$AD$89</c:f>
              <c:numCache>
                <c:formatCode>#,##0.00_);[Red]\(#,##0.00\)</c:formatCode>
                <c:ptCount val="13"/>
                <c:pt idx="0">
                  <c:v>8.8245614035087723</c:v>
                </c:pt>
                <c:pt idx="1">
                  <c:v>8.8697935835904271</c:v>
                </c:pt>
                <c:pt idx="2">
                  <c:v>8.949057748407391</c:v>
                </c:pt>
                <c:pt idx="3">
                  <c:v>8.8714944423206301</c:v>
                </c:pt>
                <c:pt idx="4">
                  <c:v>8.8756477719247755</c:v>
                </c:pt>
                <c:pt idx="5">
                  <c:v>8.9011084148811346</c:v>
                </c:pt>
                <c:pt idx="6">
                  <c:v>8.9062668208394093</c:v>
                </c:pt>
                <c:pt idx="7">
                  <c:v>8.8991899217924626</c:v>
                </c:pt>
                <c:pt idx="8">
                  <c:v>8.8420669887092043</c:v>
                </c:pt>
                <c:pt idx="9">
                  <c:v>8.8650681262703248</c:v>
                </c:pt>
                <c:pt idx="10">
                  <c:v>8.8325340466911122</c:v>
                </c:pt>
                <c:pt idx="11">
                  <c:v>8.8789730953970611</c:v>
                </c:pt>
                <c:pt idx="12">
                  <c:v>8.8793181899911939</c:v>
                </c:pt>
              </c:numCache>
            </c:numRef>
          </c:yVal>
          <c:smooth val="0"/>
          <c:extLst>
            <c:ext xmlns:c16="http://schemas.microsoft.com/office/drawing/2014/chart" uri="{C3380CC4-5D6E-409C-BE32-E72D297353CC}">
              <c16:uniqueId val="{0000000D-5EB8-4DC4-B34D-6901CCE7751B}"/>
            </c:ext>
          </c:extLst>
        </c:ser>
        <c:ser>
          <c:idx val="11"/>
          <c:order val="11"/>
          <c:tx>
            <c:strRef>
              <c:f>Template!$R$66</c:f>
              <c:strCache>
                <c:ptCount val="1"/>
                <c:pt idx="0">
                  <c:v>0</c:v>
                </c:pt>
              </c:strCache>
            </c:strRef>
          </c:tx>
          <c:spPr>
            <a:ln w="19050" cap="rnd">
              <a:solidFill>
                <a:schemeClr val="accent1"/>
              </a:solidFill>
              <a:round/>
            </a:ln>
            <a:effectLst/>
          </c:spPr>
          <c:marker>
            <c:symbol val="none"/>
          </c:marker>
          <c:xVal>
            <c:numRef>
              <c:f>Template!$R$67:$R$76</c:f>
              <c:numCache>
                <c:formatCode>#,##0.00_);[Red]\(#,##0.00\)</c:formatCode>
                <c:ptCount val="10"/>
                <c:pt idx="0">
                  <c:v>0.17543859649122806</c:v>
                </c:pt>
                <c:pt idx="1">
                  <c:v>0.1439818705572162</c:v>
                </c:pt>
                <c:pt idx="2">
                  <c:v>0.15308628586849674</c:v>
                </c:pt>
                <c:pt idx="3">
                  <c:v>0.13748949784890632</c:v>
                </c:pt>
                <c:pt idx="4">
                  <c:v>0.13263931008543647</c:v>
                </c:pt>
                <c:pt idx="5">
                  <c:v>0.10757238878454863</c:v>
                </c:pt>
                <c:pt idx="6">
                  <c:v>9.6388209381574261E-2</c:v>
                </c:pt>
                <c:pt idx="7">
                  <c:v>0.10527116889302925</c:v>
                </c:pt>
                <c:pt idx="8">
                  <c:v>0.12544085564942781</c:v>
                </c:pt>
                <c:pt idx="9">
                  <c:v>0.11643383016403719</c:v>
                </c:pt>
              </c:numCache>
            </c:numRef>
          </c:xVal>
          <c:yVal>
            <c:numRef>
              <c:f>Template!$R$80:$R$89</c:f>
              <c:numCache>
                <c:formatCode>#,##0.00_);[Red]\(#,##0.00\)</c:formatCode>
                <c:ptCount val="10"/>
                <c:pt idx="0">
                  <c:v>-0.10262752214532804</c:v>
                </c:pt>
                <c:pt idx="1">
                  <c:v>0.92425190406197966</c:v>
                </c:pt>
                <c:pt idx="2">
                  <c:v>1.9273016139977093</c:v>
                </c:pt>
                <c:pt idx="3">
                  <c:v>2.877193719077813</c:v>
                </c:pt>
                <c:pt idx="4">
                  <c:v>3.9219779987561325</c:v>
                </c:pt>
                <c:pt idx="5">
                  <c:v>4.8988423324777086</c:v>
                </c:pt>
                <c:pt idx="6">
                  <c:v>5.8878214246464102</c:v>
                </c:pt>
                <c:pt idx="7">
                  <c:v>6.8992718504434585</c:v>
                </c:pt>
                <c:pt idx="8">
                  <c:v>7.8245614035087723</c:v>
                </c:pt>
                <c:pt idx="9">
                  <c:v>8.8245614035087723</c:v>
                </c:pt>
              </c:numCache>
            </c:numRef>
          </c:yVal>
          <c:smooth val="0"/>
          <c:extLst>
            <c:ext xmlns:c16="http://schemas.microsoft.com/office/drawing/2014/chart" uri="{C3380CC4-5D6E-409C-BE32-E72D297353CC}">
              <c16:uniqueId val="{0000000E-5EB8-4DC4-B34D-6901CCE7751B}"/>
            </c:ext>
          </c:extLst>
        </c:ser>
        <c:ser>
          <c:idx val="12"/>
          <c:order val="12"/>
          <c:tx>
            <c:strRef>
              <c:f>Template!$S$66</c:f>
              <c:strCache>
                <c:ptCount val="1"/>
                <c:pt idx="0">
                  <c:v>1</c:v>
                </c:pt>
              </c:strCache>
            </c:strRef>
          </c:tx>
          <c:spPr>
            <a:ln w="19050" cap="rnd">
              <a:solidFill>
                <a:schemeClr val="accent1"/>
              </a:solidFill>
              <a:round/>
            </a:ln>
            <a:effectLst/>
          </c:spPr>
          <c:marker>
            <c:symbol val="none"/>
          </c:marker>
          <c:xVal>
            <c:numRef>
              <c:f>Template!$S$67:$S$76</c:f>
              <c:numCache>
                <c:formatCode>#,##0.00_);[Red]\(#,##0.00\)</c:formatCode>
                <c:ptCount val="10"/>
                <c:pt idx="0">
                  <c:v>1.1655318483808377</c:v>
                </c:pt>
                <c:pt idx="1">
                  <c:v>1.0777338245369446</c:v>
                </c:pt>
                <c:pt idx="2">
                  <c:v>1.1754385964912282</c:v>
                </c:pt>
                <c:pt idx="3">
                  <c:v>1.1025927478869957</c:v>
                </c:pt>
                <c:pt idx="4">
                  <c:v>1.0855894407062125</c:v>
                </c:pt>
                <c:pt idx="5">
                  <c:v>1.1365641862987808</c:v>
                </c:pt>
                <c:pt idx="6">
                  <c:v>1.0596839005549807</c:v>
                </c:pt>
                <c:pt idx="7">
                  <c:v>1.1111362286362871</c:v>
                </c:pt>
                <c:pt idx="8">
                  <c:v>1.1046899905319842</c:v>
                </c:pt>
                <c:pt idx="9">
                  <c:v>1.0745360670319197</c:v>
                </c:pt>
              </c:numCache>
            </c:numRef>
          </c:xVal>
          <c:yVal>
            <c:numRef>
              <c:f>Template!$S$80:$S$89</c:f>
              <c:numCache>
                <c:formatCode>#,##0.00_);[Red]\(#,##0.00\)</c:formatCode>
                <c:ptCount val="10"/>
                <c:pt idx="0">
                  <c:v>-0.1122639235708086</c:v>
                </c:pt>
                <c:pt idx="1">
                  <c:v>0.95258738623805639</c:v>
                </c:pt>
                <c:pt idx="2">
                  <c:v>1.903409685556124</c:v>
                </c:pt>
                <c:pt idx="3">
                  <c:v>2.8937600961933758</c:v>
                </c:pt>
                <c:pt idx="4">
                  <c:v>3.941630634442749</c:v>
                </c:pt>
                <c:pt idx="5">
                  <c:v>4.8511136893426734</c:v>
                </c:pt>
                <c:pt idx="6">
                  <c:v>5.9194689875979014</c:v>
                </c:pt>
                <c:pt idx="7">
                  <c:v>6.8767130755808363</c:v>
                </c:pt>
                <c:pt idx="8">
                  <c:v>7.8302494265533058</c:v>
                </c:pt>
                <c:pt idx="9">
                  <c:v>8.8697935835904271</c:v>
                </c:pt>
              </c:numCache>
            </c:numRef>
          </c:yVal>
          <c:smooth val="0"/>
          <c:extLst>
            <c:ext xmlns:c16="http://schemas.microsoft.com/office/drawing/2014/chart" uri="{C3380CC4-5D6E-409C-BE32-E72D297353CC}">
              <c16:uniqueId val="{0000000F-5EB8-4DC4-B34D-6901CCE7751B}"/>
            </c:ext>
          </c:extLst>
        </c:ser>
        <c:ser>
          <c:idx val="13"/>
          <c:order val="13"/>
          <c:tx>
            <c:strRef>
              <c:f>Template!$T$66</c:f>
              <c:strCache>
                <c:ptCount val="1"/>
                <c:pt idx="0">
                  <c:v>2</c:v>
                </c:pt>
              </c:strCache>
            </c:strRef>
          </c:tx>
          <c:spPr>
            <a:ln w="19050" cap="rnd">
              <a:solidFill>
                <a:schemeClr val="accent1"/>
              </a:solidFill>
              <a:round/>
            </a:ln>
            <a:effectLst/>
          </c:spPr>
          <c:marker>
            <c:symbol val="none"/>
          </c:marker>
          <c:xVal>
            <c:numRef>
              <c:f>Template!$T$67:$T$76</c:f>
              <c:numCache>
                <c:formatCode>#,##0.00_);[Red]\(#,##0.00\)</c:formatCode>
                <c:ptCount val="10"/>
                <c:pt idx="0">
                  <c:v>2.1754385964912282</c:v>
                </c:pt>
                <c:pt idx="1">
                  <c:v>2.0810666101502466</c:v>
                </c:pt>
                <c:pt idx="2">
                  <c:v>2.1054528169319977</c:v>
                </c:pt>
                <c:pt idx="3">
                  <c:v>2.1098819367461608</c:v>
                </c:pt>
                <c:pt idx="4">
                  <c:v>2.109370817745662</c:v>
                </c:pt>
                <c:pt idx="5">
                  <c:v>2.12794591935041</c:v>
                </c:pt>
                <c:pt idx="6">
                  <c:v>2.0696521328221973</c:v>
                </c:pt>
                <c:pt idx="7">
                  <c:v>2.1175999568480388</c:v>
                </c:pt>
                <c:pt idx="8">
                  <c:v>2.0453703471098375</c:v>
                </c:pt>
                <c:pt idx="9">
                  <c:v>2.0231863007692721</c:v>
                </c:pt>
              </c:numCache>
            </c:numRef>
          </c:xVal>
          <c:yVal>
            <c:numRef>
              <c:f>Template!$T$80:$T$89</c:f>
              <c:numCache>
                <c:formatCode>#,##0.00_);[Red]\(#,##0.00\)</c:formatCode>
                <c:ptCount val="10"/>
                <c:pt idx="0">
                  <c:v>-0.1496458075898893</c:v>
                </c:pt>
                <c:pt idx="1">
                  <c:v>0.93781199379869007</c:v>
                </c:pt>
                <c:pt idx="2">
                  <c:v>1.9269790667788571</c:v>
                </c:pt>
                <c:pt idx="3">
                  <c:v>2.8568873346696431</c:v>
                </c:pt>
                <c:pt idx="4">
                  <c:v>3.9061904610210245</c:v>
                </c:pt>
                <c:pt idx="5">
                  <c:v>4.8245614035087723</c:v>
                </c:pt>
                <c:pt idx="6">
                  <c:v>5.8817990033733469</c:v>
                </c:pt>
                <c:pt idx="7">
                  <c:v>6.835922404148941</c:v>
                </c:pt>
                <c:pt idx="8">
                  <c:v>7.9074750307422255</c:v>
                </c:pt>
                <c:pt idx="9">
                  <c:v>8.949057748407391</c:v>
                </c:pt>
              </c:numCache>
            </c:numRef>
          </c:yVal>
          <c:smooth val="0"/>
          <c:extLst>
            <c:ext xmlns:c16="http://schemas.microsoft.com/office/drawing/2014/chart" uri="{C3380CC4-5D6E-409C-BE32-E72D297353CC}">
              <c16:uniqueId val="{00000010-5EB8-4DC4-B34D-6901CCE7751B}"/>
            </c:ext>
          </c:extLst>
        </c:ser>
        <c:ser>
          <c:idx val="14"/>
          <c:order val="14"/>
          <c:tx>
            <c:strRef>
              <c:f>Template!$U$66</c:f>
              <c:strCache>
                <c:ptCount val="1"/>
                <c:pt idx="0">
                  <c:v>3</c:v>
                </c:pt>
              </c:strCache>
            </c:strRef>
          </c:tx>
          <c:spPr>
            <a:ln w="19050" cap="rnd">
              <a:solidFill>
                <a:schemeClr val="accent1"/>
              </a:solidFill>
              <a:round/>
            </a:ln>
            <a:effectLst/>
          </c:spPr>
          <c:marker>
            <c:symbol val="none"/>
          </c:marker>
          <c:xVal>
            <c:numRef>
              <c:f>Template!$U$67:$U$76</c:f>
              <c:numCache>
                <c:formatCode>#,##0.00_);[Red]\(#,##0.00\)</c:formatCode>
                <c:ptCount val="10"/>
                <c:pt idx="0">
                  <c:v>3.1754385964912282</c:v>
                </c:pt>
                <c:pt idx="1">
                  <c:v>3.0916868852737212</c:v>
                </c:pt>
                <c:pt idx="2">
                  <c:v>3.146421993944414</c:v>
                </c:pt>
                <c:pt idx="3">
                  <c:v>3.1242843548597974</c:v>
                </c:pt>
                <c:pt idx="4">
                  <c:v>3.1308834867207507</c:v>
                </c:pt>
                <c:pt idx="5">
                  <c:v>3.0940288091984609</c:v>
                </c:pt>
                <c:pt idx="6">
                  <c:v>3.0577750948791076</c:v>
                </c:pt>
                <c:pt idx="7">
                  <c:v>3.0807392375709046</c:v>
                </c:pt>
                <c:pt idx="8">
                  <c:v>3.0370290451022144</c:v>
                </c:pt>
                <c:pt idx="9">
                  <c:v>3.0562979089367364</c:v>
                </c:pt>
              </c:numCache>
            </c:numRef>
          </c:xVal>
          <c:yVal>
            <c:numRef>
              <c:f>Template!$U$80:$U$89</c:f>
              <c:numCache>
                <c:formatCode>#,##0.00_);[Red]\(#,##0.00\)</c:formatCode>
                <c:ptCount val="10"/>
                <c:pt idx="0">
                  <c:v>-0.15547033328471238</c:v>
                </c:pt>
                <c:pt idx="1">
                  <c:v>0.92692735718683783</c:v>
                </c:pt>
                <c:pt idx="2">
                  <c:v>1.8946635966586791</c:v>
                </c:pt>
                <c:pt idx="3">
                  <c:v>2.8318289630525526</c:v>
                </c:pt>
                <c:pt idx="4">
                  <c:v>3.8833691680221705</c:v>
                </c:pt>
                <c:pt idx="5">
                  <c:v>4.8660500313066564</c:v>
                </c:pt>
                <c:pt idx="6">
                  <c:v>5.8981384310033222</c:v>
                </c:pt>
                <c:pt idx="7">
                  <c:v>6.8829666219322085</c:v>
                </c:pt>
                <c:pt idx="8">
                  <c:v>7.9215464977930319</c:v>
                </c:pt>
                <c:pt idx="9">
                  <c:v>8.8714944423206301</c:v>
                </c:pt>
              </c:numCache>
            </c:numRef>
          </c:yVal>
          <c:smooth val="0"/>
          <c:extLst>
            <c:ext xmlns:c16="http://schemas.microsoft.com/office/drawing/2014/chart" uri="{C3380CC4-5D6E-409C-BE32-E72D297353CC}">
              <c16:uniqueId val="{00000011-5EB8-4DC4-B34D-6901CCE7751B}"/>
            </c:ext>
          </c:extLst>
        </c:ser>
        <c:ser>
          <c:idx val="15"/>
          <c:order val="15"/>
          <c:tx>
            <c:strRef>
              <c:f>Template!$V$66</c:f>
              <c:strCache>
                <c:ptCount val="1"/>
                <c:pt idx="0">
                  <c:v>4</c:v>
                </c:pt>
              </c:strCache>
            </c:strRef>
          </c:tx>
          <c:spPr>
            <a:ln w="19050" cap="rnd">
              <a:solidFill>
                <a:schemeClr val="accent1"/>
              </a:solidFill>
              <a:round/>
            </a:ln>
            <a:effectLst/>
          </c:spPr>
          <c:marker>
            <c:symbol val="none"/>
          </c:marker>
          <c:xVal>
            <c:numRef>
              <c:f>Template!$V$67:$V$76</c:f>
              <c:numCache>
                <c:formatCode>#,##0.00_);[Red]\(#,##0.00\)</c:formatCode>
                <c:ptCount val="10"/>
                <c:pt idx="0">
                  <c:v>4.1217767693688661</c:v>
                </c:pt>
                <c:pt idx="1">
                  <c:v>4.1222941250241423</c:v>
                </c:pt>
                <c:pt idx="2">
                  <c:v>4.1754385964912277</c:v>
                </c:pt>
                <c:pt idx="3">
                  <c:v>4.0881926602213285</c:v>
                </c:pt>
                <c:pt idx="4">
                  <c:v>4.1468231798911832</c:v>
                </c:pt>
                <c:pt idx="5">
                  <c:v>4.0855726878042535</c:v>
                </c:pt>
                <c:pt idx="6">
                  <c:v>4.0749064115178708</c:v>
                </c:pt>
                <c:pt idx="7">
                  <c:v>4.0722234135177295</c:v>
                </c:pt>
                <c:pt idx="8">
                  <c:v>4.0205201129163175</c:v>
                </c:pt>
                <c:pt idx="9">
                  <c:v>4.054794533378848</c:v>
                </c:pt>
              </c:numCache>
            </c:numRef>
          </c:xVal>
          <c:yVal>
            <c:numRef>
              <c:f>Template!$V$80:$V$89</c:f>
              <c:numCache>
                <c:formatCode>#,##0.00_);[Red]\(#,##0.00\)</c:formatCode>
                <c:ptCount val="10"/>
                <c:pt idx="0">
                  <c:v>-0.10729352788569708</c:v>
                </c:pt>
                <c:pt idx="1">
                  <c:v>0.90309640676024971</c:v>
                </c:pt>
                <c:pt idx="2">
                  <c:v>1.8745172566272095</c:v>
                </c:pt>
                <c:pt idx="3">
                  <c:v>2.8813537887761398</c:v>
                </c:pt>
                <c:pt idx="4">
                  <c:v>3.8699202075967527</c:v>
                </c:pt>
                <c:pt idx="5">
                  <c:v>4.8787997417286189</c:v>
                </c:pt>
                <c:pt idx="6">
                  <c:v>5.8686967795720788</c:v>
                </c:pt>
                <c:pt idx="7">
                  <c:v>6.8959146038962569</c:v>
                </c:pt>
                <c:pt idx="8">
                  <c:v>7.9567748747051059</c:v>
                </c:pt>
                <c:pt idx="9">
                  <c:v>8.8756477719247755</c:v>
                </c:pt>
              </c:numCache>
            </c:numRef>
          </c:yVal>
          <c:smooth val="0"/>
          <c:extLst>
            <c:ext xmlns:c16="http://schemas.microsoft.com/office/drawing/2014/chart" uri="{C3380CC4-5D6E-409C-BE32-E72D297353CC}">
              <c16:uniqueId val="{00000012-5EB8-4DC4-B34D-6901CCE7751B}"/>
            </c:ext>
          </c:extLst>
        </c:ser>
        <c:ser>
          <c:idx val="16"/>
          <c:order val="16"/>
          <c:tx>
            <c:strRef>
              <c:f>Template!$W$66</c:f>
              <c:strCache>
                <c:ptCount val="1"/>
                <c:pt idx="0">
                  <c:v>5</c:v>
                </c:pt>
              </c:strCache>
            </c:strRef>
          </c:tx>
          <c:spPr>
            <a:ln w="19050" cap="rnd">
              <a:solidFill>
                <a:schemeClr val="accent1"/>
              </a:solidFill>
              <a:round/>
            </a:ln>
            <a:effectLst/>
          </c:spPr>
          <c:marker>
            <c:symbol val="none"/>
          </c:marker>
          <c:xVal>
            <c:numRef>
              <c:f>Template!$W$67:$W$76</c:f>
              <c:numCache>
                <c:formatCode>#,##0.00_);[Red]\(#,##0.00\)</c:formatCode>
                <c:ptCount val="10"/>
                <c:pt idx="0">
                  <c:v>5.0567708173829855</c:v>
                </c:pt>
                <c:pt idx="1">
                  <c:v>5.1083194788123549</c:v>
                </c:pt>
                <c:pt idx="2">
                  <c:v>5.1754385964912277</c:v>
                </c:pt>
                <c:pt idx="3">
                  <c:v>5.0726050446218132</c:v>
                </c:pt>
                <c:pt idx="4">
                  <c:v>5.1303413917017453</c:v>
                </c:pt>
                <c:pt idx="5">
                  <c:v>5.0477631596416686</c:v>
                </c:pt>
                <c:pt idx="6">
                  <c:v>5.063074029253368</c:v>
                </c:pt>
                <c:pt idx="7">
                  <c:v>5.03773054576045</c:v>
                </c:pt>
                <c:pt idx="8">
                  <c:v>4.9837209240411644</c:v>
                </c:pt>
                <c:pt idx="9">
                  <c:v>5.0356853552531788</c:v>
                </c:pt>
              </c:numCache>
            </c:numRef>
          </c:xVal>
          <c:yVal>
            <c:numRef>
              <c:f>Template!$W$80:$W$89</c:f>
              <c:numCache>
                <c:formatCode>#,##0.00_);[Red]\(#,##0.00\)</c:formatCode>
                <c:ptCount val="10"/>
                <c:pt idx="0">
                  <c:v>-6.1078336401898005E-2</c:v>
                </c:pt>
                <c:pt idx="1">
                  <c:v>0.89519214708090844</c:v>
                </c:pt>
                <c:pt idx="2">
                  <c:v>1.8467724067010265</c:v>
                </c:pt>
                <c:pt idx="3">
                  <c:v>2.8807272579795025</c:v>
                </c:pt>
                <c:pt idx="4">
                  <c:v>3.8589897967529554</c:v>
                </c:pt>
                <c:pt idx="5">
                  <c:v>4.9173934668273667</c:v>
                </c:pt>
                <c:pt idx="6">
                  <c:v>5.8649918654827564</c:v>
                </c:pt>
                <c:pt idx="7">
                  <c:v>6.9336015638018029</c:v>
                </c:pt>
                <c:pt idx="8">
                  <c:v>8.0418734977457191</c:v>
                </c:pt>
                <c:pt idx="9">
                  <c:v>8.9011084148811346</c:v>
                </c:pt>
              </c:numCache>
            </c:numRef>
          </c:yVal>
          <c:smooth val="0"/>
          <c:extLst>
            <c:ext xmlns:c16="http://schemas.microsoft.com/office/drawing/2014/chart" uri="{C3380CC4-5D6E-409C-BE32-E72D297353CC}">
              <c16:uniqueId val="{00000013-5EB8-4DC4-B34D-6901CCE7751B}"/>
            </c:ext>
          </c:extLst>
        </c:ser>
        <c:ser>
          <c:idx val="17"/>
          <c:order val="17"/>
          <c:tx>
            <c:strRef>
              <c:f>Template!$X$66</c:f>
              <c:strCache>
                <c:ptCount val="1"/>
                <c:pt idx="0">
                  <c:v>6</c:v>
                </c:pt>
              </c:strCache>
            </c:strRef>
          </c:tx>
          <c:spPr>
            <a:ln w="19050" cap="rnd">
              <a:solidFill>
                <a:schemeClr val="accent1"/>
              </a:solidFill>
              <a:round/>
            </a:ln>
            <a:effectLst/>
          </c:spPr>
          <c:marker>
            <c:symbol val="none"/>
          </c:marker>
          <c:xVal>
            <c:numRef>
              <c:f>Template!$X$67:$X$76</c:f>
              <c:numCache>
                <c:formatCode>#,##0.00_);[Red]\(#,##0.00\)</c:formatCode>
                <c:ptCount val="10"/>
                <c:pt idx="0">
                  <c:v>6.0945918572923068</c:v>
                </c:pt>
                <c:pt idx="1">
                  <c:v>6.141442683870352</c:v>
                </c:pt>
                <c:pt idx="2">
                  <c:v>6.1718339534263889</c:v>
                </c:pt>
                <c:pt idx="3">
                  <c:v>6.1052053717315324</c:v>
                </c:pt>
                <c:pt idx="4">
                  <c:v>6.1754385964912277</c:v>
                </c:pt>
                <c:pt idx="5">
                  <c:v>6.0214782719836117</c:v>
                </c:pt>
                <c:pt idx="6">
                  <c:v>6.0473408647162552</c:v>
                </c:pt>
                <c:pt idx="7">
                  <c:v>6.0551233943978984</c:v>
                </c:pt>
                <c:pt idx="8">
                  <c:v>5.9798929619190879</c:v>
                </c:pt>
                <c:pt idx="9">
                  <c:v>6.0382443848643863</c:v>
                </c:pt>
              </c:numCache>
            </c:numRef>
          </c:xVal>
          <c:yVal>
            <c:numRef>
              <c:f>Template!$X$80:$X$89</c:f>
              <c:numCache>
                <c:formatCode>#,##0.00_);[Red]\(#,##0.00\)</c:formatCode>
                <c:ptCount val="10"/>
                <c:pt idx="0">
                  <c:v>-9.0006144556513637E-2</c:v>
                </c:pt>
                <c:pt idx="1">
                  <c:v>0.87896134066379694</c:v>
                </c:pt>
                <c:pt idx="2">
                  <c:v>1.8672675313373328</c:v>
                </c:pt>
                <c:pt idx="3">
                  <c:v>2.8471488622112178</c:v>
                </c:pt>
                <c:pt idx="4">
                  <c:v>3.8321390476196764</c:v>
                </c:pt>
                <c:pt idx="5">
                  <c:v>4.9671468483185084</c:v>
                </c:pt>
                <c:pt idx="6">
                  <c:v>5.9103806269654386</c:v>
                </c:pt>
                <c:pt idx="7">
                  <c:v>6.914205969606301</c:v>
                </c:pt>
                <c:pt idx="8">
                  <c:v>8.0457418730371657</c:v>
                </c:pt>
                <c:pt idx="9">
                  <c:v>8.9062668208394093</c:v>
                </c:pt>
              </c:numCache>
            </c:numRef>
          </c:yVal>
          <c:smooth val="0"/>
          <c:extLst>
            <c:ext xmlns:c16="http://schemas.microsoft.com/office/drawing/2014/chart" uri="{C3380CC4-5D6E-409C-BE32-E72D297353CC}">
              <c16:uniqueId val="{00000014-5EB8-4DC4-B34D-6901CCE7751B}"/>
            </c:ext>
          </c:extLst>
        </c:ser>
        <c:ser>
          <c:idx val="18"/>
          <c:order val="18"/>
          <c:tx>
            <c:strRef>
              <c:f>Template!$Y$66</c:f>
              <c:strCache>
                <c:ptCount val="1"/>
                <c:pt idx="0">
                  <c:v>7</c:v>
                </c:pt>
              </c:strCache>
            </c:strRef>
          </c:tx>
          <c:spPr>
            <a:ln w="19050" cap="rnd">
              <a:solidFill>
                <a:schemeClr val="accent1"/>
              </a:solidFill>
              <a:round/>
            </a:ln>
            <a:effectLst/>
          </c:spPr>
          <c:marker>
            <c:symbol val="none"/>
          </c:marker>
          <c:xVal>
            <c:numRef>
              <c:f>Template!$Y$67:$Y$76</c:f>
              <c:numCache>
                <c:formatCode>#,##0.00_);[Red]\(#,##0.00\)</c:formatCode>
                <c:ptCount val="10"/>
                <c:pt idx="0">
                  <c:v>7.0560944702336581</c:v>
                </c:pt>
                <c:pt idx="1">
                  <c:v>7.138792345723453</c:v>
                </c:pt>
                <c:pt idx="2">
                  <c:v>7.1754385964912277</c:v>
                </c:pt>
                <c:pt idx="3">
                  <c:v>7.113815692759311</c:v>
                </c:pt>
                <c:pt idx="4">
                  <c:v>7.1682542337346771</c:v>
                </c:pt>
                <c:pt idx="5">
                  <c:v>7.0412408897811458</c:v>
                </c:pt>
                <c:pt idx="6">
                  <c:v>7.0315786791656558</c:v>
                </c:pt>
                <c:pt idx="7">
                  <c:v>7.0521876795189362</c:v>
                </c:pt>
                <c:pt idx="8">
                  <c:v>6.9716264703649804</c:v>
                </c:pt>
                <c:pt idx="9">
                  <c:v>7.0397131660773731</c:v>
                </c:pt>
              </c:numCache>
            </c:numRef>
          </c:xVal>
          <c:yVal>
            <c:numRef>
              <c:f>Template!$Y$80:$Y$89</c:f>
              <c:numCache>
                <c:formatCode>#,##0.00_);[Red]\(#,##0.00\)</c:formatCode>
                <c:ptCount val="10"/>
                <c:pt idx="0">
                  <c:v>-5.5281806858931103E-2</c:v>
                </c:pt>
                <c:pt idx="1">
                  <c:v>0.87698646343882281</c:v>
                </c:pt>
                <c:pt idx="2">
                  <c:v>1.8596420209495503</c:v>
                </c:pt>
                <c:pt idx="3">
                  <c:v>2.8287318213930566</c:v>
                </c:pt>
                <c:pt idx="4">
                  <c:v>3.8332621059541396</c:v>
                </c:pt>
                <c:pt idx="5">
                  <c:v>4.9346644576921079</c:v>
                </c:pt>
                <c:pt idx="6">
                  <c:v>5.9380839206395484</c:v>
                </c:pt>
                <c:pt idx="7">
                  <c:v>6.9158734891849196</c:v>
                </c:pt>
                <c:pt idx="8">
                  <c:v>8.0668533202044941</c:v>
                </c:pt>
                <c:pt idx="9">
                  <c:v>8.8991899217924626</c:v>
                </c:pt>
              </c:numCache>
            </c:numRef>
          </c:yVal>
          <c:smooth val="0"/>
          <c:extLst>
            <c:ext xmlns:c16="http://schemas.microsoft.com/office/drawing/2014/chart" uri="{C3380CC4-5D6E-409C-BE32-E72D297353CC}">
              <c16:uniqueId val="{00000015-5EB8-4DC4-B34D-6901CCE7751B}"/>
            </c:ext>
          </c:extLst>
        </c:ser>
        <c:ser>
          <c:idx val="19"/>
          <c:order val="19"/>
          <c:tx>
            <c:strRef>
              <c:f>Template!$Z$66</c:f>
              <c:strCache>
                <c:ptCount val="1"/>
                <c:pt idx="0">
                  <c:v>8</c:v>
                </c:pt>
              </c:strCache>
            </c:strRef>
          </c:tx>
          <c:spPr>
            <a:ln w="19050" cap="rnd">
              <a:solidFill>
                <a:schemeClr val="accent1"/>
              </a:solidFill>
              <a:round/>
            </a:ln>
            <a:effectLst/>
          </c:spPr>
          <c:marker>
            <c:symbol val="none"/>
          </c:marker>
          <c:xVal>
            <c:numRef>
              <c:f>Template!$Z$67:$Z$76</c:f>
              <c:numCache>
                <c:formatCode>#,##0.00_);[Red]\(#,##0.00\)</c:formatCode>
                <c:ptCount val="10"/>
                <c:pt idx="0">
                  <c:v>8.0833555064965026</c:v>
                </c:pt>
                <c:pt idx="1">
                  <c:v>8.1352393839618866</c:v>
                </c:pt>
                <c:pt idx="2">
                  <c:v>8.1754385964912277</c:v>
                </c:pt>
                <c:pt idx="3">
                  <c:v>8.0755185619135386</c:v>
                </c:pt>
                <c:pt idx="4">
                  <c:v>8.126779395124359</c:v>
                </c:pt>
                <c:pt idx="5">
                  <c:v>8.0294847248144379</c:v>
                </c:pt>
                <c:pt idx="6">
                  <c:v>8.0431264781559211</c:v>
                </c:pt>
                <c:pt idx="7">
                  <c:v>8.0627978050897298</c:v>
                </c:pt>
                <c:pt idx="8">
                  <c:v>7.9810088869105194</c:v>
                </c:pt>
                <c:pt idx="9">
                  <c:v>8.0497754779032462</c:v>
                </c:pt>
              </c:numCache>
            </c:numRef>
          </c:xVal>
          <c:yVal>
            <c:numRef>
              <c:f>Template!$Z$80:$Z$89</c:f>
              <c:numCache>
                <c:formatCode>#,##0.00_);[Red]\(#,##0.00\)</c:formatCode>
                <c:ptCount val="10"/>
                <c:pt idx="0">
                  <c:v>-0.10267968110340581</c:v>
                </c:pt>
                <c:pt idx="1">
                  <c:v>0.85017695814149752</c:v>
                </c:pt>
                <c:pt idx="2">
                  <c:v>1.8245614035087718</c:v>
                </c:pt>
                <c:pt idx="3">
                  <c:v>2.8579581624101067</c:v>
                </c:pt>
                <c:pt idx="4">
                  <c:v>3.842961902866977</c:v>
                </c:pt>
                <c:pt idx="5">
                  <c:v>4.9416142867120056</c:v>
                </c:pt>
                <c:pt idx="6">
                  <c:v>5.8943081453133361</c:v>
                </c:pt>
                <c:pt idx="7">
                  <c:v>6.8734688682846627</c:v>
                </c:pt>
                <c:pt idx="8">
                  <c:v>8.0559304191415428</c:v>
                </c:pt>
                <c:pt idx="9">
                  <c:v>8.8420669887092043</c:v>
                </c:pt>
              </c:numCache>
            </c:numRef>
          </c:yVal>
          <c:smooth val="0"/>
          <c:extLst>
            <c:ext xmlns:c16="http://schemas.microsoft.com/office/drawing/2014/chart" uri="{C3380CC4-5D6E-409C-BE32-E72D297353CC}">
              <c16:uniqueId val="{00000016-5EB8-4DC4-B34D-6901CCE7751B}"/>
            </c:ext>
          </c:extLst>
        </c:ser>
        <c:ser>
          <c:idx val="20"/>
          <c:order val="20"/>
          <c:tx>
            <c:strRef>
              <c:f>Template!$AA$66</c:f>
              <c:strCache>
                <c:ptCount val="1"/>
                <c:pt idx="0">
                  <c:v>9</c:v>
                </c:pt>
              </c:strCache>
            </c:strRef>
          </c:tx>
          <c:spPr>
            <a:ln w="19050" cap="rnd">
              <a:solidFill>
                <a:schemeClr val="accent1"/>
              </a:solidFill>
              <a:round/>
            </a:ln>
            <a:effectLst/>
          </c:spPr>
          <c:marker>
            <c:symbol val="none"/>
          </c:marker>
          <c:xVal>
            <c:numRef>
              <c:f>Template!$AA$67:$AA$76</c:f>
              <c:numCache>
                <c:formatCode>#,##0.00_);[Red]\(#,##0.00\)</c:formatCode>
                <c:ptCount val="10"/>
                <c:pt idx="0">
                  <c:v>9.1176030274680606</c:v>
                </c:pt>
                <c:pt idx="1">
                  <c:v>9.1596298177878843</c:v>
                </c:pt>
                <c:pt idx="2">
                  <c:v>9.1754385964912277</c:v>
                </c:pt>
                <c:pt idx="3">
                  <c:v>9.0940214346003909</c:v>
                </c:pt>
                <c:pt idx="4">
                  <c:v>9.1314917419237265</c:v>
                </c:pt>
                <c:pt idx="5">
                  <c:v>9.0517265894882719</c:v>
                </c:pt>
                <c:pt idx="6">
                  <c:v>9.0474995268157663</c:v>
                </c:pt>
                <c:pt idx="7">
                  <c:v>9.0498317595546851</c:v>
                </c:pt>
                <c:pt idx="8">
                  <c:v>8.9900225337568909</c:v>
                </c:pt>
                <c:pt idx="9">
                  <c:v>9.0428668304963562</c:v>
                </c:pt>
              </c:numCache>
            </c:numRef>
          </c:xVal>
          <c:yVal>
            <c:numRef>
              <c:f>Template!$AA$80:$AA$89</c:f>
              <c:numCache>
                <c:formatCode>#,##0.00_);[Red]\(#,##0.00\)</c:formatCode>
                <c:ptCount val="10"/>
                <c:pt idx="0">
                  <c:v>-0.14371576742911879</c:v>
                </c:pt>
                <c:pt idx="1">
                  <c:v>0.82456140350877194</c:v>
                </c:pt>
                <c:pt idx="2">
                  <c:v>1.8259552833532244</c:v>
                </c:pt>
                <c:pt idx="3">
                  <c:v>2.8245614035087718</c:v>
                </c:pt>
                <c:pt idx="4">
                  <c:v>3.838418912264864</c:v>
                </c:pt>
                <c:pt idx="5">
                  <c:v>4.8983847111002312</c:v>
                </c:pt>
                <c:pt idx="6">
                  <c:v>5.8845158164198299</c:v>
                </c:pt>
                <c:pt idx="7">
                  <c:v>6.9003918554892314</c:v>
                </c:pt>
                <c:pt idx="8">
                  <c:v>8.0291510109787723</c:v>
                </c:pt>
                <c:pt idx="9">
                  <c:v>8.8650681262703248</c:v>
                </c:pt>
              </c:numCache>
            </c:numRef>
          </c:yVal>
          <c:smooth val="0"/>
          <c:extLst>
            <c:ext xmlns:c16="http://schemas.microsoft.com/office/drawing/2014/chart" uri="{C3380CC4-5D6E-409C-BE32-E72D297353CC}">
              <c16:uniqueId val="{00000017-5EB8-4DC4-B34D-6901CCE7751B}"/>
            </c:ext>
          </c:extLst>
        </c:ser>
        <c:ser>
          <c:idx val="21"/>
          <c:order val="21"/>
          <c:tx>
            <c:strRef>
              <c:f>Template!$AB$66</c:f>
              <c:strCache>
                <c:ptCount val="1"/>
                <c:pt idx="0">
                  <c:v>10</c:v>
                </c:pt>
              </c:strCache>
            </c:strRef>
          </c:tx>
          <c:spPr>
            <a:ln w="19050" cap="rnd">
              <a:solidFill>
                <a:schemeClr val="accent1"/>
              </a:solidFill>
              <a:round/>
            </a:ln>
            <a:effectLst/>
          </c:spPr>
          <c:marker>
            <c:symbol val="none"/>
          </c:marker>
          <c:xVal>
            <c:numRef>
              <c:f>Template!$AB$67:$AB$76</c:f>
              <c:numCache>
                <c:formatCode>#,##0.00_);[Red]\(#,##0.00\)</c:formatCode>
                <c:ptCount val="10"/>
                <c:pt idx="0">
                  <c:v>10.159176156843865</c:v>
                </c:pt>
                <c:pt idx="1">
                  <c:v>10.175438596491228</c:v>
                </c:pt>
                <c:pt idx="2">
                  <c:v>10.166984997800972</c:v>
                </c:pt>
                <c:pt idx="3">
                  <c:v>10.103434532558262</c:v>
                </c:pt>
                <c:pt idx="4">
                  <c:v>10.1420174209492</c:v>
                </c:pt>
                <c:pt idx="5">
                  <c:v>10.077009710941249</c:v>
                </c:pt>
                <c:pt idx="6">
                  <c:v>10.068784448785928</c:v>
                </c:pt>
                <c:pt idx="7">
                  <c:v>10.080424939414783</c:v>
                </c:pt>
                <c:pt idx="8">
                  <c:v>10.006102744033409</c:v>
                </c:pt>
                <c:pt idx="9">
                  <c:v>10.058989149604871</c:v>
                </c:pt>
              </c:numCache>
            </c:numRef>
          </c:xVal>
          <c:yVal>
            <c:numRef>
              <c:f>Template!$AB$80:$AB$89</c:f>
              <c:numCache>
                <c:formatCode>#,##0.00_);[Red]\(#,##0.00\)</c:formatCode>
                <c:ptCount val="10"/>
                <c:pt idx="0">
                  <c:v>-0.17543859649122806</c:v>
                </c:pt>
                <c:pt idx="1">
                  <c:v>0.82610084013597851</c:v>
                </c:pt>
                <c:pt idx="2">
                  <c:v>1.8505918224918039</c:v>
                </c:pt>
                <c:pt idx="3">
                  <c:v>2.8259295547857302</c:v>
                </c:pt>
                <c:pt idx="4">
                  <c:v>3.8426035679224504</c:v>
                </c:pt>
                <c:pt idx="5">
                  <c:v>4.8635567932717905</c:v>
                </c:pt>
                <c:pt idx="6">
                  <c:v>5.8491710528017933</c:v>
                </c:pt>
                <c:pt idx="7">
                  <c:v>6.8550091541780276</c:v>
                </c:pt>
                <c:pt idx="8">
                  <c:v>7.9839187530270355</c:v>
                </c:pt>
                <c:pt idx="9">
                  <c:v>8.8325340466911122</c:v>
                </c:pt>
              </c:numCache>
            </c:numRef>
          </c:yVal>
          <c:smooth val="0"/>
          <c:extLst>
            <c:ext xmlns:c16="http://schemas.microsoft.com/office/drawing/2014/chart" uri="{C3380CC4-5D6E-409C-BE32-E72D297353CC}">
              <c16:uniqueId val="{00000018-5EB8-4DC4-B34D-6901CCE7751B}"/>
            </c:ext>
          </c:extLst>
        </c:ser>
        <c:ser>
          <c:idx val="22"/>
          <c:order val="22"/>
          <c:tx>
            <c:strRef>
              <c:f>Template!$AC$66</c:f>
              <c:strCache>
                <c:ptCount val="1"/>
                <c:pt idx="0">
                  <c:v>11</c:v>
                </c:pt>
              </c:strCache>
            </c:strRef>
          </c:tx>
          <c:spPr>
            <a:ln w="19050" cap="rnd">
              <a:solidFill>
                <a:schemeClr val="accent1"/>
              </a:solidFill>
              <a:round/>
            </a:ln>
            <a:effectLst/>
          </c:spPr>
          <c:marker>
            <c:symbol val="none"/>
          </c:marker>
          <c:xVal>
            <c:numRef>
              <c:f>Template!$AC$67:$AC$76</c:f>
              <c:numCache>
                <c:formatCode>#,##0.00_);[Red]\(#,##0.00\)</c:formatCode>
                <c:ptCount val="10"/>
                <c:pt idx="0">
                  <c:v>11.134413918783764</c:v>
                </c:pt>
                <c:pt idx="1">
                  <c:v>11.140539629845023</c:v>
                </c:pt>
                <c:pt idx="2">
                  <c:v>11.175438596491228</c:v>
                </c:pt>
                <c:pt idx="3">
                  <c:v>11.09056348344714</c:v>
                </c:pt>
                <c:pt idx="4">
                  <c:v>11.139868074621218</c:v>
                </c:pt>
                <c:pt idx="5">
                  <c:v>11.05045899559952</c:v>
                </c:pt>
                <c:pt idx="6">
                  <c:v>11.081084666175526</c:v>
                </c:pt>
                <c:pt idx="7">
                  <c:v>11.098624162980313</c:v>
                </c:pt>
                <c:pt idx="8">
                  <c:v>10.997636991169337</c:v>
                </c:pt>
                <c:pt idx="9">
                  <c:v>11.043205154472929</c:v>
                </c:pt>
              </c:numCache>
            </c:numRef>
          </c:xVal>
          <c:yVal>
            <c:numRef>
              <c:f>Template!$AC$80:$AC$89</c:f>
              <c:numCache>
                <c:formatCode>#,##0.00_);[Red]\(#,##0.00\)</c:formatCode>
                <c:ptCount val="10"/>
                <c:pt idx="0">
                  <c:v>-0.14617844759413773</c:v>
                </c:pt>
                <c:pt idx="1">
                  <c:v>0.86254418478584416</c:v>
                </c:pt>
                <c:pt idx="2">
                  <c:v>1.8451133344140722</c:v>
                </c:pt>
                <c:pt idx="3">
                  <c:v>2.8496149807017908</c:v>
                </c:pt>
                <c:pt idx="4">
                  <c:v>3.8470449461116836</c:v>
                </c:pt>
                <c:pt idx="5">
                  <c:v>4.9117861048685549</c:v>
                </c:pt>
                <c:pt idx="6">
                  <c:v>5.8245614035087723</c:v>
                </c:pt>
                <c:pt idx="7">
                  <c:v>6.8245614035087723</c:v>
                </c:pt>
                <c:pt idx="8">
                  <c:v>8.0061440095858671</c:v>
                </c:pt>
                <c:pt idx="9">
                  <c:v>8.8789730953970611</c:v>
                </c:pt>
              </c:numCache>
            </c:numRef>
          </c:yVal>
          <c:smooth val="0"/>
          <c:extLst>
            <c:ext xmlns:c16="http://schemas.microsoft.com/office/drawing/2014/chart" uri="{C3380CC4-5D6E-409C-BE32-E72D297353CC}">
              <c16:uniqueId val="{00000019-5EB8-4DC4-B34D-6901CCE7751B}"/>
            </c:ext>
          </c:extLst>
        </c:ser>
        <c:ser>
          <c:idx val="23"/>
          <c:order val="23"/>
          <c:tx>
            <c:strRef>
              <c:f>Template!$AD$66</c:f>
              <c:strCache>
                <c:ptCount val="1"/>
                <c:pt idx="0">
                  <c:v>12</c:v>
                </c:pt>
              </c:strCache>
            </c:strRef>
          </c:tx>
          <c:spPr>
            <a:ln w="19050" cap="rnd">
              <a:solidFill>
                <a:schemeClr val="accent1"/>
              </a:solidFill>
              <a:round/>
            </a:ln>
            <a:effectLst/>
          </c:spPr>
          <c:marker>
            <c:symbol val="none"/>
          </c:marker>
          <c:xVal>
            <c:numRef>
              <c:f>Template!$AD$67:$AD$76</c:f>
              <c:numCache>
                <c:formatCode>#,##0.00_);[Red]\(#,##0.00\)</c:formatCode>
                <c:ptCount val="10"/>
                <c:pt idx="0">
                  <c:v>12.115785201206787</c:v>
                </c:pt>
                <c:pt idx="1">
                  <c:v>12.160371704842518</c:v>
                </c:pt>
                <c:pt idx="2">
                  <c:v>12.175438596491228</c:v>
                </c:pt>
                <c:pt idx="3">
                  <c:v>12.05347559392848</c:v>
                </c:pt>
                <c:pt idx="4">
                  <c:v>12.153434275446434</c:v>
                </c:pt>
                <c:pt idx="5">
                  <c:v>12.070195909138835</c:v>
                </c:pt>
                <c:pt idx="6">
                  <c:v>12.058368251824156</c:v>
                </c:pt>
                <c:pt idx="7">
                  <c:v>12.068347413181062</c:v>
                </c:pt>
                <c:pt idx="8">
                  <c:v>12.018994187606895</c:v>
                </c:pt>
                <c:pt idx="9">
                  <c:v>12.041203862462675</c:v>
                </c:pt>
              </c:numCache>
            </c:numRef>
          </c:xVal>
          <c:yVal>
            <c:numRef>
              <c:f>Template!$AD$80:$AD$89</c:f>
              <c:numCache>
                <c:formatCode>#,##0.00_);[Red]\(#,##0.00\)</c:formatCode>
                <c:ptCount val="10"/>
                <c:pt idx="0">
                  <c:v>-0.13165873555136623</c:v>
                </c:pt>
                <c:pt idx="1">
                  <c:v>0.83599783499907532</c:v>
                </c:pt>
                <c:pt idx="2">
                  <c:v>1.8380535049993356</c:v>
                </c:pt>
                <c:pt idx="3">
                  <c:v>2.9071537010709902</c:v>
                </c:pt>
                <c:pt idx="4">
                  <c:v>3.8245614035087718</c:v>
                </c:pt>
                <c:pt idx="5">
                  <c:v>4.8716878673543462</c:v>
                </c:pt>
                <c:pt idx="6">
                  <c:v>5.8679554076968916</c:v>
                </c:pt>
                <c:pt idx="7">
                  <c:v>6.8728777946171657</c:v>
                </c:pt>
                <c:pt idx="8">
                  <c:v>7.9483625501808328</c:v>
                </c:pt>
                <c:pt idx="9">
                  <c:v>8.8793181899911939</c:v>
                </c:pt>
              </c:numCache>
            </c:numRef>
          </c:yVal>
          <c:smooth val="0"/>
          <c:extLst>
            <c:ext xmlns:c16="http://schemas.microsoft.com/office/drawing/2014/chart" uri="{C3380CC4-5D6E-409C-BE32-E72D297353CC}">
              <c16:uniqueId val="{0000001A-5EB8-4DC4-B34D-6901CCE7751B}"/>
            </c:ext>
          </c:extLst>
        </c:ser>
        <c:ser>
          <c:idx val="24"/>
          <c:order val="24"/>
          <c:tx>
            <c:v>Year0_-1</c:v>
          </c:tx>
          <c:spPr>
            <a:ln w="9525" cap="rnd" cmpd="sng" algn="ctr">
              <a:solidFill>
                <a:srgbClr val="C00000"/>
              </a:solidFill>
              <a:prstDash val="sysDot"/>
              <a:round/>
              <a:headEnd type="none" w="med" len="med"/>
              <a:tailEnd type="none" w="med" len="med"/>
            </a:ln>
            <a:effectLst/>
          </c:spPr>
          <c:marker>
            <c:symbol val="none"/>
          </c:marker>
          <c:xVal>
            <c:numRef>
              <c:f>Template!$R$93:$R$102</c:f>
              <c:numCache>
                <c:formatCode>#,##0.00_);[Red]\(#,##0.00\)</c:formatCode>
                <c:ptCount val="10"/>
                <c:pt idx="0">
                  <c:v>-8.771929824561403E-2</c:v>
                </c:pt>
                <c:pt idx="1">
                  <c:v>-8.771929824561403E-2</c:v>
                </c:pt>
                <c:pt idx="2">
                  <c:v>-8.771929824561403E-2</c:v>
                </c:pt>
                <c:pt idx="3">
                  <c:v>-8.771929824561403E-2</c:v>
                </c:pt>
                <c:pt idx="4">
                  <c:v>-8.771929824561403E-2</c:v>
                </c:pt>
                <c:pt idx="5">
                  <c:v>-8.771929824561403E-2</c:v>
                </c:pt>
                <c:pt idx="6">
                  <c:v>-8.771929824561403E-2</c:v>
                </c:pt>
                <c:pt idx="7">
                  <c:v>-8.771929824561403E-2</c:v>
                </c:pt>
                <c:pt idx="8">
                  <c:v>-8.771929824561403E-2</c:v>
                </c:pt>
                <c:pt idx="9">
                  <c:v>-8.771929824561403E-2</c:v>
                </c:pt>
              </c:numCache>
            </c:numRef>
          </c:xVal>
          <c:yVal>
            <c:numRef>
              <c:f>Template!$R$106:$R$115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0-7928-4654-8CA1-499BA9DE94C2}"/>
            </c:ext>
          </c:extLst>
        </c:ser>
        <c:ser>
          <c:idx val="25"/>
          <c:order val="25"/>
          <c:tx>
            <c:v>Year0_+1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Template!$S$93:$S$102</c:f>
              <c:numCache>
                <c:formatCode>#,##0.00_);[Red]\(#,##0.00\)</c:formatCode>
                <c:ptCount val="10"/>
                <c:pt idx="0">
                  <c:v>8.771929824561403E-2</c:v>
                </c:pt>
                <c:pt idx="1">
                  <c:v>8.771929824561403E-2</c:v>
                </c:pt>
                <c:pt idx="2">
                  <c:v>8.771929824561403E-2</c:v>
                </c:pt>
                <c:pt idx="3">
                  <c:v>8.771929824561403E-2</c:v>
                </c:pt>
                <c:pt idx="4">
                  <c:v>8.771929824561403E-2</c:v>
                </c:pt>
                <c:pt idx="5">
                  <c:v>8.771929824561403E-2</c:v>
                </c:pt>
                <c:pt idx="6">
                  <c:v>8.771929824561403E-2</c:v>
                </c:pt>
                <c:pt idx="7">
                  <c:v>8.771929824561403E-2</c:v>
                </c:pt>
                <c:pt idx="8">
                  <c:v>8.771929824561403E-2</c:v>
                </c:pt>
                <c:pt idx="9">
                  <c:v>8.771929824561403E-2</c:v>
                </c:pt>
              </c:numCache>
            </c:numRef>
          </c:xVal>
          <c:yVal>
            <c:numRef>
              <c:f>Template!$S$106:$S$115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1-7928-4654-8CA1-499BA9DE94C2}"/>
            </c:ext>
          </c:extLst>
        </c:ser>
        <c:ser>
          <c:idx val="26"/>
          <c:order val="26"/>
          <c:tx>
            <c:v>Year0_+2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Template!$T$93:$T$102</c:f>
              <c:numCache>
                <c:formatCode>#,##0.00_);[Red]\(#,##0.00\)</c:formatCode>
                <c:ptCount val="10"/>
                <c:pt idx="0">
                  <c:v>0.17543859649122806</c:v>
                </c:pt>
                <c:pt idx="1">
                  <c:v>0.17543859649122806</c:v>
                </c:pt>
                <c:pt idx="2">
                  <c:v>0.17543859649122806</c:v>
                </c:pt>
                <c:pt idx="3">
                  <c:v>0.17543859649122806</c:v>
                </c:pt>
                <c:pt idx="4">
                  <c:v>0.17543859649122806</c:v>
                </c:pt>
                <c:pt idx="5">
                  <c:v>0.17543859649122806</c:v>
                </c:pt>
                <c:pt idx="6">
                  <c:v>0.17543859649122806</c:v>
                </c:pt>
                <c:pt idx="7">
                  <c:v>0.17543859649122806</c:v>
                </c:pt>
                <c:pt idx="8">
                  <c:v>0.17543859649122806</c:v>
                </c:pt>
                <c:pt idx="9">
                  <c:v>0.17543859649122806</c:v>
                </c:pt>
              </c:numCache>
            </c:numRef>
          </c:xVal>
          <c:yVal>
            <c:numRef>
              <c:f>Template!$T$106:$T$115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2-7928-4654-8CA1-499BA9DE94C2}"/>
            </c:ext>
          </c:extLst>
        </c:ser>
        <c:ser>
          <c:idx val="27"/>
          <c:order val="27"/>
          <c:tx>
            <c:v>Year1_-1</c:v>
          </c:tx>
          <c:spPr>
            <a:ln w="9525" cap="rnd" cmpd="sng" algn="ctr">
              <a:solidFill>
                <a:srgbClr val="C00000"/>
              </a:solidFill>
              <a:prstDash val="sysDot"/>
              <a:round/>
              <a:headEnd type="none" w="med" len="med"/>
              <a:tailEnd type="none" w="med" len="med"/>
            </a:ln>
            <a:effectLst/>
          </c:spPr>
          <c:marker>
            <c:symbol val="none"/>
          </c:marker>
          <c:xVal>
            <c:numRef>
              <c:f>Template!$U$93:$U$102</c:f>
              <c:numCache>
                <c:formatCode>#,##0.00_);[Red]\(#,##0.00\)</c:formatCode>
                <c:ptCount val="10"/>
                <c:pt idx="0">
                  <c:v>0.91228070175438591</c:v>
                </c:pt>
                <c:pt idx="1">
                  <c:v>0.91228070175438591</c:v>
                </c:pt>
                <c:pt idx="2">
                  <c:v>0.91228070175438591</c:v>
                </c:pt>
                <c:pt idx="3">
                  <c:v>0.91228070175438591</c:v>
                </c:pt>
                <c:pt idx="4">
                  <c:v>0.91228070175438591</c:v>
                </c:pt>
                <c:pt idx="5">
                  <c:v>0.91228070175438591</c:v>
                </c:pt>
                <c:pt idx="6">
                  <c:v>0.91228070175438591</c:v>
                </c:pt>
                <c:pt idx="7">
                  <c:v>0.91228070175438591</c:v>
                </c:pt>
                <c:pt idx="8">
                  <c:v>0.91228070175438591</c:v>
                </c:pt>
                <c:pt idx="9">
                  <c:v>0.91228070175438591</c:v>
                </c:pt>
              </c:numCache>
            </c:numRef>
          </c:xVal>
          <c:yVal>
            <c:numRef>
              <c:f>Template!$U$106:$U$115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3-7928-4654-8CA1-499BA9DE94C2}"/>
            </c:ext>
          </c:extLst>
        </c:ser>
        <c:ser>
          <c:idx val="28"/>
          <c:order val="28"/>
          <c:tx>
            <c:v>Year1_+1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Template!$V$93:$V$102</c:f>
              <c:numCache>
                <c:formatCode>#,##0.00_);[Red]\(#,##0.00\)</c:formatCode>
                <c:ptCount val="10"/>
                <c:pt idx="0">
                  <c:v>1.0877192982456141</c:v>
                </c:pt>
                <c:pt idx="1">
                  <c:v>1.0877192982456141</c:v>
                </c:pt>
                <c:pt idx="2">
                  <c:v>1.0877192982456141</c:v>
                </c:pt>
                <c:pt idx="3">
                  <c:v>1.0877192982456141</c:v>
                </c:pt>
                <c:pt idx="4">
                  <c:v>1.0877192982456141</c:v>
                </c:pt>
                <c:pt idx="5">
                  <c:v>1.0877192982456141</c:v>
                </c:pt>
                <c:pt idx="6">
                  <c:v>1.0877192982456141</c:v>
                </c:pt>
                <c:pt idx="7">
                  <c:v>1.0877192982456141</c:v>
                </c:pt>
                <c:pt idx="8">
                  <c:v>1.0877192982456141</c:v>
                </c:pt>
                <c:pt idx="9">
                  <c:v>1.0877192982456141</c:v>
                </c:pt>
              </c:numCache>
            </c:numRef>
          </c:xVal>
          <c:yVal>
            <c:numRef>
              <c:f>Template!$V$106:$V$115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4-7928-4654-8CA1-499BA9DE94C2}"/>
            </c:ext>
          </c:extLst>
        </c:ser>
        <c:ser>
          <c:idx val="29"/>
          <c:order val="29"/>
          <c:tx>
            <c:v>Year1_+2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Template!$W$93:$W$102</c:f>
              <c:numCache>
                <c:formatCode>#,##0.00_);[Red]\(#,##0.00\)</c:formatCode>
                <c:ptCount val="10"/>
                <c:pt idx="0">
                  <c:v>1.1754385964912282</c:v>
                </c:pt>
                <c:pt idx="1">
                  <c:v>1.1754385964912282</c:v>
                </c:pt>
                <c:pt idx="2">
                  <c:v>1.1754385964912282</c:v>
                </c:pt>
                <c:pt idx="3">
                  <c:v>1.1754385964912282</c:v>
                </c:pt>
                <c:pt idx="4">
                  <c:v>1.1754385964912282</c:v>
                </c:pt>
                <c:pt idx="5">
                  <c:v>1.1754385964912282</c:v>
                </c:pt>
                <c:pt idx="6">
                  <c:v>1.1754385964912282</c:v>
                </c:pt>
                <c:pt idx="7">
                  <c:v>1.1754385964912282</c:v>
                </c:pt>
                <c:pt idx="8">
                  <c:v>1.1754385964912282</c:v>
                </c:pt>
                <c:pt idx="9">
                  <c:v>1.1754385964912282</c:v>
                </c:pt>
              </c:numCache>
            </c:numRef>
          </c:xVal>
          <c:yVal>
            <c:numRef>
              <c:f>Template!$W$106:$W$115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5-7928-4654-8CA1-499BA9DE94C2}"/>
            </c:ext>
          </c:extLst>
        </c:ser>
        <c:ser>
          <c:idx val="30"/>
          <c:order val="30"/>
          <c:tx>
            <c:v>Year2_-1</c:v>
          </c:tx>
          <c:spPr>
            <a:ln w="9525" cap="rnd" cmpd="sng" algn="ctr">
              <a:solidFill>
                <a:srgbClr val="C00000"/>
              </a:solidFill>
              <a:prstDash val="sysDot"/>
              <a:round/>
              <a:headEnd type="none" w="med" len="med"/>
              <a:tailEnd type="none" w="med" len="med"/>
            </a:ln>
            <a:effectLst/>
          </c:spPr>
          <c:marker>
            <c:symbol val="none"/>
          </c:marker>
          <c:xVal>
            <c:numRef>
              <c:f>Template!$X$93:$X$102</c:f>
              <c:numCache>
                <c:formatCode>#,##0.00_);[Red]\(#,##0.00\)</c:formatCode>
                <c:ptCount val="10"/>
                <c:pt idx="0">
                  <c:v>1.9122807017543859</c:v>
                </c:pt>
                <c:pt idx="1">
                  <c:v>1.9122807017543859</c:v>
                </c:pt>
                <c:pt idx="2">
                  <c:v>1.9122807017543859</c:v>
                </c:pt>
                <c:pt idx="3">
                  <c:v>1.9122807017543859</c:v>
                </c:pt>
                <c:pt idx="4">
                  <c:v>1.9122807017543859</c:v>
                </c:pt>
                <c:pt idx="5">
                  <c:v>1.9122807017543859</c:v>
                </c:pt>
                <c:pt idx="6">
                  <c:v>1.9122807017543859</c:v>
                </c:pt>
                <c:pt idx="7">
                  <c:v>1.9122807017543859</c:v>
                </c:pt>
                <c:pt idx="8">
                  <c:v>1.9122807017543859</c:v>
                </c:pt>
                <c:pt idx="9">
                  <c:v>1.9122807017543859</c:v>
                </c:pt>
              </c:numCache>
            </c:numRef>
          </c:xVal>
          <c:yVal>
            <c:numRef>
              <c:f>Template!$X$106:$X$115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6-7928-4654-8CA1-499BA9DE94C2}"/>
            </c:ext>
          </c:extLst>
        </c:ser>
        <c:ser>
          <c:idx val="31"/>
          <c:order val="31"/>
          <c:tx>
            <c:v>Year2_+1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Template!$Y$93:$Y$102</c:f>
              <c:numCache>
                <c:formatCode>#,##0.00_);[Red]\(#,##0.00\)</c:formatCode>
                <c:ptCount val="10"/>
                <c:pt idx="0">
                  <c:v>2.0877192982456139</c:v>
                </c:pt>
                <c:pt idx="1">
                  <c:v>2.0877192982456139</c:v>
                </c:pt>
                <c:pt idx="2">
                  <c:v>2.0877192982456139</c:v>
                </c:pt>
                <c:pt idx="3">
                  <c:v>2.0877192982456139</c:v>
                </c:pt>
                <c:pt idx="4">
                  <c:v>2.0877192982456139</c:v>
                </c:pt>
                <c:pt idx="5">
                  <c:v>2.0877192982456139</c:v>
                </c:pt>
                <c:pt idx="6">
                  <c:v>2.0877192982456139</c:v>
                </c:pt>
                <c:pt idx="7">
                  <c:v>2.0877192982456139</c:v>
                </c:pt>
                <c:pt idx="8">
                  <c:v>2.0877192982456139</c:v>
                </c:pt>
                <c:pt idx="9">
                  <c:v>2.0877192982456139</c:v>
                </c:pt>
              </c:numCache>
            </c:numRef>
          </c:xVal>
          <c:yVal>
            <c:numRef>
              <c:f>Template!$Y$106:$Y$115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7-7928-4654-8CA1-499BA9DE94C2}"/>
            </c:ext>
          </c:extLst>
        </c:ser>
        <c:ser>
          <c:idx val="32"/>
          <c:order val="32"/>
          <c:tx>
            <c:v>Year2_+2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Template!$Z$93:$Z$102</c:f>
              <c:numCache>
                <c:formatCode>#,##0.00_);[Red]\(#,##0.00\)</c:formatCode>
                <c:ptCount val="10"/>
                <c:pt idx="0">
                  <c:v>2.1754385964912282</c:v>
                </c:pt>
                <c:pt idx="1">
                  <c:v>2.1754385964912282</c:v>
                </c:pt>
                <c:pt idx="2">
                  <c:v>2.1754385964912282</c:v>
                </c:pt>
                <c:pt idx="3">
                  <c:v>2.1754385964912282</c:v>
                </c:pt>
                <c:pt idx="4">
                  <c:v>2.1754385964912282</c:v>
                </c:pt>
                <c:pt idx="5">
                  <c:v>2.1754385964912282</c:v>
                </c:pt>
                <c:pt idx="6">
                  <c:v>2.1754385964912282</c:v>
                </c:pt>
                <c:pt idx="7">
                  <c:v>2.1754385964912282</c:v>
                </c:pt>
                <c:pt idx="8">
                  <c:v>2.1754385964912282</c:v>
                </c:pt>
                <c:pt idx="9">
                  <c:v>2.1754385964912282</c:v>
                </c:pt>
              </c:numCache>
            </c:numRef>
          </c:xVal>
          <c:yVal>
            <c:numRef>
              <c:f>Template!$Z$106:$Z$115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8-7928-4654-8CA1-499BA9DE94C2}"/>
            </c:ext>
          </c:extLst>
        </c:ser>
        <c:ser>
          <c:idx val="33"/>
          <c:order val="33"/>
          <c:tx>
            <c:v>Year3_-1</c:v>
          </c:tx>
          <c:spPr>
            <a:ln w="9525" cap="rnd" cmpd="sng" algn="ctr">
              <a:solidFill>
                <a:srgbClr val="C00000"/>
              </a:solidFill>
              <a:prstDash val="sysDot"/>
              <a:round/>
              <a:headEnd type="none" w="med" len="med"/>
              <a:tailEnd type="none" w="med" len="med"/>
            </a:ln>
            <a:effectLst/>
          </c:spPr>
          <c:marker>
            <c:symbol val="none"/>
          </c:marker>
          <c:xVal>
            <c:numRef>
              <c:f>Template!$AA$93:$AA$102</c:f>
              <c:numCache>
                <c:formatCode>#,##0.00_);[Red]\(#,##0.00\)</c:formatCode>
                <c:ptCount val="10"/>
                <c:pt idx="0">
                  <c:v>2.9122807017543861</c:v>
                </c:pt>
                <c:pt idx="1">
                  <c:v>2.9122807017543861</c:v>
                </c:pt>
                <c:pt idx="2">
                  <c:v>2.9122807017543861</c:v>
                </c:pt>
                <c:pt idx="3">
                  <c:v>2.9122807017543861</c:v>
                </c:pt>
                <c:pt idx="4">
                  <c:v>2.9122807017543861</c:v>
                </c:pt>
                <c:pt idx="5">
                  <c:v>2.9122807017543861</c:v>
                </c:pt>
                <c:pt idx="6">
                  <c:v>2.9122807017543861</c:v>
                </c:pt>
                <c:pt idx="7">
                  <c:v>2.9122807017543861</c:v>
                </c:pt>
                <c:pt idx="8">
                  <c:v>2.9122807017543861</c:v>
                </c:pt>
                <c:pt idx="9">
                  <c:v>2.9122807017543861</c:v>
                </c:pt>
              </c:numCache>
            </c:numRef>
          </c:xVal>
          <c:yVal>
            <c:numRef>
              <c:f>Template!$AA$106:$AA$115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9-7928-4654-8CA1-499BA9DE94C2}"/>
            </c:ext>
          </c:extLst>
        </c:ser>
        <c:ser>
          <c:idx val="34"/>
          <c:order val="34"/>
          <c:tx>
            <c:v>Year3_+1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Template!$AB$93:$AB$102</c:f>
              <c:numCache>
                <c:formatCode>#,##0.00_);[Red]\(#,##0.00\)</c:formatCode>
                <c:ptCount val="10"/>
                <c:pt idx="0">
                  <c:v>3.0877192982456139</c:v>
                </c:pt>
                <c:pt idx="1">
                  <c:v>3.0877192982456139</c:v>
                </c:pt>
                <c:pt idx="2">
                  <c:v>3.0877192982456139</c:v>
                </c:pt>
                <c:pt idx="3">
                  <c:v>3.0877192982456139</c:v>
                </c:pt>
                <c:pt idx="4">
                  <c:v>3.0877192982456139</c:v>
                </c:pt>
                <c:pt idx="5">
                  <c:v>3.0877192982456139</c:v>
                </c:pt>
                <c:pt idx="6">
                  <c:v>3.0877192982456139</c:v>
                </c:pt>
                <c:pt idx="7">
                  <c:v>3.0877192982456139</c:v>
                </c:pt>
                <c:pt idx="8">
                  <c:v>3.0877192982456139</c:v>
                </c:pt>
                <c:pt idx="9">
                  <c:v>3.0877192982456139</c:v>
                </c:pt>
              </c:numCache>
            </c:numRef>
          </c:xVal>
          <c:yVal>
            <c:numRef>
              <c:f>Template!$AB$106:$AB$115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A-7928-4654-8CA1-499BA9DE94C2}"/>
            </c:ext>
          </c:extLst>
        </c:ser>
        <c:ser>
          <c:idx val="35"/>
          <c:order val="35"/>
          <c:tx>
            <c:v>Year3_+2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Template!$AC$93:$AC$102</c:f>
              <c:numCache>
                <c:formatCode>#,##0.00_);[Red]\(#,##0.00\)</c:formatCode>
                <c:ptCount val="10"/>
                <c:pt idx="0">
                  <c:v>3.1754385964912282</c:v>
                </c:pt>
                <c:pt idx="1">
                  <c:v>3.1754385964912282</c:v>
                </c:pt>
                <c:pt idx="2">
                  <c:v>3.1754385964912282</c:v>
                </c:pt>
                <c:pt idx="3">
                  <c:v>3.1754385964912282</c:v>
                </c:pt>
                <c:pt idx="4">
                  <c:v>3.1754385964912282</c:v>
                </c:pt>
                <c:pt idx="5">
                  <c:v>3.1754385964912282</c:v>
                </c:pt>
                <c:pt idx="6">
                  <c:v>3.1754385964912282</c:v>
                </c:pt>
                <c:pt idx="7">
                  <c:v>3.1754385964912282</c:v>
                </c:pt>
                <c:pt idx="8">
                  <c:v>3.1754385964912282</c:v>
                </c:pt>
                <c:pt idx="9">
                  <c:v>3.1754385964912282</c:v>
                </c:pt>
              </c:numCache>
            </c:numRef>
          </c:xVal>
          <c:yVal>
            <c:numRef>
              <c:f>Template!$AC$106:$AC$115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B-7928-4654-8CA1-499BA9DE94C2}"/>
            </c:ext>
          </c:extLst>
        </c:ser>
        <c:ser>
          <c:idx val="36"/>
          <c:order val="36"/>
          <c:tx>
            <c:v>Year4_-1</c:v>
          </c:tx>
          <c:spPr>
            <a:ln w="9525" cap="rnd" cmpd="sng" algn="ctr">
              <a:solidFill>
                <a:srgbClr val="C00000"/>
              </a:solidFill>
              <a:prstDash val="sysDot"/>
              <a:round/>
              <a:headEnd type="none" w="med" len="med"/>
              <a:tailEnd type="none" w="med" len="med"/>
            </a:ln>
            <a:effectLst/>
          </c:spPr>
          <c:marker>
            <c:symbol val="none"/>
          </c:marker>
          <c:xVal>
            <c:numRef>
              <c:f>Template!$AD$93:$AD$102</c:f>
              <c:numCache>
                <c:formatCode>#,##0.00_);[Red]\(#,##0.00\)</c:formatCode>
                <c:ptCount val="10"/>
                <c:pt idx="0">
                  <c:v>3.9122807017543861</c:v>
                </c:pt>
                <c:pt idx="1">
                  <c:v>3.9122807017543861</c:v>
                </c:pt>
                <c:pt idx="2">
                  <c:v>3.9122807017543861</c:v>
                </c:pt>
                <c:pt idx="3">
                  <c:v>3.9122807017543861</c:v>
                </c:pt>
                <c:pt idx="4">
                  <c:v>3.9122807017543861</c:v>
                </c:pt>
                <c:pt idx="5">
                  <c:v>3.9122807017543861</c:v>
                </c:pt>
                <c:pt idx="6">
                  <c:v>3.9122807017543861</c:v>
                </c:pt>
                <c:pt idx="7">
                  <c:v>3.9122807017543861</c:v>
                </c:pt>
                <c:pt idx="8">
                  <c:v>3.9122807017543861</c:v>
                </c:pt>
                <c:pt idx="9">
                  <c:v>3.9122807017543861</c:v>
                </c:pt>
              </c:numCache>
            </c:numRef>
          </c:xVal>
          <c:yVal>
            <c:numRef>
              <c:f>Template!$AD$106:$AD$115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C-7928-4654-8CA1-499BA9DE94C2}"/>
            </c:ext>
          </c:extLst>
        </c:ser>
        <c:ser>
          <c:idx val="37"/>
          <c:order val="37"/>
          <c:tx>
            <c:v>Year4_+1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Template!$AE$93:$AE$102</c:f>
              <c:numCache>
                <c:formatCode>#,##0.00_);[Red]\(#,##0.00\)</c:formatCode>
                <c:ptCount val="10"/>
                <c:pt idx="0">
                  <c:v>4.0877192982456139</c:v>
                </c:pt>
                <c:pt idx="1">
                  <c:v>4.0877192982456139</c:v>
                </c:pt>
                <c:pt idx="2">
                  <c:v>4.0877192982456139</c:v>
                </c:pt>
                <c:pt idx="3">
                  <c:v>4.0877192982456139</c:v>
                </c:pt>
                <c:pt idx="4">
                  <c:v>4.0877192982456139</c:v>
                </c:pt>
                <c:pt idx="5">
                  <c:v>4.0877192982456139</c:v>
                </c:pt>
                <c:pt idx="6">
                  <c:v>4.0877192982456139</c:v>
                </c:pt>
                <c:pt idx="7">
                  <c:v>4.0877192982456139</c:v>
                </c:pt>
                <c:pt idx="8">
                  <c:v>4.0877192982456139</c:v>
                </c:pt>
                <c:pt idx="9">
                  <c:v>4.0877192982456139</c:v>
                </c:pt>
              </c:numCache>
            </c:numRef>
          </c:xVal>
          <c:yVal>
            <c:numRef>
              <c:f>Template!$AE$106:$AE$115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D-7928-4654-8CA1-499BA9DE94C2}"/>
            </c:ext>
          </c:extLst>
        </c:ser>
        <c:ser>
          <c:idx val="38"/>
          <c:order val="38"/>
          <c:tx>
            <c:v>Year4_+2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Template!$AF$93:$AF$102</c:f>
              <c:numCache>
                <c:formatCode>#,##0.00_);[Red]\(#,##0.00\)</c:formatCode>
                <c:ptCount val="10"/>
                <c:pt idx="0">
                  <c:v>4.1754385964912277</c:v>
                </c:pt>
                <c:pt idx="1">
                  <c:v>4.1754385964912277</c:v>
                </c:pt>
                <c:pt idx="2">
                  <c:v>4.1754385964912277</c:v>
                </c:pt>
                <c:pt idx="3">
                  <c:v>4.1754385964912277</c:v>
                </c:pt>
                <c:pt idx="4">
                  <c:v>4.1754385964912277</c:v>
                </c:pt>
                <c:pt idx="5">
                  <c:v>4.1754385964912277</c:v>
                </c:pt>
                <c:pt idx="6">
                  <c:v>4.1754385964912277</c:v>
                </c:pt>
                <c:pt idx="7">
                  <c:v>4.1754385964912277</c:v>
                </c:pt>
                <c:pt idx="8">
                  <c:v>4.1754385964912277</c:v>
                </c:pt>
                <c:pt idx="9">
                  <c:v>4.1754385964912277</c:v>
                </c:pt>
              </c:numCache>
            </c:numRef>
          </c:xVal>
          <c:yVal>
            <c:numRef>
              <c:f>Template!$AF$106:$AF$115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E-7928-4654-8CA1-499BA9DE94C2}"/>
            </c:ext>
          </c:extLst>
        </c:ser>
        <c:ser>
          <c:idx val="39"/>
          <c:order val="39"/>
          <c:tx>
            <c:v>Year5_-1</c:v>
          </c:tx>
          <c:spPr>
            <a:ln w="9525" cap="rnd" cmpd="sng" algn="ctr">
              <a:solidFill>
                <a:srgbClr val="C00000"/>
              </a:solidFill>
              <a:prstDash val="sysDot"/>
              <a:round/>
              <a:headEnd type="none" w="med" len="med"/>
              <a:tailEnd type="none" w="med" len="med"/>
            </a:ln>
            <a:effectLst/>
          </c:spPr>
          <c:marker>
            <c:symbol val="none"/>
          </c:marker>
          <c:xVal>
            <c:numRef>
              <c:f>Template!$AG$93:$AG$102</c:f>
              <c:numCache>
                <c:formatCode>#,##0.00_);[Red]\(#,##0.00\)</c:formatCode>
                <c:ptCount val="10"/>
                <c:pt idx="0">
                  <c:v>4.9122807017543861</c:v>
                </c:pt>
                <c:pt idx="1">
                  <c:v>4.9122807017543861</c:v>
                </c:pt>
                <c:pt idx="2">
                  <c:v>4.9122807017543861</c:v>
                </c:pt>
                <c:pt idx="3">
                  <c:v>4.9122807017543861</c:v>
                </c:pt>
                <c:pt idx="4">
                  <c:v>4.9122807017543861</c:v>
                </c:pt>
                <c:pt idx="5">
                  <c:v>4.9122807017543861</c:v>
                </c:pt>
                <c:pt idx="6">
                  <c:v>4.9122807017543861</c:v>
                </c:pt>
                <c:pt idx="7">
                  <c:v>4.9122807017543861</c:v>
                </c:pt>
                <c:pt idx="8">
                  <c:v>4.9122807017543861</c:v>
                </c:pt>
                <c:pt idx="9">
                  <c:v>4.9122807017543861</c:v>
                </c:pt>
              </c:numCache>
            </c:numRef>
          </c:xVal>
          <c:yVal>
            <c:numRef>
              <c:f>Template!$AG$106:$AG$115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0F-7928-4654-8CA1-499BA9DE94C2}"/>
            </c:ext>
          </c:extLst>
        </c:ser>
        <c:ser>
          <c:idx val="40"/>
          <c:order val="40"/>
          <c:tx>
            <c:v>Year5_+1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Template!$AH$93:$AH$102</c:f>
              <c:numCache>
                <c:formatCode>#,##0.00_);[Red]\(#,##0.00\)</c:formatCode>
                <c:ptCount val="10"/>
                <c:pt idx="0">
                  <c:v>5.0877192982456139</c:v>
                </c:pt>
                <c:pt idx="1">
                  <c:v>5.0877192982456139</c:v>
                </c:pt>
                <c:pt idx="2">
                  <c:v>5.0877192982456139</c:v>
                </c:pt>
                <c:pt idx="3">
                  <c:v>5.0877192982456139</c:v>
                </c:pt>
                <c:pt idx="4">
                  <c:v>5.0877192982456139</c:v>
                </c:pt>
                <c:pt idx="5">
                  <c:v>5.0877192982456139</c:v>
                </c:pt>
                <c:pt idx="6">
                  <c:v>5.0877192982456139</c:v>
                </c:pt>
                <c:pt idx="7">
                  <c:v>5.0877192982456139</c:v>
                </c:pt>
                <c:pt idx="8">
                  <c:v>5.0877192982456139</c:v>
                </c:pt>
                <c:pt idx="9">
                  <c:v>5.0877192982456139</c:v>
                </c:pt>
              </c:numCache>
            </c:numRef>
          </c:xVal>
          <c:yVal>
            <c:numRef>
              <c:f>Template!$AH$106:$AH$115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0-7928-4654-8CA1-499BA9DE94C2}"/>
            </c:ext>
          </c:extLst>
        </c:ser>
        <c:ser>
          <c:idx val="41"/>
          <c:order val="41"/>
          <c:tx>
            <c:v>Year5_+2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Template!$AI$93:$AI$102</c:f>
              <c:numCache>
                <c:formatCode>#,##0.00_);[Red]\(#,##0.00\)</c:formatCode>
                <c:ptCount val="10"/>
                <c:pt idx="0">
                  <c:v>5.1754385964912277</c:v>
                </c:pt>
                <c:pt idx="1">
                  <c:v>5.1754385964912277</c:v>
                </c:pt>
                <c:pt idx="2">
                  <c:v>5.1754385964912277</c:v>
                </c:pt>
                <c:pt idx="3">
                  <c:v>5.1754385964912277</c:v>
                </c:pt>
                <c:pt idx="4">
                  <c:v>5.1754385964912277</c:v>
                </c:pt>
                <c:pt idx="5">
                  <c:v>5.1754385964912277</c:v>
                </c:pt>
                <c:pt idx="6">
                  <c:v>5.1754385964912277</c:v>
                </c:pt>
                <c:pt idx="7">
                  <c:v>5.1754385964912277</c:v>
                </c:pt>
                <c:pt idx="8">
                  <c:v>5.1754385964912277</c:v>
                </c:pt>
                <c:pt idx="9">
                  <c:v>5.1754385964912277</c:v>
                </c:pt>
              </c:numCache>
            </c:numRef>
          </c:xVal>
          <c:yVal>
            <c:numRef>
              <c:f>Template!$AI$106:$AI$115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1-7928-4654-8CA1-499BA9DE94C2}"/>
            </c:ext>
          </c:extLst>
        </c:ser>
        <c:ser>
          <c:idx val="42"/>
          <c:order val="42"/>
          <c:tx>
            <c:v>Year6_-1</c:v>
          </c:tx>
          <c:spPr>
            <a:ln w="9525" cap="rnd" cmpd="sng" algn="ctr">
              <a:solidFill>
                <a:srgbClr val="C00000"/>
              </a:solidFill>
              <a:prstDash val="sysDot"/>
              <a:round/>
              <a:headEnd type="none" w="med" len="med"/>
              <a:tailEnd type="none" w="med" len="med"/>
            </a:ln>
            <a:effectLst/>
          </c:spPr>
          <c:marker>
            <c:symbol val="none"/>
          </c:marker>
          <c:xVal>
            <c:numRef>
              <c:f>Template!$AJ$93:$AJ$102</c:f>
              <c:numCache>
                <c:formatCode>#,##0.00_);[Red]\(#,##0.00\)</c:formatCode>
                <c:ptCount val="10"/>
                <c:pt idx="0">
                  <c:v>5.9122807017543861</c:v>
                </c:pt>
                <c:pt idx="1">
                  <c:v>5.9122807017543861</c:v>
                </c:pt>
                <c:pt idx="2">
                  <c:v>5.9122807017543861</c:v>
                </c:pt>
                <c:pt idx="3">
                  <c:v>5.9122807017543861</c:v>
                </c:pt>
                <c:pt idx="4">
                  <c:v>5.9122807017543861</c:v>
                </c:pt>
                <c:pt idx="5">
                  <c:v>5.9122807017543861</c:v>
                </c:pt>
                <c:pt idx="6">
                  <c:v>5.9122807017543861</c:v>
                </c:pt>
                <c:pt idx="7">
                  <c:v>5.9122807017543861</c:v>
                </c:pt>
                <c:pt idx="8">
                  <c:v>5.9122807017543861</c:v>
                </c:pt>
                <c:pt idx="9">
                  <c:v>5.9122807017543861</c:v>
                </c:pt>
              </c:numCache>
            </c:numRef>
          </c:xVal>
          <c:yVal>
            <c:numRef>
              <c:f>Template!$AJ$106:$AJ$115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2-7928-4654-8CA1-499BA9DE94C2}"/>
            </c:ext>
          </c:extLst>
        </c:ser>
        <c:ser>
          <c:idx val="43"/>
          <c:order val="43"/>
          <c:tx>
            <c:v>Year6_+1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Template!$AK$93:$AK$102</c:f>
              <c:numCache>
                <c:formatCode>#,##0.00_);[Red]\(#,##0.00\)</c:formatCode>
                <c:ptCount val="10"/>
                <c:pt idx="0">
                  <c:v>6.0877192982456139</c:v>
                </c:pt>
                <c:pt idx="1">
                  <c:v>6.0877192982456139</c:v>
                </c:pt>
                <c:pt idx="2">
                  <c:v>6.0877192982456139</c:v>
                </c:pt>
                <c:pt idx="3">
                  <c:v>6.0877192982456139</c:v>
                </c:pt>
                <c:pt idx="4">
                  <c:v>6.0877192982456139</c:v>
                </c:pt>
                <c:pt idx="5">
                  <c:v>6.0877192982456139</c:v>
                </c:pt>
                <c:pt idx="6">
                  <c:v>6.0877192982456139</c:v>
                </c:pt>
                <c:pt idx="7">
                  <c:v>6.0877192982456139</c:v>
                </c:pt>
                <c:pt idx="8">
                  <c:v>6.0877192982456139</c:v>
                </c:pt>
                <c:pt idx="9">
                  <c:v>6.0877192982456139</c:v>
                </c:pt>
              </c:numCache>
            </c:numRef>
          </c:xVal>
          <c:yVal>
            <c:numRef>
              <c:f>Template!$AK$106:$AK$115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3-7928-4654-8CA1-499BA9DE94C2}"/>
            </c:ext>
          </c:extLst>
        </c:ser>
        <c:ser>
          <c:idx val="44"/>
          <c:order val="44"/>
          <c:tx>
            <c:v>Year6_+2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Template!$AL$93:$AL$102</c:f>
              <c:numCache>
                <c:formatCode>#,##0.00_);[Red]\(#,##0.00\)</c:formatCode>
                <c:ptCount val="10"/>
                <c:pt idx="0">
                  <c:v>6.1754385964912277</c:v>
                </c:pt>
                <c:pt idx="1">
                  <c:v>6.1754385964912277</c:v>
                </c:pt>
                <c:pt idx="2">
                  <c:v>6.1754385964912277</c:v>
                </c:pt>
                <c:pt idx="3">
                  <c:v>6.1754385964912277</c:v>
                </c:pt>
                <c:pt idx="4">
                  <c:v>6.1754385964912277</c:v>
                </c:pt>
                <c:pt idx="5">
                  <c:v>6.1754385964912277</c:v>
                </c:pt>
                <c:pt idx="6">
                  <c:v>6.1754385964912277</c:v>
                </c:pt>
                <c:pt idx="7">
                  <c:v>6.1754385964912277</c:v>
                </c:pt>
                <c:pt idx="8">
                  <c:v>6.1754385964912277</c:v>
                </c:pt>
                <c:pt idx="9">
                  <c:v>6.1754385964912277</c:v>
                </c:pt>
              </c:numCache>
            </c:numRef>
          </c:xVal>
          <c:yVal>
            <c:numRef>
              <c:f>Template!$AL$106:$AL$115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4-7928-4654-8CA1-499BA9DE94C2}"/>
            </c:ext>
          </c:extLst>
        </c:ser>
        <c:ser>
          <c:idx val="45"/>
          <c:order val="45"/>
          <c:tx>
            <c:v>Year7_-1</c:v>
          </c:tx>
          <c:spPr>
            <a:ln w="9525" cap="rnd" cmpd="sng" algn="ctr">
              <a:solidFill>
                <a:srgbClr val="C00000"/>
              </a:solidFill>
              <a:prstDash val="sysDot"/>
              <a:round/>
              <a:headEnd type="none" w="med" len="med"/>
              <a:tailEnd type="none" w="med" len="med"/>
            </a:ln>
            <a:effectLst/>
          </c:spPr>
          <c:marker>
            <c:symbol val="none"/>
          </c:marker>
          <c:xVal>
            <c:numRef>
              <c:f>Template!$AM$93:$AM$102</c:f>
              <c:numCache>
                <c:formatCode>#,##0.00_);[Red]\(#,##0.00\)</c:formatCode>
                <c:ptCount val="10"/>
                <c:pt idx="0">
                  <c:v>6.9122807017543861</c:v>
                </c:pt>
                <c:pt idx="1">
                  <c:v>6.9122807017543861</c:v>
                </c:pt>
                <c:pt idx="2">
                  <c:v>6.9122807017543861</c:v>
                </c:pt>
                <c:pt idx="3">
                  <c:v>6.9122807017543861</c:v>
                </c:pt>
                <c:pt idx="4">
                  <c:v>6.9122807017543861</c:v>
                </c:pt>
                <c:pt idx="5">
                  <c:v>6.9122807017543861</c:v>
                </c:pt>
                <c:pt idx="6">
                  <c:v>6.9122807017543861</c:v>
                </c:pt>
                <c:pt idx="7">
                  <c:v>6.9122807017543861</c:v>
                </c:pt>
                <c:pt idx="8">
                  <c:v>6.9122807017543861</c:v>
                </c:pt>
                <c:pt idx="9">
                  <c:v>6.9122807017543861</c:v>
                </c:pt>
              </c:numCache>
            </c:numRef>
          </c:xVal>
          <c:yVal>
            <c:numRef>
              <c:f>Template!$AM$106:$AM$115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5-7928-4654-8CA1-499BA9DE94C2}"/>
            </c:ext>
          </c:extLst>
        </c:ser>
        <c:ser>
          <c:idx val="46"/>
          <c:order val="46"/>
          <c:tx>
            <c:v>Year7_+1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Template!$AN$93:$AN$102</c:f>
              <c:numCache>
                <c:formatCode>#,##0.00_);[Red]\(#,##0.00\)</c:formatCode>
                <c:ptCount val="10"/>
                <c:pt idx="0">
                  <c:v>7.0877192982456139</c:v>
                </c:pt>
                <c:pt idx="1">
                  <c:v>7.0877192982456139</c:v>
                </c:pt>
                <c:pt idx="2">
                  <c:v>7.0877192982456139</c:v>
                </c:pt>
                <c:pt idx="3">
                  <c:v>7.0877192982456139</c:v>
                </c:pt>
                <c:pt idx="4">
                  <c:v>7.0877192982456139</c:v>
                </c:pt>
                <c:pt idx="5">
                  <c:v>7.0877192982456139</c:v>
                </c:pt>
                <c:pt idx="6">
                  <c:v>7.0877192982456139</c:v>
                </c:pt>
                <c:pt idx="7">
                  <c:v>7.0877192982456139</c:v>
                </c:pt>
                <c:pt idx="8">
                  <c:v>7.0877192982456139</c:v>
                </c:pt>
                <c:pt idx="9">
                  <c:v>7.0877192982456139</c:v>
                </c:pt>
              </c:numCache>
            </c:numRef>
          </c:xVal>
          <c:yVal>
            <c:numRef>
              <c:f>Template!$AN$106:$AN$115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6-7928-4654-8CA1-499BA9DE94C2}"/>
            </c:ext>
          </c:extLst>
        </c:ser>
        <c:ser>
          <c:idx val="47"/>
          <c:order val="47"/>
          <c:tx>
            <c:v>Year7_+2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Template!$AO$93:$AO$102</c:f>
              <c:numCache>
                <c:formatCode>#,##0.00_);[Red]\(#,##0.00\)</c:formatCode>
                <c:ptCount val="10"/>
                <c:pt idx="0">
                  <c:v>7.1754385964912277</c:v>
                </c:pt>
                <c:pt idx="1">
                  <c:v>7.1754385964912277</c:v>
                </c:pt>
                <c:pt idx="2">
                  <c:v>7.1754385964912277</c:v>
                </c:pt>
                <c:pt idx="3">
                  <c:v>7.1754385964912277</c:v>
                </c:pt>
                <c:pt idx="4">
                  <c:v>7.1754385964912277</c:v>
                </c:pt>
                <c:pt idx="5">
                  <c:v>7.1754385964912277</c:v>
                </c:pt>
                <c:pt idx="6">
                  <c:v>7.1754385964912277</c:v>
                </c:pt>
                <c:pt idx="7">
                  <c:v>7.1754385964912277</c:v>
                </c:pt>
                <c:pt idx="8">
                  <c:v>7.1754385964912277</c:v>
                </c:pt>
                <c:pt idx="9">
                  <c:v>7.1754385964912277</c:v>
                </c:pt>
              </c:numCache>
            </c:numRef>
          </c:xVal>
          <c:yVal>
            <c:numRef>
              <c:f>Template!$AO$106:$AO$115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7-7928-4654-8CA1-499BA9DE94C2}"/>
            </c:ext>
          </c:extLst>
        </c:ser>
        <c:ser>
          <c:idx val="48"/>
          <c:order val="48"/>
          <c:tx>
            <c:v>Year8_-1</c:v>
          </c:tx>
          <c:spPr>
            <a:ln w="9525" cap="rnd" cmpd="sng" algn="ctr">
              <a:solidFill>
                <a:srgbClr val="C00000"/>
              </a:solidFill>
              <a:prstDash val="sysDot"/>
              <a:round/>
              <a:headEnd type="none" w="med" len="med"/>
              <a:tailEnd type="none" w="med" len="med"/>
            </a:ln>
            <a:effectLst/>
          </c:spPr>
          <c:marker>
            <c:symbol val="none"/>
          </c:marker>
          <c:xVal>
            <c:numRef>
              <c:f>Template!$AP$93:$AP$102</c:f>
              <c:numCache>
                <c:formatCode>#,##0.00_);[Red]\(#,##0.00\)</c:formatCode>
                <c:ptCount val="10"/>
                <c:pt idx="0">
                  <c:v>7.9122807017543861</c:v>
                </c:pt>
                <c:pt idx="1">
                  <c:v>7.9122807017543861</c:v>
                </c:pt>
                <c:pt idx="2">
                  <c:v>7.9122807017543861</c:v>
                </c:pt>
                <c:pt idx="3">
                  <c:v>7.9122807017543861</c:v>
                </c:pt>
                <c:pt idx="4">
                  <c:v>7.9122807017543861</c:v>
                </c:pt>
                <c:pt idx="5">
                  <c:v>7.9122807017543861</c:v>
                </c:pt>
                <c:pt idx="6">
                  <c:v>7.9122807017543861</c:v>
                </c:pt>
                <c:pt idx="7">
                  <c:v>7.9122807017543861</c:v>
                </c:pt>
                <c:pt idx="8">
                  <c:v>7.9122807017543861</c:v>
                </c:pt>
                <c:pt idx="9">
                  <c:v>7.9122807017543861</c:v>
                </c:pt>
              </c:numCache>
            </c:numRef>
          </c:xVal>
          <c:yVal>
            <c:numRef>
              <c:f>Template!$AP$106:$AP$115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8-7928-4654-8CA1-499BA9DE94C2}"/>
            </c:ext>
          </c:extLst>
        </c:ser>
        <c:ser>
          <c:idx val="49"/>
          <c:order val="49"/>
          <c:tx>
            <c:v>Year8_+1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Template!$AQ$93:$AQ$102</c:f>
              <c:numCache>
                <c:formatCode>#,##0.00_);[Red]\(#,##0.00\)</c:formatCode>
                <c:ptCount val="10"/>
                <c:pt idx="0">
                  <c:v>8.087719298245613</c:v>
                </c:pt>
                <c:pt idx="1">
                  <c:v>8.087719298245613</c:v>
                </c:pt>
                <c:pt idx="2">
                  <c:v>8.087719298245613</c:v>
                </c:pt>
                <c:pt idx="3">
                  <c:v>8.087719298245613</c:v>
                </c:pt>
                <c:pt idx="4">
                  <c:v>8.087719298245613</c:v>
                </c:pt>
                <c:pt idx="5">
                  <c:v>8.087719298245613</c:v>
                </c:pt>
                <c:pt idx="6">
                  <c:v>8.087719298245613</c:v>
                </c:pt>
                <c:pt idx="7">
                  <c:v>8.087719298245613</c:v>
                </c:pt>
                <c:pt idx="8">
                  <c:v>8.087719298245613</c:v>
                </c:pt>
                <c:pt idx="9">
                  <c:v>8.087719298245613</c:v>
                </c:pt>
              </c:numCache>
            </c:numRef>
          </c:xVal>
          <c:yVal>
            <c:numRef>
              <c:f>Template!$AQ$106:$AQ$115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9-7928-4654-8CA1-499BA9DE94C2}"/>
            </c:ext>
          </c:extLst>
        </c:ser>
        <c:ser>
          <c:idx val="50"/>
          <c:order val="50"/>
          <c:tx>
            <c:v>Year8_+2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Template!$AR$93:$AR$102</c:f>
              <c:numCache>
                <c:formatCode>#,##0.00_);[Red]\(#,##0.00\)</c:formatCode>
                <c:ptCount val="10"/>
                <c:pt idx="0">
                  <c:v>8.1754385964912277</c:v>
                </c:pt>
                <c:pt idx="1">
                  <c:v>8.1754385964912277</c:v>
                </c:pt>
                <c:pt idx="2">
                  <c:v>8.1754385964912277</c:v>
                </c:pt>
                <c:pt idx="3">
                  <c:v>8.1754385964912277</c:v>
                </c:pt>
                <c:pt idx="4">
                  <c:v>8.1754385964912277</c:v>
                </c:pt>
                <c:pt idx="5">
                  <c:v>8.1754385964912277</c:v>
                </c:pt>
                <c:pt idx="6">
                  <c:v>8.1754385964912277</c:v>
                </c:pt>
                <c:pt idx="7">
                  <c:v>8.1754385964912277</c:v>
                </c:pt>
                <c:pt idx="8">
                  <c:v>8.1754385964912277</c:v>
                </c:pt>
                <c:pt idx="9">
                  <c:v>8.1754385964912277</c:v>
                </c:pt>
              </c:numCache>
            </c:numRef>
          </c:xVal>
          <c:yVal>
            <c:numRef>
              <c:f>Template!$AR$106:$AR$115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A-7928-4654-8CA1-499BA9DE94C2}"/>
            </c:ext>
          </c:extLst>
        </c:ser>
        <c:ser>
          <c:idx val="51"/>
          <c:order val="51"/>
          <c:tx>
            <c:v>Year9_-1</c:v>
          </c:tx>
          <c:spPr>
            <a:ln w="9525" cap="rnd" cmpd="sng" algn="ctr">
              <a:solidFill>
                <a:srgbClr val="C00000"/>
              </a:solidFill>
              <a:prstDash val="sysDot"/>
              <a:round/>
              <a:headEnd type="none" w="med" len="med"/>
              <a:tailEnd type="none" w="med" len="med"/>
            </a:ln>
            <a:effectLst/>
          </c:spPr>
          <c:marker>
            <c:symbol val="none"/>
          </c:marker>
          <c:xVal>
            <c:numRef>
              <c:f>Template!$AS$93:$AS$102</c:f>
              <c:numCache>
                <c:formatCode>#,##0.00_);[Red]\(#,##0.00\)</c:formatCode>
                <c:ptCount val="10"/>
                <c:pt idx="0">
                  <c:v>8.912280701754387</c:v>
                </c:pt>
                <c:pt idx="1">
                  <c:v>8.912280701754387</c:v>
                </c:pt>
                <c:pt idx="2">
                  <c:v>8.912280701754387</c:v>
                </c:pt>
                <c:pt idx="3">
                  <c:v>8.912280701754387</c:v>
                </c:pt>
                <c:pt idx="4">
                  <c:v>8.912280701754387</c:v>
                </c:pt>
                <c:pt idx="5">
                  <c:v>8.912280701754387</c:v>
                </c:pt>
                <c:pt idx="6">
                  <c:v>8.912280701754387</c:v>
                </c:pt>
                <c:pt idx="7">
                  <c:v>8.912280701754387</c:v>
                </c:pt>
                <c:pt idx="8">
                  <c:v>8.912280701754387</c:v>
                </c:pt>
                <c:pt idx="9">
                  <c:v>8.912280701754387</c:v>
                </c:pt>
              </c:numCache>
            </c:numRef>
          </c:xVal>
          <c:yVal>
            <c:numRef>
              <c:f>Template!$AS$106:$AS$115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B-7928-4654-8CA1-499BA9DE94C2}"/>
            </c:ext>
          </c:extLst>
        </c:ser>
        <c:ser>
          <c:idx val="52"/>
          <c:order val="52"/>
          <c:tx>
            <c:v>Year9_+1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Template!$AT$93:$AT$102</c:f>
              <c:numCache>
                <c:formatCode>#,##0.00_);[Red]\(#,##0.00\)</c:formatCode>
                <c:ptCount val="10"/>
                <c:pt idx="0">
                  <c:v>9.087719298245613</c:v>
                </c:pt>
                <c:pt idx="1">
                  <c:v>9.087719298245613</c:v>
                </c:pt>
                <c:pt idx="2">
                  <c:v>9.087719298245613</c:v>
                </c:pt>
                <c:pt idx="3">
                  <c:v>9.087719298245613</c:v>
                </c:pt>
                <c:pt idx="4">
                  <c:v>9.087719298245613</c:v>
                </c:pt>
                <c:pt idx="5">
                  <c:v>9.087719298245613</c:v>
                </c:pt>
                <c:pt idx="6">
                  <c:v>9.087719298245613</c:v>
                </c:pt>
                <c:pt idx="7">
                  <c:v>9.087719298245613</c:v>
                </c:pt>
                <c:pt idx="8">
                  <c:v>9.087719298245613</c:v>
                </c:pt>
                <c:pt idx="9">
                  <c:v>9.087719298245613</c:v>
                </c:pt>
              </c:numCache>
            </c:numRef>
          </c:xVal>
          <c:yVal>
            <c:numRef>
              <c:f>Template!$AT$106:$AT$115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C-7928-4654-8CA1-499BA9DE94C2}"/>
            </c:ext>
          </c:extLst>
        </c:ser>
        <c:ser>
          <c:idx val="53"/>
          <c:order val="53"/>
          <c:tx>
            <c:v>Year9_+2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Template!$AU$93:$AU$102</c:f>
              <c:numCache>
                <c:formatCode>#,##0.00_);[Red]\(#,##0.00\)</c:formatCode>
                <c:ptCount val="10"/>
                <c:pt idx="0">
                  <c:v>9.1754385964912277</c:v>
                </c:pt>
                <c:pt idx="1">
                  <c:v>9.1754385964912277</c:v>
                </c:pt>
                <c:pt idx="2">
                  <c:v>9.1754385964912277</c:v>
                </c:pt>
                <c:pt idx="3">
                  <c:v>9.1754385964912277</c:v>
                </c:pt>
                <c:pt idx="4">
                  <c:v>9.1754385964912277</c:v>
                </c:pt>
                <c:pt idx="5">
                  <c:v>9.1754385964912277</c:v>
                </c:pt>
                <c:pt idx="6">
                  <c:v>9.1754385964912277</c:v>
                </c:pt>
                <c:pt idx="7">
                  <c:v>9.1754385964912277</c:v>
                </c:pt>
                <c:pt idx="8">
                  <c:v>9.1754385964912277</c:v>
                </c:pt>
                <c:pt idx="9">
                  <c:v>9.1754385964912277</c:v>
                </c:pt>
              </c:numCache>
            </c:numRef>
          </c:xVal>
          <c:yVal>
            <c:numRef>
              <c:f>Template!$AU$106:$AU$115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D-7928-4654-8CA1-499BA9DE94C2}"/>
            </c:ext>
          </c:extLst>
        </c:ser>
        <c:ser>
          <c:idx val="54"/>
          <c:order val="54"/>
          <c:tx>
            <c:v>Year10_-1</c:v>
          </c:tx>
          <c:spPr>
            <a:ln w="9525" cap="rnd" cmpd="sng" algn="ctr">
              <a:solidFill>
                <a:srgbClr val="C00000"/>
              </a:solidFill>
              <a:prstDash val="sysDot"/>
              <a:round/>
              <a:headEnd type="none" w="med" len="med"/>
              <a:tailEnd type="none" w="med" len="med"/>
            </a:ln>
            <a:effectLst/>
          </c:spPr>
          <c:marker>
            <c:symbol val="none"/>
          </c:marker>
          <c:xVal>
            <c:numRef>
              <c:f>Template!$AV$93:$AV$102</c:f>
              <c:numCache>
                <c:formatCode>#,##0.00_);[Red]\(#,##0.00\)</c:formatCode>
                <c:ptCount val="10"/>
                <c:pt idx="0">
                  <c:v>9.912280701754387</c:v>
                </c:pt>
                <c:pt idx="1">
                  <c:v>9.912280701754387</c:v>
                </c:pt>
                <c:pt idx="2">
                  <c:v>9.912280701754387</c:v>
                </c:pt>
                <c:pt idx="3">
                  <c:v>9.912280701754387</c:v>
                </c:pt>
                <c:pt idx="4">
                  <c:v>9.912280701754387</c:v>
                </c:pt>
                <c:pt idx="5">
                  <c:v>9.912280701754387</c:v>
                </c:pt>
                <c:pt idx="6">
                  <c:v>9.912280701754387</c:v>
                </c:pt>
                <c:pt idx="7">
                  <c:v>9.912280701754387</c:v>
                </c:pt>
                <c:pt idx="8">
                  <c:v>9.912280701754387</c:v>
                </c:pt>
                <c:pt idx="9">
                  <c:v>9.912280701754387</c:v>
                </c:pt>
              </c:numCache>
            </c:numRef>
          </c:xVal>
          <c:yVal>
            <c:numRef>
              <c:f>Template!$AV$106:$AV$115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E-7928-4654-8CA1-499BA9DE94C2}"/>
            </c:ext>
          </c:extLst>
        </c:ser>
        <c:ser>
          <c:idx val="55"/>
          <c:order val="55"/>
          <c:tx>
            <c:v>Year10_+1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Template!$AW$93:$AW$102</c:f>
              <c:numCache>
                <c:formatCode>#,##0.00_);[Red]\(#,##0.00\)</c:formatCode>
                <c:ptCount val="10"/>
                <c:pt idx="0">
                  <c:v>10.087719298245613</c:v>
                </c:pt>
                <c:pt idx="1">
                  <c:v>10.087719298245613</c:v>
                </c:pt>
                <c:pt idx="2">
                  <c:v>10.087719298245613</c:v>
                </c:pt>
                <c:pt idx="3">
                  <c:v>10.087719298245613</c:v>
                </c:pt>
                <c:pt idx="4">
                  <c:v>10.087719298245613</c:v>
                </c:pt>
                <c:pt idx="5">
                  <c:v>10.087719298245613</c:v>
                </c:pt>
                <c:pt idx="6">
                  <c:v>10.087719298245613</c:v>
                </c:pt>
                <c:pt idx="7">
                  <c:v>10.087719298245613</c:v>
                </c:pt>
                <c:pt idx="8">
                  <c:v>10.087719298245613</c:v>
                </c:pt>
                <c:pt idx="9">
                  <c:v>10.087719298245613</c:v>
                </c:pt>
              </c:numCache>
            </c:numRef>
          </c:xVal>
          <c:yVal>
            <c:numRef>
              <c:f>Template!$AW$106:$AW$115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1F-7928-4654-8CA1-499BA9DE94C2}"/>
            </c:ext>
          </c:extLst>
        </c:ser>
        <c:ser>
          <c:idx val="56"/>
          <c:order val="56"/>
          <c:tx>
            <c:v>Year10_+2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Template!$AX$93:$AX$102</c:f>
              <c:numCache>
                <c:formatCode>#,##0.00_);[Red]\(#,##0.00\)</c:formatCode>
                <c:ptCount val="10"/>
                <c:pt idx="0">
                  <c:v>10.175438596491228</c:v>
                </c:pt>
                <c:pt idx="1">
                  <c:v>10.175438596491228</c:v>
                </c:pt>
                <c:pt idx="2">
                  <c:v>10.175438596491228</c:v>
                </c:pt>
                <c:pt idx="3">
                  <c:v>10.175438596491228</c:v>
                </c:pt>
                <c:pt idx="4">
                  <c:v>10.175438596491228</c:v>
                </c:pt>
                <c:pt idx="5">
                  <c:v>10.175438596491228</c:v>
                </c:pt>
                <c:pt idx="6">
                  <c:v>10.175438596491228</c:v>
                </c:pt>
                <c:pt idx="7">
                  <c:v>10.175438596491228</c:v>
                </c:pt>
                <c:pt idx="8">
                  <c:v>10.175438596491228</c:v>
                </c:pt>
                <c:pt idx="9">
                  <c:v>10.175438596491228</c:v>
                </c:pt>
              </c:numCache>
            </c:numRef>
          </c:xVal>
          <c:yVal>
            <c:numRef>
              <c:f>Template!$AX$106:$AX$115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0-7928-4654-8CA1-499BA9DE94C2}"/>
            </c:ext>
          </c:extLst>
        </c:ser>
        <c:ser>
          <c:idx val="57"/>
          <c:order val="57"/>
          <c:tx>
            <c:v>Year11_-1</c:v>
          </c:tx>
          <c:spPr>
            <a:ln w="9525" cap="rnd" cmpd="sng" algn="ctr">
              <a:solidFill>
                <a:srgbClr val="C00000"/>
              </a:solidFill>
              <a:prstDash val="sysDot"/>
              <a:round/>
              <a:headEnd type="none" w="med" len="med"/>
              <a:tailEnd type="none" w="med" len="med"/>
            </a:ln>
            <a:effectLst/>
          </c:spPr>
          <c:marker>
            <c:symbol val="none"/>
          </c:marker>
          <c:xVal>
            <c:numRef>
              <c:f>Template!$AY$93:$AY$102</c:f>
              <c:numCache>
                <c:formatCode>#,##0.00_);[Red]\(#,##0.00\)</c:formatCode>
                <c:ptCount val="10"/>
                <c:pt idx="0">
                  <c:v>10.912280701754387</c:v>
                </c:pt>
                <c:pt idx="1">
                  <c:v>10.912280701754387</c:v>
                </c:pt>
                <c:pt idx="2">
                  <c:v>10.912280701754387</c:v>
                </c:pt>
                <c:pt idx="3">
                  <c:v>10.912280701754387</c:v>
                </c:pt>
                <c:pt idx="4">
                  <c:v>10.912280701754387</c:v>
                </c:pt>
                <c:pt idx="5">
                  <c:v>10.912280701754387</c:v>
                </c:pt>
                <c:pt idx="6">
                  <c:v>10.912280701754387</c:v>
                </c:pt>
                <c:pt idx="7">
                  <c:v>10.912280701754387</c:v>
                </c:pt>
                <c:pt idx="8">
                  <c:v>10.912280701754387</c:v>
                </c:pt>
                <c:pt idx="9">
                  <c:v>10.912280701754387</c:v>
                </c:pt>
              </c:numCache>
            </c:numRef>
          </c:xVal>
          <c:yVal>
            <c:numRef>
              <c:f>Template!$AY$106:$AY$115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1-7928-4654-8CA1-499BA9DE94C2}"/>
            </c:ext>
          </c:extLst>
        </c:ser>
        <c:ser>
          <c:idx val="58"/>
          <c:order val="58"/>
          <c:tx>
            <c:v>Year11_+1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Template!$AZ$93:$AZ$102</c:f>
              <c:numCache>
                <c:formatCode>#,##0.00_);[Red]\(#,##0.00\)</c:formatCode>
                <c:ptCount val="10"/>
                <c:pt idx="0">
                  <c:v>11.087719298245613</c:v>
                </c:pt>
                <c:pt idx="1">
                  <c:v>11.087719298245613</c:v>
                </c:pt>
                <c:pt idx="2">
                  <c:v>11.087719298245613</c:v>
                </c:pt>
                <c:pt idx="3">
                  <c:v>11.087719298245613</c:v>
                </c:pt>
                <c:pt idx="4">
                  <c:v>11.087719298245613</c:v>
                </c:pt>
                <c:pt idx="5">
                  <c:v>11.087719298245613</c:v>
                </c:pt>
                <c:pt idx="6">
                  <c:v>11.087719298245613</c:v>
                </c:pt>
                <c:pt idx="7">
                  <c:v>11.087719298245613</c:v>
                </c:pt>
                <c:pt idx="8">
                  <c:v>11.087719298245613</c:v>
                </c:pt>
                <c:pt idx="9">
                  <c:v>11.087719298245613</c:v>
                </c:pt>
              </c:numCache>
            </c:numRef>
          </c:xVal>
          <c:yVal>
            <c:numRef>
              <c:f>Template!$AZ$106:$AZ$115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2-7928-4654-8CA1-499BA9DE94C2}"/>
            </c:ext>
          </c:extLst>
        </c:ser>
        <c:ser>
          <c:idx val="59"/>
          <c:order val="59"/>
          <c:tx>
            <c:v>Year11_+2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Template!$BA$93:$BA$102</c:f>
              <c:numCache>
                <c:formatCode>#,##0.00_);[Red]\(#,##0.00\)</c:formatCode>
                <c:ptCount val="10"/>
                <c:pt idx="0">
                  <c:v>11.175438596491228</c:v>
                </c:pt>
                <c:pt idx="1">
                  <c:v>11.175438596491228</c:v>
                </c:pt>
                <c:pt idx="2">
                  <c:v>11.175438596491228</c:v>
                </c:pt>
                <c:pt idx="3">
                  <c:v>11.175438596491228</c:v>
                </c:pt>
                <c:pt idx="4">
                  <c:v>11.175438596491228</c:v>
                </c:pt>
                <c:pt idx="5">
                  <c:v>11.175438596491228</c:v>
                </c:pt>
                <c:pt idx="6">
                  <c:v>11.175438596491228</c:v>
                </c:pt>
                <c:pt idx="7">
                  <c:v>11.175438596491228</c:v>
                </c:pt>
                <c:pt idx="8">
                  <c:v>11.175438596491228</c:v>
                </c:pt>
                <c:pt idx="9">
                  <c:v>11.175438596491228</c:v>
                </c:pt>
              </c:numCache>
            </c:numRef>
          </c:xVal>
          <c:yVal>
            <c:numRef>
              <c:f>Template!$BA$106:$BA$115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3-7928-4654-8CA1-499BA9DE94C2}"/>
            </c:ext>
          </c:extLst>
        </c:ser>
        <c:ser>
          <c:idx val="60"/>
          <c:order val="60"/>
          <c:tx>
            <c:v>Year12_-1</c:v>
          </c:tx>
          <c:spPr>
            <a:ln w="9525" cap="rnd" cmpd="sng" algn="ctr">
              <a:solidFill>
                <a:srgbClr val="C00000"/>
              </a:solidFill>
              <a:prstDash val="sysDot"/>
              <a:round/>
              <a:headEnd type="none" w="med" len="med"/>
              <a:tailEnd type="none" w="med" len="med"/>
            </a:ln>
            <a:effectLst/>
          </c:spPr>
          <c:marker>
            <c:symbol val="none"/>
          </c:marker>
          <c:xVal>
            <c:numRef>
              <c:f>Template!$BB$93:$BB$102</c:f>
              <c:numCache>
                <c:formatCode>#,##0.00_);[Red]\(#,##0.00\)</c:formatCode>
                <c:ptCount val="10"/>
                <c:pt idx="0">
                  <c:v>11.912280701754387</c:v>
                </c:pt>
                <c:pt idx="1">
                  <c:v>11.912280701754387</c:v>
                </c:pt>
                <c:pt idx="2">
                  <c:v>11.912280701754387</c:v>
                </c:pt>
                <c:pt idx="3">
                  <c:v>11.912280701754387</c:v>
                </c:pt>
                <c:pt idx="4">
                  <c:v>11.912280701754387</c:v>
                </c:pt>
                <c:pt idx="5">
                  <c:v>11.912280701754387</c:v>
                </c:pt>
                <c:pt idx="6">
                  <c:v>11.912280701754387</c:v>
                </c:pt>
                <c:pt idx="7">
                  <c:v>11.912280701754387</c:v>
                </c:pt>
                <c:pt idx="8">
                  <c:v>11.912280701754387</c:v>
                </c:pt>
                <c:pt idx="9">
                  <c:v>11.912280701754387</c:v>
                </c:pt>
              </c:numCache>
            </c:numRef>
          </c:xVal>
          <c:yVal>
            <c:numRef>
              <c:f>Template!$BB$106:$BB$115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4-7928-4654-8CA1-499BA9DE94C2}"/>
            </c:ext>
          </c:extLst>
        </c:ser>
        <c:ser>
          <c:idx val="61"/>
          <c:order val="61"/>
          <c:tx>
            <c:v>Year12_+1</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Template!$BC$93:$BC$102</c:f>
              <c:numCache>
                <c:formatCode>#,##0.00_);[Red]\(#,##0.00\)</c:formatCode>
                <c:ptCount val="10"/>
                <c:pt idx="0">
                  <c:v>12.087719298245613</c:v>
                </c:pt>
                <c:pt idx="1">
                  <c:v>12.087719298245613</c:v>
                </c:pt>
                <c:pt idx="2">
                  <c:v>12.087719298245613</c:v>
                </c:pt>
                <c:pt idx="3">
                  <c:v>12.087719298245613</c:v>
                </c:pt>
                <c:pt idx="4">
                  <c:v>12.087719298245613</c:v>
                </c:pt>
                <c:pt idx="5">
                  <c:v>12.087719298245613</c:v>
                </c:pt>
                <c:pt idx="6">
                  <c:v>12.087719298245613</c:v>
                </c:pt>
                <c:pt idx="7">
                  <c:v>12.087719298245613</c:v>
                </c:pt>
                <c:pt idx="8">
                  <c:v>12.087719298245613</c:v>
                </c:pt>
                <c:pt idx="9">
                  <c:v>12.087719298245613</c:v>
                </c:pt>
              </c:numCache>
            </c:numRef>
          </c:xVal>
          <c:yVal>
            <c:numRef>
              <c:f>Template!$BC$106:$BC$115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5-7928-4654-8CA1-499BA9DE94C2}"/>
            </c:ext>
          </c:extLst>
        </c:ser>
        <c:ser>
          <c:idx val="62"/>
          <c:order val="62"/>
          <c:tx>
            <c:v>Year12_+2</c:v>
          </c:tx>
          <c:spPr>
            <a:ln w="9525" cap="rnd" cmpd="sng" algn="ctr">
              <a:solidFill>
                <a:sysClr val="windowText" lastClr="000000">
                  <a:lumMod val="50000"/>
                  <a:lumOff val="50000"/>
                </a:sysClr>
              </a:solidFill>
              <a:prstDash val="sysDot"/>
              <a:round/>
              <a:headEnd type="none" w="med" len="med"/>
              <a:tailEnd type="none" w="med" len="med"/>
            </a:ln>
            <a:effectLst/>
          </c:spPr>
          <c:marker>
            <c:symbol val="none"/>
          </c:marker>
          <c:xVal>
            <c:numRef>
              <c:f>Template!$BD$93:$BD$102</c:f>
              <c:numCache>
                <c:formatCode>#,##0.00_);[Red]\(#,##0.00\)</c:formatCode>
                <c:ptCount val="10"/>
                <c:pt idx="0">
                  <c:v>12.175438596491228</c:v>
                </c:pt>
                <c:pt idx="1">
                  <c:v>12.175438596491228</c:v>
                </c:pt>
                <c:pt idx="2">
                  <c:v>12.175438596491228</c:v>
                </c:pt>
                <c:pt idx="3">
                  <c:v>12.175438596491228</c:v>
                </c:pt>
                <c:pt idx="4">
                  <c:v>12.175438596491228</c:v>
                </c:pt>
                <c:pt idx="5">
                  <c:v>12.175438596491228</c:v>
                </c:pt>
                <c:pt idx="6">
                  <c:v>12.175438596491228</c:v>
                </c:pt>
                <c:pt idx="7">
                  <c:v>12.175438596491228</c:v>
                </c:pt>
                <c:pt idx="8">
                  <c:v>12.175438596491228</c:v>
                </c:pt>
                <c:pt idx="9">
                  <c:v>12.175438596491228</c:v>
                </c:pt>
              </c:numCache>
            </c:numRef>
          </c:xVal>
          <c:yVal>
            <c:numRef>
              <c:f>Template!$BD$106:$BD$115</c:f>
              <c:numCache>
                <c:formatCode>#,##0.00_);[Red]\(#,##0.00\)</c:formatCode>
                <c:ptCount val="10"/>
                <c:pt idx="0">
                  <c:v>-1</c:v>
                </c:pt>
                <c:pt idx="1">
                  <c:v>1</c:v>
                </c:pt>
                <c:pt idx="2">
                  <c:v>2</c:v>
                </c:pt>
                <c:pt idx="3">
                  <c:v>3</c:v>
                </c:pt>
                <c:pt idx="4">
                  <c:v>4</c:v>
                </c:pt>
                <c:pt idx="5">
                  <c:v>5</c:v>
                </c:pt>
                <c:pt idx="6">
                  <c:v>6</c:v>
                </c:pt>
                <c:pt idx="7">
                  <c:v>7</c:v>
                </c:pt>
                <c:pt idx="8">
                  <c:v>8</c:v>
                </c:pt>
                <c:pt idx="9">
                  <c:v>10</c:v>
                </c:pt>
              </c:numCache>
            </c:numRef>
          </c:yVal>
          <c:smooth val="0"/>
          <c:extLst>
            <c:ext xmlns:c16="http://schemas.microsoft.com/office/drawing/2014/chart" uri="{C3380CC4-5D6E-409C-BE32-E72D297353CC}">
              <c16:uniqueId val="{00000026-7928-4654-8CA1-499BA9DE94C2}"/>
            </c:ext>
          </c:extLst>
        </c:ser>
        <c:dLbls>
          <c:showLegendKey val="0"/>
          <c:showVal val="0"/>
          <c:showCatName val="0"/>
          <c:showSerName val="0"/>
          <c:showPercent val="0"/>
          <c:showBubbleSize val="0"/>
        </c:dLbls>
        <c:axId val="715699304"/>
        <c:axId val="715703568"/>
      </c:scatterChart>
      <c:valAx>
        <c:axId val="715699304"/>
        <c:scaling>
          <c:orientation val="minMax"/>
          <c:max val="13"/>
          <c:min val="-1"/>
        </c:scaling>
        <c:delete val="0"/>
        <c:axPos val="t"/>
        <c:majorGridlines>
          <c:spPr>
            <a:ln w="9525" cap="flat" cmpd="sng" algn="ctr">
              <a:solidFill>
                <a:schemeClr val="tx1"/>
              </a:solidFill>
              <a:round/>
            </a:ln>
            <a:effectLst/>
          </c:spPr>
        </c:majorGridlines>
        <c:numFmt formatCode="#,##0.00_);[Red]\(#,##0.00\)" sourceLinked="1"/>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03568"/>
        <c:crosses val="autoZero"/>
        <c:crossBetween val="midCat"/>
        <c:majorUnit val="1"/>
      </c:valAx>
      <c:valAx>
        <c:axId val="715703568"/>
        <c:scaling>
          <c:orientation val="maxMin"/>
          <c:max val="10"/>
          <c:min val="-1"/>
        </c:scaling>
        <c:delete val="0"/>
        <c:axPos val="l"/>
        <c:majorGridlines>
          <c:spPr>
            <a:ln w="9525" cap="flat" cmpd="sng" algn="ctr">
              <a:solidFill>
                <a:schemeClr val="tx1">
                  <a:lumMod val="50000"/>
                  <a:lumOff val="50000"/>
                </a:schemeClr>
              </a:solidFill>
              <a:round/>
            </a:ln>
            <a:effectLst/>
          </c:spPr>
        </c:majorGridlines>
        <c:numFmt formatCode="#,##0.00_);[Red]\(#,##0.00\)" sourceLinked="1"/>
        <c:majorTickMark val="none"/>
        <c:minorTickMark val="none"/>
        <c:tickLblPos val="nextTo"/>
        <c:spPr>
          <a:noFill/>
          <a:ln w="12700"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699304"/>
        <c:crossesAt val="-1"/>
        <c:crossBetween val="midCat"/>
        <c:majorUnit val="1"/>
      </c:valAx>
      <c:spPr>
        <a:noFill/>
        <a:ln w="9525" cap="flat" cmpd="sng" algn="ctr">
          <a:solidFill>
            <a:schemeClr val="tx1">
              <a:lumMod val="50000"/>
              <a:lumOff val="50000"/>
            </a:schemeClr>
          </a:solidFill>
          <a:prstDash val="sysDot"/>
          <a:round/>
          <a:headEnd type="none" w="med" len="med"/>
          <a:tailEnd type="none" w="med" len="med"/>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3</xdr:col>
      <xdr:colOff>664457</xdr:colOff>
      <xdr:row>1</xdr:row>
      <xdr:rowOff>121178</xdr:rowOff>
    </xdr:from>
    <xdr:to>
      <xdr:col>4</xdr:col>
      <xdr:colOff>313900</xdr:colOff>
      <xdr:row>19</xdr:row>
      <xdr:rowOff>287932</xdr:rowOff>
    </xdr:to>
    <xdr:graphicFrame macro="">
      <xdr:nvGraphicFramePr>
        <xdr:cNvPr id="42" name="Chart 41">
          <a:extLst>
            <a:ext uri="{FF2B5EF4-FFF2-40B4-BE49-F238E27FC236}">
              <a16:creationId xmlns:a16="http://schemas.microsoft.com/office/drawing/2014/main" id="{2160E18F-5558-44C3-A6BD-9939863719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665285</xdr:colOff>
      <xdr:row>1</xdr:row>
      <xdr:rowOff>123488</xdr:rowOff>
    </xdr:from>
    <xdr:to>
      <xdr:col>5</xdr:col>
      <xdr:colOff>314727</xdr:colOff>
      <xdr:row>19</xdr:row>
      <xdr:rowOff>290242</xdr:rowOff>
    </xdr:to>
    <xdr:graphicFrame macro="">
      <xdr:nvGraphicFramePr>
        <xdr:cNvPr id="43" name="Chart 42">
          <a:extLst>
            <a:ext uri="{FF2B5EF4-FFF2-40B4-BE49-F238E27FC236}">
              <a16:creationId xmlns:a16="http://schemas.microsoft.com/office/drawing/2014/main" id="{03D8EE92-759F-4CDF-B154-B9CEB631D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2145961</xdr:colOff>
      <xdr:row>1</xdr:row>
      <xdr:rowOff>115316</xdr:rowOff>
    </xdr:from>
    <xdr:to>
      <xdr:col>2</xdr:col>
      <xdr:colOff>308038</xdr:colOff>
      <xdr:row>19</xdr:row>
      <xdr:rowOff>282070</xdr:rowOff>
    </xdr:to>
    <xdr:graphicFrame macro="">
      <xdr:nvGraphicFramePr>
        <xdr:cNvPr id="32" name="Chart 31">
          <a:extLst>
            <a:ext uri="{FF2B5EF4-FFF2-40B4-BE49-F238E27FC236}">
              <a16:creationId xmlns:a16="http://schemas.microsoft.com/office/drawing/2014/main" id="{ACE78973-2ECA-4386-A06B-DF17853DDB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659423</xdr:colOff>
      <xdr:row>1</xdr:row>
      <xdr:rowOff>117626</xdr:rowOff>
    </xdr:from>
    <xdr:to>
      <xdr:col>3</xdr:col>
      <xdr:colOff>308866</xdr:colOff>
      <xdr:row>19</xdr:row>
      <xdr:rowOff>284380</xdr:rowOff>
    </xdr:to>
    <xdr:graphicFrame macro="">
      <xdr:nvGraphicFramePr>
        <xdr:cNvPr id="41" name="Chart 40">
          <a:extLst>
            <a:ext uri="{FF2B5EF4-FFF2-40B4-BE49-F238E27FC236}">
              <a16:creationId xmlns:a16="http://schemas.microsoft.com/office/drawing/2014/main" id="{74801ED5-3246-45C7-AE1C-4F1343816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662991</xdr:colOff>
      <xdr:row>1</xdr:row>
      <xdr:rowOff>134367</xdr:rowOff>
    </xdr:from>
    <xdr:to>
      <xdr:col>8</xdr:col>
      <xdr:colOff>312434</xdr:colOff>
      <xdr:row>19</xdr:row>
      <xdr:rowOff>301121</xdr:rowOff>
    </xdr:to>
    <xdr:graphicFrame macro="">
      <xdr:nvGraphicFramePr>
        <xdr:cNvPr id="44" name="Chart 43">
          <a:extLst>
            <a:ext uri="{FF2B5EF4-FFF2-40B4-BE49-F238E27FC236}">
              <a16:creationId xmlns:a16="http://schemas.microsoft.com/office/drawing/2014/main" id="{55DDD753-E849-408C-9319-166F472A3D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663819</xdr:colOff>
      <xdr:row>1</xdr:row>
      <xdr:rowOff>136677</xdr:rowOff>
    </xdr:from>
    <xdr:to>
      <xdr:col>9</xdr:col>
      <xdr:colOff>313262</xdr:colOff>
      <xdr:row>19</xdr:row>
      <xdr:rowOff>303431</xdr:rowOff>
    </xdr:to>
    <xdr:graphicFrame macro="">
      <xdr:nvGraphicFramePr>
        <xdr:cNvPr id="45" name="Chart 44">
          <a:extLst>
            <a:ext uri="{FF2B5EF4-FFF2-40B4-BE49-F238E27FC236}">
              <a16:creationId xmlns:a16="http://schemas.microsoft.com/office/drawing/2014/main" id="{DC8A89C5-0433-42F7-AEB8-B3ADABC0F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664456</xdr:colOff>
      <xdr:row>1</xdr:row>
      <xdr:rowOff>128505</xdr:rowOff>
    </xdr:from>
    <xdr:to>
      <xdr:col>6</xdr:col>
      <xdr:colOff>313899</xdr:colOff>
      <xdr:row>19</xdr:row>
      <xdr:rowOff>295259</xdr:rowOff>
    </xdr:to>
    <xdr:graphicFrame macro="">
      <xdr:nvGraphicFramePr>
        <xdr:cNvPr id="46" name="Chart 45">
          <a:extLst>
            <a:ext uri="{FF2B5EF4-FFF2-40B4-BE49-F238E27FC236}">
              <a16:creationId xmlns:a16="http://schemas.microsoft.com/office/drawing/2014/main" id="{8B274F72-59C7-48C3-99A8-7B6A35AD70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665284</xdr:colOff>
      <xdr:row>1</xdr:row>
      <xdr:rowOff>130815</xdr:rowOff>
    </xdr:from>
    <xdr:to>
      <xdr:col>7</xdr:col>
      <xdr:colOff>314727</xdr:colOff>
      <xdr:row>19</xdr:row>
      <xdr:rowOff>297569</xdr:rowOff>
    </xdr:to>
    <xdr:graphicFrame macro="">
      <xdr:nvGraphicFramePr>
        <xdr:cNvPr id="47" name="Chart 46">
          <a:extLst>
            <a:ext uri="{FF2B5EF4-FFF2-40B4-BE49-F238E27FC236}">
              <a16:creationId xmlns:a16="http://schemas.microsoft.com/office/drawing/2014/main" id="{AE7F603C-F7A0-4A6C-A38F-C96946B41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663820</xdr:colOff>
      <xdr:row>1</xdr:row>
      <xdr:rowOff>136677</xdr:rowOff>
    </xdr:from>
    <xdr:to>
      <xdr:col>10</xdr:col>
      <xdr:colOff>313262</xdr:colOff>
      <xdr:row>19</xdr:row>
      <xdr:rowOff>303431</xdr:rowOff>
    </xdr:to>
    <xdr:graphicFrame macro="">
      <xdr:nvGraphicFramePr>
        <xdr:cNvPr id="48" name="Chart 47">
          <a:extLst>
            <a:ext uri="{FF2B5EF4-FFF2-40B4-BE49-F238E27FC236}">
              <a16:creationId xmlns:a16="http://schemas.microsoft.com/office/drawing/2014/main" id="{CD612686-F12A-4F39-8811-3D09E6635CF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661526</xdr:colOff>
      <xdr:row>1</xdr:row>
      <xdr:rowOff>147556</xdr:rowOff>
    </xdr:from>
    <xdr:to>
      <xdr:col>13</xdr:col>
      <xdr:colOff>310969</xdr:colOff>
      <xdr:row>19</xdr:row>
      <xdr:rowOff>314310</xdr:rowOff>
    </xdr:to>
    <xdr:graphicFrame macro="">
      <xdr:nvGraphicFramePr>
        <xdr:cNvPr id="49" name="Chart 48">
          <a:extLst>
            <a:ext uri="{FF2B5EF4-FFF2-40B4-BE49-F238E27FC236}">
              <a16:creationId xmlns:a16="http://schemas.microsoft.com/office/drawing/2014/main" id="{674E22DC-DF7E-413E-84B9-FBB580CDAA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662354</xdr:colOff>
      <xdr:row>1</xdr:row>
      <xdr:rowOff>149866</xdr:rowOff>
    </xdr:from>
    <xdr:to>
      <xdr:col>14</xdr:col>
      <xdr:colOff>311796</xdr:colOff>
      <xdr:row>19</xdr:row>
      <xdr:rowOff>316620</xdr:rowOff>
    </xdr:to>
    <xdr:graphicFrame macro="">
      <xdr:nvGraphicFramePr>
        <xdr:cNvPr id="50" name="Chart 49">
          <a:extLst>
            <a:ext uri="{FF2B5EF4-FFF2-40B4-BE49-F238E27FC236}">
              <a16:creationId xmlns:a16="http://schemas.microsoft.com/office/drawing/2014/main" id="{41710F71-3A47-4FE5-B892-6A71903D8E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662991</xdr:colOff>
      <xdr:row>1</xdr:row>
      <xdr:rowOff>141694</xdr:rowOff>
    </xdr:from>
    <xdr:to>
      <xdr:col>11</xdr:col>
      <xdr:colOff>312434</xdr:colOff>
      <xdr:row>19</xdr:row>
      <xdr:rowOff>308448</xdr:rowOff>
    </xdr:to>
    <xdr:graphicFrame macro="">
      <xdr:nvGraphicFramePr>
        <xdr:cNvPr id="51" name="Chart 50">
          <a:extLst>
            <a:ext uri="{FF2B5EF4-FFF2-40B4-BE49-F238E27FC236}">
              <a16:creationId xmlns:a16="http://schemas.microsoft.com/office/drawing/2014/main" id="{FCAB2E0D-1494-4DCF-9B25-7679B9A40B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11</xdr:col>
      <xdr:colOff>663819</xdr:colOff>
      <xdr:row>1</xdr:row>
      <xdr:rowOff>144004</xdr:rowOff>
    </xdr:from>
    <xdr:to>
      <xdr:col>12</xdr:col>
      <xdr:colOff>313262</xdr:colOff>
      <xdr:row>19</xdr:row>
      <xdr:rowOff>310758</xdr:rowOff>
    </xdr:to>
    <xdr:graphicFrame macro="">
      <xdr:nvGraphicFramePr>
        <xdr:cNvPr id="52" name="Chart 51">
          <a:extLst>
            <a:ext uri="{FF2B5EF4-FFF2-40B4-BE49-F238E27FC236}">
              <a16:creationId xmlns:a16="http://schemas.microsoft.com/office/drawing/2014/main" id="{2B8D3EC8-61D2-472B-92D6-7A28AAFDCE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xdr:col>
      <xdr:colOff>693964</xdr:colOff>
      <xdr:row>63</xdr:row>
      <xdr:rowOff>81643</xdr:rowOff>
    </xdr:from>
    <xdr:to>
      <xdr:col>14</xdr:col>
      <xdr:colOff>244927</xdr:colOff>
      <xdr:row>98</xdr:row>
      <xdr:rowOff>40821</xdr:rowOff>
    </xdr:to>
    <xdr:graphicFrame macro="">
      <xdr:nvGraphicFramePr>
        <xdr:cNvPr id="53" name="WaterfallGrid">
          <a:extLst>
            <a:ext uri="{FF2B5EF4-FFF2-40B4-BE49-F238E27FC236}">
              <a16:creationId xmlns:a16="http://schemas.microsoft.com/office/drawing/2014/main" id="{8B0FC1A5-CE94-470C-BA10-EB21DB1D28A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sheetPr>
  <dimension ref="A1:BQ185"/>
  <sheetViews>
    <sheetView showGridLines="0" tabSelected="1" showRuler="0" zoomScaleNormal="100" zoomScalePageLayoutView="85" workbookViewId="0">
      <selection activeCell="Q20" sqref="Q20"/>
    </sheetView>
  </sheetViews>
  <sheetFormatPr defaultColWidth="9.140625" defaultRowHeight="12.75" x14ac:dyDescent="0.2"/>
  <cols>
    <col min="1" max="1" width="5.140625" style="12" bestFit="1" customWidth="1"/>
    <col min="2" max="2" width="31.28515625" style="6" customWidth="1"/>
    <col min="3" max="15" width="10.42578125" style="6" customWidth="1"/>
    <col min="16" max="16" width="2.28515625" style="6" customWidth="1"/>
    <col min="17" max="17" width="5.85546875" style="6" customWidth="1"/>
    <col min="18" max="30" width="10.140625" style="6" customWidth="1"/>
    <col min="31" max="16384" width="9.140625" style="6"/>
  </cols>
  <sheetData>
    <row r="1" spans="1:16" ht="20.25" customHeight="1" x14ac:dyDescent="0.2">
      <c r="A1" s="3" t="s">
        <v>0</v>
      </c>
      <c r="B1" s="4" t="s">
        <v>1</v>
      </c>
      <c r="C1" s="5" t="s">
        <v>2</v>
      </c>
      <c r="D1" s="5" t="s">
        <v>3</v>
      </c>
      <c r="E1" s="5" t="s">
        <v>4</v>
      </c>
      <c r="F1" s="5" t="s">
        <v>5</v>
      </c>
      <c r="G1" s="5" t="s">
        <v>6</v>
      </c>
      <c r="H1" s="5" t="s">
        <v>7</v>
      </c>
      <c r="I1" s="5" t="s">
        <v>8</v>
      </c>
      <c r="J1" s="5" t="s">
        <v>9</v>
      </c>
      <c r="K1" s="5" t="s">
        <v>10</v>
      </c>
      <c r="L1" s="5" t="s">
        <v>11</v>
      </c>
      <c r="M1" s="5" t="s">
        <v>12</v>
      </c>
      <c r="N1" s="5" t="s">
        <v>13</v>
      </c>
      <c r="O1" s="31" t="s">
        <v>14</v>
      </c>
      <c r="P1" s="5"/>
    </row>
    <row r="2" spans="1:16" ht="30.75" customHeight="1" x14ac:dyDescent="0.2">
      <c r="A2" s="7">
        <v>0</v>
      </c>
      <c r="B2" s="17" t="str">
        <f ca="1">CHAR(65+26*RAND())&amp;CHAR(97+26*RAND())&amp;CHAR(97+26*RAND())&amp;CHAR(97+26*RAND())&amp;CHAR(97+26*RAND())&amp;CHAR(97+26*RAND())&amp;CHAR(97+26*RAND())&amp;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f>
        <v>Osotkva Dmia Xyz Nh Aonl Buxy.</v>
      </c>
      <c r="C2" s="18">
        <f ca="1">950+RAND()*100</f>
        <v>1032.5229154329488</v>
      </c>
      <c r="D2" s="18">
        <f t="shared" ref="D2:O2" ca="1" si="0">ROUND(C2+($C2)*(-0.5+RAND()),DecimalPrecision)</f>
        <v>1129.4735684949001</v>
      </c>
      <c r="E2" s="18">
        <f t="shared" ca="1" si="0"/>
        <v>1505.5681195949501</v>
      </c>
      <c r="F2" s="18">
        <f t="shared" ca="1" si="0"/>
        <v>1564.1679583683799</v>
      </c>
      <c r="G2" s="18">
        <f t="shared" ca="1" si="0"/>
        <v>1079.4670270100601</v>
      </c>
      <c r="H2" s="18">
        <f t="shared" ca="1" si="0"/>
        <v>614.50165270654998</v>
      </c>
      <c r="I2" s="18">
        <f t="shared" ca="1" si="0"/>
        <v>905.54078322938005</v>
      </c>
      <c r="J2" s="18">
        <f t="shared" ca="1" si="0"/>
        <v>556.18347978386998</v>
      </c>
      <c r="K2" s="18">
        <f t="shared" ca="1" si="0"/>
        <v>1033.04768031409</v>
      </c>
      <c r="L2" s="18">
        <f t="shared" ca="1" si="0"/>
        <v>1445.9067127185101</v>
      </c>
      <c r="M2" s="18">
        <f t="shared" ca="1" si="0"/>
        <v>1765.06620584753</v>
      </c>
      <c r="N2" s="18">
        <f t="shared" ca="1" si="0"/>
        <v>1470.6834358685001</v>
      </c>
      <c r="O2" s="32">
        <f t="shared" ca="1" si="0"/>
        <v>1324.6023935101</v>
      </c>
      <c r="P2" s="18"/>
    </row>
    <row r="3" spans="1:16" x14ac:dyDescent="0.2">
      <c r="A3" s="7"/>
      <c r="B3" s="17"/>
      <c r="C3" s="8">
        <f ca="1">C4-C2</f>
        <v>-185.1348051167588</v>
      </c>
      <c r="D3" s="8">
        <f t="shared" ref="D3:O3" ca="1" si="1">D4-D2</f>
        <v>-599.07231307907011</v>
      </c>
      <c r="E3" s="8">
        <f t="shared" ca="1" si="1"/>
        <v>-809.87568790164005</v>
      </c>
      <c r="F3" s="8">
        <f t="shared" ca="1" si="1"/>
        <v>-746.70993592618993</v>
      </c>
      <c r="G3" s="8">
        <f t="shared" ca="1" si="1"/>
        <v>4.5860008768700027</v>
      </c>
      <c r="H3" s="8">
        <f t="shared" ca="1" si="1"/>
        <v>557.97571892370001</v>
      </c>
      <c r="I3" s="8">
        <f t="shared" ca="1" si="1"/>
        <v>448.50936865871006</v>
      </c>
      <c r="J3" s="8">
        <f t="shared" ca="1" si="1"/>
        <v>819.95947138919007</v>
      </c>
      <c r="K3" s="8">
        <f t="shared" ca="1" si="1"/>
        <v>643.0111400446599</v>
      </c>
      <c r="L3" s="8">
        <f t="shared" ca="1" si="1"/>
        <v>516.7113427751699</v>
      </c>
      <c r="M3" s="8">
        <f t="shared" ca="1" si="1"/>
        <v>180.33029076304001</v>
      </c>
      <c r="N3" s="8">
        <f t="shared" ca="1" si="1"/>
        <v>67.024173331359862</v>
      </c>
      <c r="O3" s="33">
        <f t="shared" ca="1" si="1"/>
        <v>510.07718446385002</v>
      </c>
      <c r="P3" s="8"/>
    </row>
    <row r="4" spans="1:16" ht="30.75" customHeight="1" x14ac:dyDescent="0.2">
      <c r="A4" s="7">
        <f>A2+1</f>
        <v>1</v>
      </c>
      <c r="B4" s="17" t="str">
        <f ca="1">CHAR(65+26*RAND())&amp;CHAR(97+26*RAND())&amp;CHAR(97+26*RAND())&amp;CHAR(97+26*RAND())&amp;CHAR(97+26*RAND())&amp;
" "&amp;
CHAR(65+26*RAND())&amp;CHAR(97+26*RAND())&amp;CHAR(97+26*RAND())&amp;CHAR(97+26*RAND())&amp;
" "&amp;
CHAR(65+26*RAND())&amp;CHAR(97+26*RAND())&amp;CHAR(97+26*RAND())&amp;
" "&amp;
CHAR(65+26*RAND())&amp;CHAR(97+26*RAND())&amp;
" "&amp;
CHAR(65+26*RAND())&amp;CHAR(97+26*RAND())&amp;CHAR(97+26*RAND())&amp;CHAR(97+26*RAND())&amp;
" "&amp;
CHAR(65+26*RAND())&amp;CHAR(97+26*RAND())&amp;CHAR(97+26*RAND())&amp;CHAR(97+26*RAND())&amp;CHAR(97+26*RAND())&amp;"."</f>
        <v>Iotnn Eyhz Cdh Iq Skzf Mxkfn.</v>
      </c>
      <c r="C4" s="18">
        <f ca="1">ROUND(C2+C2/100*20*(2*RAND()-1),DecimalPrecision)</f>
        <v>847.38811031619002</v>
      </c>
      <c r="D4" s="18">
        <f t="shared" ref="D4:O4" ca="1" si="2">ROUND(C4+($C4)*(-0.5+RAND()),DecimalPrecision)</f>
        <v>530.40125541582995</v>
      </c>
      <c r="E4" s="18">
        <f t="shared" ca="1" si="2"/>
        <v>695.69243169331003</v>
      </c>
      <c r="F4" s="18">
        <f t="shared" ca="1" si="2"/>
        <v>817.45802244218999</v>
      </c>
      <c r="G4" s="18">
        <f t="shared" ca="1" si="2"/>
        <v>1084.0530278869301</v>
      </c>
      <c r="H4" s="18">
        <f t="shared" ca="1" si="2"/>
        <v>1172.47737163025</v>
      </c>
      <c r="I4" s="18">
        <f t="shared" ca="1" si="2"/>
        <v>1354.0501518880901</v>
      </c>
      <c r="J4" s="18">
        <f t="shared" ca="1" si="2"/>
        <v>1376.1429511730601</v>
      </c>
      <c r="K4" s="18">
        <f t="shared" ca="1" si="2"/>
        <v>1676.0588203587499</v>
      </c>
      <c r="L4" s="18">
        <f t="shared" ca="1" si="2"/>
        <v>1962.61805549368</v>
      </c>
      <c r="M4" s="18">
        <f t="shared" ca="1" si="2"/>
        <v>1945.39649661057</v>
      </c>
      <c r="N4" s="18">
        <f t="shared" ca="1" si="2"/>
        <v>1537.7076091998599</v>
      </c>
      <c r="O4" s="32">
        <f t="shared" ca="1" si="2"/>
        <v>1834.67957797395</v>
      </c>
      <c r="P4" s="18"/>
    </row>
    <row r="5" spans="1:16" x14ac:dyDescent="0.2">
      <c r="A5" s="7"/>
      <c r="B5" s="17"/>
      <c r="C5" s="8">
        <f ca="1">C6-C4</f>
        <v>53.582949410939932</v>
      </c>
      <c r="D5" s="8">
        <f t="shared" ref="D5" ca="1" si="3">D6-D4</f>
        <v>666.66903389063998</v>
      </c>
      <c r="E5" s="8">
        <f t="shared" ref="E5" ca="1" si="4">E6-E4</f>
        <v>209.27604428418999</v>
      </c>
      <c r="F5" s="8">
        <f t="shared" ref="F5" ca="1" si="5">F6-F4</f>
        <v>488.00494812889997</v>
      </c>
      <c r="G5" s="8">
        <f t="shared" ref="G5" ca="1" si="6">G6-G4</f>
        <v>471.08906660865</v>
      </c>
      <c r="H5" s="8">
        <f t="shared" ref="H5" ca="1" si="7">H6-H4</f>
        <v>726.51426636380006</v>
      </c>
      <c r="I5" s="8">
        <f t="shared" ref="I5" ca="1" si="8">I6-I4</f>
        <v>290.93977880215994</v>
      </c>
      <c r="J5" s="8">
        <f t="shared" ref="J5" ca="1" si="9">J6-J4</f>
        <v>363.35202361574989</v>
      </c>
      <c r="K5" s="8">
        <f t="shared" ref="K5" ca="1" si="10">K6-K4</f>
        <v>498.19987904017989</v>
      </c>
      <c r="L5" s="8">
        <f t="shared" ref="L5" ca="1" si="11">L6-L4</f>
        <v>194.36590825225994</v>
      </c>
      <c r="M5" s="8">
        <f t="shared" ref="M5" ca="1" si="12">M6-M4</f>
        <v>-93.739927271920124</v>
      </c>
      <c r="N5" s="8">
        <f t="shared" ref="N5" ca="1" si="13">N6-N4</f>
        <v>381.84536720539018</v>
      </c>
      <c r="O5" s="33">
        <f t="shared" ref="O5" ca="1" si="14">O6-O4</f>
        <v>172.36780290249999</v>
      </c>
      <c r="P5" s="8"/>
    </row>
    <row r="6" spans="1:16" ht="30.75" customHeight="1" x14ac:dyDescent="0.2">
      <c r="A6" s="7">
        <f>A4+1</f>
        <v>2</v>
      </c>
      <c r="B6" s="17" t="str">
        <f ca="1">CHAR(65+26*RAND())&amp;CHAR(97+26*RAND())&amp;CHAR(97+26*RAND())&amp;CHAR(97+26*RAND())&amp;
" "&amp;
CHAR(65+26*RAND())&amp;CHAR(97+26*RAND())&amp;
" "&amp;
CHAR(65+26*RAND())&amp;CHAR(97+26*RAND())&amp;CHAR(97+26*RAND())&amp;CHAR(97+26*RAND())&amp;CHAR(97+26*RAND())&amp;
" "&amp;
CHAR(65+26*RAND())&amp;CHAR(97+26*RAND())&amp;CHAR(97+26*RAND())&amp;CHAR(97+26*RAND())&amp;"."</f>
        <v>Doqe Kd Dtjrg Djac.</v>
      </c>
      <c r="C6" s="18">
        <f ca="1">ROUND(C4+C4/100*20*(2*RAND()-1),DecimalPrecision)</f>
        <v>900.97105972712995</v>
      </c>
      <c r="D6" s="18">
        <f t="shared" ref="D6:O6" ca="1" si="15">ROUND(C6+($C6)*(-0.5+RAND()),DecimalPrecision)</f>
        <v>1197.0702893064699</v>
      </c>
      <c r="E6" s="18">
        <f t="shared" ca="1" si="15"/>
        <v>904.96847597750002</v>
      </c>
      <c r="F6" s="18">
        <f t="shared" ca="1" si="15"/>
        <v>1305.46297057109</v>
      </c>
      <c r="G6" s="18">
        <f t="shared" ca="1" si="15"/>
        <v>1555.1420944955801</v>
      </c>
      <c r="H6" s="18">
        <f t="shared" ca="1" si="15"/>
        <v>1898.9916379940501</v>
      </c>
      <c r="I6" s="18">
        <f t="shared" ca="1" si="15"/>
        <v>1644.98993069025</v>
      </c>
      <c r="J6" s="18">
        <f t="shared" ca="1" si="15"/>
        <v>1739.4949747888099</v>
      </c>
      <c r="K6" s="18">
        <f t="shared" ca="1" si="15"/>
        <v>2174.2586993989298</v>
      </c>
      <c r="L6" s="18">
        <f t="shared" ca="1" si="15"/>
        <v>2156.9839637459399</v>
      </c>
      <c r="M6" s="18">
        <f t="shared" ca="1" si="15"/>
        <v>1851.6565693386499</v>
      </c>
      <c r="N6" s="18">
        <f t="shared" ca="1" si="15"/>
        <v>1919.5529764052501</v>
      </c>
      <c r="O6" s="32">
        <f t="shared" ca="1" si="15"/>
        <v>2007.04738087645</v>
      </c>
      <c r="P6" s="18"/>
    </row>
    <row r="7" spans="1:16" x14ac:dyDescent="0.2">
      <c r="A7" s="7"/>
      <c r="B7" s="17"/>
      <c r="C7" s="8">
        <f ca="1">C8-C6</f>
        <v>-91.793033913049953</v>
      </c>
      <c r="D7" s="8">
        <f t="shared" ref="D7" ca="1" si="16">D8-D6</f>
        <v>-497.04912606162998</v>
      </c>
      <c r="E7" s="8">
        <f t="shared" ref="E7" ca="1" si="17">E8-E6</f>
        <v>38.009547063399964</v>
      </c>
      <c r="F7" s="8">
        <f t="shared" ref="F7" ca="1" si="18">F8-F6</f>
        <v>-197.37381866146006</v>
      </c>
      <c r="G7" s="8">
        <f t="shared" ref="G7" ca="1" si="19">G8-G6</f>
        <v>-773.3750199819001</v>
      </c>
      <c r="H7" s="8">
        <f t="shared" ref="H7" ca="1" si="20">H8-H6</f>
        <v>-1113.0963140999002</v>
      </c>
      <c r="I7" s="8">
        <f t="shared" ref="I7" ca="1" si="21">I8-I6</f>
        <v>-637.84452256791008</v>
      </c>
      <c r="J7" s="8">
        <f t="shared" ref="J7" ca="1" si="22">J8-J6</f>
        <v>-610.99856882931999</v>
      </c>
      <c r="K7" s="8">
        <f t="shared" ref="K7" ca="1" si="23">K8-K6</f>
        <v>-1238.3364252212698</v>
      </c>
      <c r="L7" s="8">
        <f t="shared" ref="L7" ca="1" si="24">L8-L6</f>
        <v>-1001.0084216617799</v>
      </c>
      <c r="M7" s="8">
        <f t="shared" ref="M7" ca="1" si="25">M8-M6</f>
        <v>-704.69585891448992</v>
      </c>
      <c r="N7" s="8">
        <f t="shared" ref="N7" ca="1" si="26">N8-N6</f>
        <v>-928.65697243912007</v>
      </c>
      <c r="O7" s="33">
        <f t="shared" ref="O7" ca="1" si="27">O8-O6</f>
        <v>-1395.2774916871199</v>
      </c>
      <c r="P7" s="8"/>
    </row>
    <row r="8" spans="1:16" ht="30.75" customHeight="1" x14ac:dyDescent="0.2">
      <c r="A8" s="7">
        <f>A6+1</f>
        <v>3</v>
      </c>
      <c r="B8"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Xjpekow Reml Noiit Hc Ghvj Afar.</v>
      </c>
      <c r="C8" s="18">
        <f ca="1">ROUND(C6+C6/100*20*(2*RAND()-1),DecimalPrecision)</f>
        <v>809.17802581408</v>
      </c>
      <c r="D8" s="18">
        <f t="shared" ref="D8:O8" ca="1" si="28">ROUND(C8+($C8)*(-0.5+RAND()),DecimalPrecision)</f>
        <v>700.02116324483995</v>
      </c>
      <c r="E8" s="18">
        <f t="shared" ca="1" si="28"/>
        <v>942.97802304089998</v>
      </c>
      <c r="F8" s="18">
        <f t="shared" ca="1" si="28"/>
        <v>1108.0891519096299</v>
      </c>
      <c r="G8" s="18">
        <f t="shared" ca="1" si="28"/>
        <v>781.76707451367997</v>
      </c>
      <c r="H8" s="18">
        <f t="shared" ca="1" si="28"/>
        <v>785.89532389415001</v>
      </c>
      <c r="I8" s="18">
        <f t="shared" ca="1" si="28"/>
        <v>1007.14540812234</v>
      </c>
      <c r="J8" s="18">
        <f t="shared" ca="1" si="28"/>
        <v>1128.4964059594899</v>
      </c>
      <c r="K8" s="18">
        <f t="shared" ca="1" si="28"/>
        <v>935.92227417766003</v>
      </c>
      <c r="L8" s="18">
        <f t="shared" ca="1" si="28"/>
        <v>1155.97554208416</v>
      </c>
      <c r="M8" s="18">
        <f t="shared" ca="1" si="28"/>
        <v>1146.96071042416</v>
      </c>
      <c r="N8" s="18">
        <f t="shared" ca="1" si="28"/>
        <v>990.89600396613002</v>
      </c>
      <c r="O8" s="32">
        <f t="shared" ca="1" si="28"/>
        <v>611.76988918933</v>
      </c>
      <c r="P8" s="18"/>
    </row>
    <row r="9" spans="1:16" x14ac:dyDescent="0.2">
      <c r="A9" s="7"/>
      <c r="B9" s="17"/>
      <c r="C9" s="8">
        <f ca="1">C10-C8</f>
        <v>-28.545201056630049</v>
      </c>
      <c r="D9" s="8">
        <f t="shared" ref="D9" ca="1" si="29">D10-D8</f>
        <v>-116.01867692257997</v>
      </c>
      <c r="E9" s="8">
        <f t="shared" ref="E9" ca="1" si="30">E10-E8</f>
        <v>-4.3862894930799712</v>
      </c>
      <c r="F9" s="8">
        <f t="shared" ref="F9" ca="1" si="31">F10-F8</f>
        <v>58.836258476720104</v>
      </c>
      <c r="G9" s="8">
        <f t="shared" ref="G9" ca="1" si="32">G10-G8</f>
        <v>519.71909821623012</v>
      </c>
      <c r="H9" s="8">
        <f t="shared" ref="H9" ca="1" si="33">H10-H8</f>
        <v>624.95278978474005</v>
      </c>
      <c r="I9" s="8">
        <f t="shared" ref="I9" ca="1" si="34">I10-I8</f>
        <v>672.35226348381013</v>
      </c>
      <c r="J9" s="8">
        <f t="shared" ref="J9" ca="1" si="35">J10-J8</f>
        <v>539.76474023046012</v>
      </c>
      <c r="K9" s="8">
        <f t="shared" ref="K9" ca="1" si="36">K10-K8</f>
        <v>635.28958151825987</v>
      </c>
      <c r="L9" s="8">
        <f t="shared" ref="L9" ca="1" si="37">L10-L8</f>
        <v>460.69025647448007</v>
      </c>
      <c r="M9" s="8">
        <f t="shared" ref="M9" ca="1" si="38">M10-M8</f>
        <v>427.83639065762009</v>
      </c>
      <c r="N9" s="8">
        <f t="shared" ref="N9" ca="1" si="39">N10-N8</f>
        <v>539.46381601028008</v>
      </c>
      <c r="O9" s="33">
        <f t="shared" ref="O9" ca="1" si="40">O10-O8</f>
        <v>1143.54431663789</v>
      </c>
      <c r="P9" s="8"/>
    </row>
    <row r="10" spans="1:16" ht="30.75" customHeight="1" x14ac:dyDescent="0.2">
      <c r="A10" s="7">
        <f>A8+1</f>
        <v>4</v>
      </c>
      <c r="B10"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Ptfd Yzyw Hbxid Altl Pcmbx.</v>
      </c>
      <c r="C10" s="18">
        <f ca="1">ROUND(C8+C8/100*20*(2*RAND()-1),DecimalPrecision)</f>
        <v>780.63282475744995</v>
      </c>
      <c r="D10" s="18">
        <f t="shared" ref="D10:O10" ca="1" si="41">ROUND(C10+($C10)*(-0.5+RAND()),DecimalPrecision)</f>
        <v>584.00248632225998</v>
      </c>
      <c r="E10" s="18">
        <f t="shared" ca="1" si="41"/>
        <v>938.59173354782001</v>
      </c>
      <c r="F10" s="18">
        <f t="shared" ca="1" si="41"/>
        <v>1166.92541038635</v>
      </c>
      <c r="G10" s="18">
        <f t="shared" ca="1" si="41"/>
        <v>1301.4861727299101</v>
      </c>
      <c r="H10" s="18">
        <f t="shared" ca="1" si="41"/>
        <v>1410.8481136788901</v>
      </c>
      <c r="I10" s="18">
        <f t="shared" ca="1" si="41"/>
        <v>1679.4976716061501</v>
      </c>
      <c r="J10" s="18">
        <f t="shared" ca="1" si="41"/>
        <v>1668.2611461899501</v>
      </c>
      <c r="K10" s="18">
        <f t="shared" ca="1" si="41"/>
        <v>1571.2118556959199</v>
      </c>
      <c r="L10" s="18">
        <f t="shared" ca="1" si="41"/>
        <v>1616.6657985586401</v>
      </c>
      <c r="M10" s="18">
        <f t="shared" ca="1" si="41"/>
        <v>1574.7971010817801</v>
      </c>
      <c r="N10" s="18">
        <f t="shared" ca="1" si="41"/>
        <v>1530.3598199764101</v>
      </c>
      <c r="O10" s="32">
        <f t="shared" ca="1" si="41"/>
        <v>1755.3142058272199</v>
      </c>
      <c r="P10" s="18"/>
    </row>
    <row r="11" spans="1:16" x14ac:dyDescent="0.2">
      <c r="A11" s="7"/>
      <c r="B11" s="17"/>
      <c r="C11" s="8">
        <f ca="1">C12-C10</f>
        <v>-147.52837277636991</v>
      </c>
      <c r="D11" s="8">
        <f t="shared" ref="D11" ca="1" si="42">D12-D10</f>
        <v>347.81601468677002</v>
      </c>
      <c r="E11" s="8">
        <f t="shared" ref="E11" ca="1" si="43">E12-E10</f>
        <v>159.4066605277701</v>
      </c>
      <c r="F11" s="8">
        <f t="shared" ref="F11" ca="1" si="44">F12-F10</f>
        <v>-328.58736246928004</v>
      </c>
      <c r="G11" s="8">
        <f t="shared" ref="G11" ca="1" si="45">G12-G10</f>
        <v>-542.94334575183007</v>
      </c>
      <c r="H11" s="8">
        <f t="shared" ref="H11" ca="1" si="46">H12-H10</f>
        <v>-893.8476213257801</v>
      </c>
      <c r="I11" s="8">
        <f t="shared" ref="I11" ca="1" si="47">I12-I10</f>
        <v>-1473.8832372225302</v>
      </c>
      <c r="J11" s="8">
        <f t="shared" ref="J11" ca="1" si="48">J12-J10</f>
        <v>-1259.3527191682501</v>
      </c>
      <c r="K11" s="8">
        <f t="shared" ref="K11" ca="1" si="49">K12-K10</f>
        <v>-1205.7995649610198</v>
      </c>
      <c r="L11" s="8">
        <f t="shared" ref="L11" ca="1" si="50">L12-L10</f>
        <v>-980.69728161344005</v>
      </c>
      <c r="M11" s="8">
        <f t="shared" ref="M11" ca="1" si="51">M12-M10</f>
        <v>-720.85489642222001</v>
      </c>
      <c r="N11" s="8">
        <f t="shared" ref="N11" ca="1" si="52">N12-N10</f>
        <v>-978.26514339638015</v>
      </c>
      <c r="O11" s="33">
        <f t="shared" ref="O11" ca="1" si="53">O12-O10</f>
        <v>-952.2610669907699</v>
      </c>
      <c r="P11" s="8"/>
    </row>
    <row r="12" spans="1:16" ht="30.75" customHeight="1" x14ac:dyDescent="0.2">
      <c r="A12" s="7">
        <f>A10+1</f>
        <v>5</v>
      </c>
      <c r="B12" s="17" t="str">
        <f ca="1">CHAR(65+26*RAND())&amp;CHAR(97+26*RAND())&amp;CHAR(97+26*RAND())&amp;CHAR(97+26*RAND())&amp;CHAR(97+26*RAND())&amp;
" "&amp;
CHAR(65+26*RAND())&amp;CHAR(97+26*RAND())&amp;CHAR(97+26*RAND())&amp;
" "&amp;
CHAR(65+26*RAND())&amp;CHAR(97+26*RAND())&amp;CHAR(97+26*RAND())&amp;
" "&amp;
CHAR(65+26*RAND())&amp;CHAR(97+26*RAND())&amp;
" "&amp;
CHAR(65+26*RAND())&amp;CHAR(97+26*RAND())&amp;CHAR(97+26*RAND())&amp;CHAR(97+26*RAND())&amp;
" "&amp;
CHAR(65+26*RAND())&amp;CHAR(97+26*RAND())&amp;CHAR(97+26*RAND())&amp;CHAR(97+26*RAND())&amp;"."</f>
        <v>Syzsz Hwl Yzj By Alpg Seom.</v>
      </c>
      <c r="C12" s="18">
        <f ca="1">ROUND(C10+C10/100*20*(2*RAND()-1),DecimalPrecision)</f>
        <v>633.10445198108005</v>
      </c>
      <c r="D12" s="18">
        <f t="shared" ref="D12:O12" ca="1" si="54">ROUND(C12+($C12)*(-0.5+RAND()),DecimalPrecision)</f>
        <v>931.81850100903</v>
      </c>
      <c r="E12" s="18">
        <f t="shared" ca="1" si="54"/>
        <v>1097.9983940755901</v>
      </c>
      <c r="F12" s="18">
        <f t="shared" ca="1" si="54"/>
        <v>838.33804791706996</v>
      </c>
      <c r="G12" s="18">
        <f t="shared" ca="1" si="54"/>
        <v>758.54282697808003</v>
      </c>
      <c r="H12" s="18">
        <f t="shared" ca="1" si="54"/>
        <v>517.00049235310996</v>
      </c>
      <c r="I12" s="18">
        <f t="shared" ca="1" si="54"/>
        <v>205.61443438361999</v>
      </c>
      <c r="J12" s="18">
        <f t="shared" ca="1" si="54"/>
        <v>408.90842702169999</v>
      </c>
      <c r="K12" s="18">
        <f t="shared" ca="1" si="54"/>
        <v>365.41229073490001</v>
      </c>
      <c r="L12" s="18">
        <f t="shared" ca="1" si="54"/>
        <v>635.96851694520001</v>
      </c>
      <c r="M12" s="18">
        <f t="shared" ca="1" si="54"/>
        <v>853.94220465956005</v>
      </c>
      <c r="N12" s="18">
        <f t="shared" ca="1" si="54"/>
        <v>552.09467658002995</v>
      </c>
      <c r="O12" s="32">
        <f t="shared" ca="1" si="54"/>
        <v>803.05313883644999</v>
      </c>
      <c r="P12" s="18"/>
    </row>
    <row r="13" spans="1:16" x14ac:dyDescent="0.2">
      <c r="A13" s="7"/>
      <c r="B13" s="17"/>
      <c r="C13" s="8">
        <f ca="1">C14-C12</f>
        <v>-65.82315268614002</v>
      </c>
      <c r="D13" s="8">
        <f t="shared" ref="D13" ca="1" si="55">D14-D12</f>
        <v>-524.57730361457993</v>
      </c>
      <c r="E13" s="8">
        <f t="shared" ref="E13" ca="1" si="56">E14-E12</f>
        <v>-500.26201943390015</v>
      </c>
      <c r="F13" s="8">
        <f t="shared" ref="F13" ca="1" si="57">F14-F12</f>
        <v>-323.22932036799</v>
      </c>
      <c r="G13" s="8">
        <f t="shared" ref="G13" ca="1" si="58">G14-G12</f>
        <v>-94.549178893500084</v>
      </c>
      <c r="H13" s="8">
        <f t="shared" ref="H13" ca="1" si="59">H14-H12</f>
        <v>165.72871616930001</v>
      </c>
      <c r="I13" s="8">
        <f t="shared" ref="I13" ca="1" si="60">I14-I12</f>
        <v>247.58613637418</v>
      </c>
      <c r="J13" s="8">
        <f t="shared" ref="J13" ca="1" si="61">J14-J12</f>
        <v>-95.801990822680011</v>
      </c>
      <c r="K13" s="8">
        <f t="shared" ref="K13" ca="1" si="62">K14-K12</f>
        <v>169.06599500332004</v>
      </c>
      <c r="L13" s="8">
        <f t="shared" ref="L13" ca="1" si="63">L14-L12</f>
        <v>-51.970926470560016</v>
      </c>
      <c r="M13" s="8">
        <f t="shared" ref="M13" ca="1" si="64">M14-M12</f>
        <v>-91.207958229780047</v>
      </c>
      <c r="N13" s="8">
        <f t="shared" ref="N13" ca="1" si="65">N14-N12</f>
        <v>335.08930351889001</v>
      </c>
      <c r="O13" s="33">
        <f t="shared" ref="O13" ca="1" si="66">O14-O12</f>
        <v>-135.31041122139004</v>
      </c>
      <c r="P13" s="8"/>
    </row>
    <row r="14" spans="1:16" ht="30.75" customHeight="1" x14ac:dyDescent="0.2">
      <c r="A14" s="7">
        <f>A12+1</f>
        <v>6</v>
      </c>
      <c r="B14"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Vmjdlzv Hhgm Hjkit Tq Ncur Rkwl.</v>
      </c>
      <c r="C14" s="18">
        <f ca="1">ROUND(C12+C12/100*20*(2*RAND()-1),DecimalPrecision)</f>
        <v>567.28129929494003</v>
      </c>
      <c r="D14" s="18">
        <f t="shared" ref="D14:O14" ca="1" si="67">ROUND(C14+($C14)*(-0.5+RAND()),DecimalPrecision)</f>
        <v>407.24119739445001</v>
      </c>
      <c r="E14" s="18">
        <f t="shared" ca="1" si="67"/>
        <v>597.73637464168996</v>
      </c>
      <c r="F14" s="18">
        <f t="shared" ca="1" si="67"/>
        <v>515.10872754907996</v>
      </c>
      <c r="G14" s="18">
        <f t="shared" ca="1" si="67"/>
        <v>663.99364808457995</v>
      </c>
      <c r="H14" s="18">
        <f t="shared" ca="1" si="67"/>
        <v>682.72920852240998</v>
      </c>
      <c r="I14" s="18">
        <f t="shared" ca="1" si="67"/>
        <v>453.20057075779999</v>
      </c>
      <c r="J14" s="18">
        <f t="shared" ca="1" si="67"/>
        <v>313.10643619901998</v>
      </c>
      <c r="K14" s="18">
        <f t="shared" ca="1" si="67"/>
        <v>534.47828573822005</v>
      </c>
      <c r="L14" s="18">
        <f t="shared" ca="1" si="67"/>
        <v>583.99759047463999</v>
      </c>
      <c r="M14" s="18">
        <f t="shared" ca="1" si="67"/>
        <v>762.73424642978</v>
      </c>
      <c r="N14" s="18">
        <f t="shared" ca="1" si="67"/>
        <v>887.18398009891996</v>
      </c>
      <c r="O14" s="32">
        <f t="shared" ca="1" si="67"/>
        <v>667.74272761505995</v>
      </c>
      <c r="P14" s="18"/>
    </row>
    <row r="15" spans="1:16" x14ac:dyDescent="0.2">
      <c r="A15" s="7"/>
      <c r="B15" s="17"/>
      <c r="C15" s="8">
        <f ca="1">C16-C14</f>
        <v>52.279597738909956</v>
      </c>
      <c r="D15" s="8">
        <f t="shared" ref="D15" ca="1" si="68">D16-D14</f>
        <v>351.07470359215</v>
      </c>
      <c r="E15" s="8">
        <f t="shared" ref="E15" ca="1" si="69">E16-E14</f>
        <v>411.47567696636008</v>
      </c>
      <c r="F15" s="8">
        <f t="shared" ref="F15" ca="1" si="70">F16-F14</f>
        <v>204.74272428248003</v>
      </c>
      <c r="G15" s="8">
        <f t="shared" ref="G15" ca="1" si="71">G16-G14</f>
        <v>-23.782925837959965</v>
      </c>
      <c r="H15" s="8">
        <f t="shared" ref="H15" ca="1" si="72">H16-H14</f>
        <v>-274.32426041495</v>
      </c>
      <c r="I15" s="8">
        <f t="shared" ref="I15" ca="1" si="73">I16-I14</f>
        <v>74.503220733299997</v>
      </c>
      <c r="J15" s="8">
        <f t="shared" ref="J15" ca="1" si="74">J16-J14</f>
        <v>204.34073953473001</v>
      </c>
      <c r="K15" s="8">
        <f t="shared" ref="K15" ca="1" si="75">K16-K14</f>
        <v>243.79215617293994</v>
      </c>
      <c r="L15" s="8">
        <f t="shared" ref="L15" ca="1" si="76">L16-L14</f>
        <v>28.67435512015004</v>
      </c>
      <c r="M15" s="8">
        <f t="shared" ref="M15" ca="1" si="77">M16-M14</f>
        <v>129.07860722274995</v>
      </c>
      <c r="N15" s="8">
        <f t="shared" ref="N15" ca="1" si="78">N16-N14</f>
        <v>191.90756178880008</v>
      </c>
      <c r="O15" s="33">
        <f t="shared" ref="O15" ca="1" si="79">O16-O14</f>
        <v>114.16330308890008</v>
      </c>
      <c r="P15" s="8"/>
    </row>
    <row r="16" spans="1:16" ht="30.75" customHeight="1" x14ac:dyDescent="0.2">
      <c r="A16" s="7">
        <f>A14+1</f>
        <v>7</v>
      </c>
      <c r="B16" s="17" t="str">
        <f ca="1">CHAR(65+26*RAND())&amp;CHAR(97+26*RAND())&amp;CHAR(97+26*RAND())&amp;CHAR(97+26*RAND())&amp;CHAR(97+26*RAND())&amp;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CHAR(65+26*RAND())&amp;CHAR(97+26*RAND())&amp;CHAR(97+26*RAND())&amp;CHAR(97+26*RAND())&amp;CHAR(97+26*RAND())&amp;CHAR(97+26*RAND())&amp;"."</f>
        <v>Kjzua Zbdh Vffbx Tc Wzcm Ajsbrf.</v>
      </c>
      <c r="C16" s="18">
        <f ca="1">ROUND(C14+C14/100*20*(2*RAND()-1),DecimalPrecision)</f>
        <v>619.56089703384998</v>
      </c>
      <c r="D16" s="18">
        <f t="shared" ref="D16:O16" ca="1" si="80">ROUND(C16+($C16)*(-0.5+RAND()),DecimalPrecision)</f>
        <v>758.31590098660001</v>
      </c>
      <c r="E16" s="18">
        <f t="shared" ca="1" si="80"/>
        <v>1009.21205160805</v>
      </c>
      <c r="F16" s="18">
        <f t="shared" ca="1" si="80"/>
        <v>719.85145183155998</v>
      </c>
      <c r="G16" s="18">
        <f t="shared" ca="1" si="80"/>
        <v>640.21072224661998</v>
      </c>
      <c r="H16" s="18">
        <f t="shared" ca="1" si="80"/>
        <v>408.40494810745997</v>
      </c>
      <c r="I16" s="18">
        <f t="shared" ca="1" si="80"/>
        <v>527.70379149109999</v>
      </c>
      <c r="J16" s="18">
        <f t="shared" ca="1" si="80"/>
        <v>517.44717573374999</v>
      </c>
      <c r="K16" s="18">
        <f t="shared" ca="1" si="80"/>
        <v>778.27044191115999</v>
      </c>
      <c r="L16" s="18">
        <f t="shared" ca="1" si="80"/>
        <v>612.67194559479003</v>
      </c>
      <c r="M16" s="18">
        <f t="shared" ca="1" si="80"/>
        <v>891.81285365252995</v>
      </c>
      <c r="N16" s="18">
        <f t="shared" ca="1" si="80"/>
        <v>1079.09154188772</v>
      </c>
      <c r="O16" s="32">
        <f t="shared" ca="1" si="80"/>
        <v>781.90603070396003</v>
      </c>
      <c r="P16" s="18"/>
    </row>
    <row r="17" spans="1:33" x14ac:dyDescent="0.2">
      <c r="A17" s="7"/>
      <c r="B17" s="17"/>
      <c r="C17" s="8">
        <f ca="1">C18-C16</f>
        <v>118.70628350659001</v>
      </c>
      <c r="D17" s="8">
        <f t="shared" ref="D17" ca="1" si="81">D18-D16</f>
        <v>-43.984620640999992</v>
      </c>
      <c r="E17" s="8">
        <f t="shared" ref="E17" ca="1" si="82">E18-E16</f>
        <v>-619.85560696194011</v>
      </c>
      <c r="F17" s="8">
        <f t="shared" ref="F17" ca="1" si="83">F18-F16</f>
        <v>-389.70947032775001</v>
      </c>
      <c r="G17" s="8">
        <f t="shared" ref="G17" ca="1" si="84">G18-G16</f>
        <v>-458.31408138079996</v>
      </c>
      <c r="H17" s="8">
        <f t="shared" ref="H17" ca="1" si="85">H18-H16</f>
        <v>-584.61377409201998</v>
      </c>
      <c r="I17" s="8">
        <f t="shared" ref="I17" ca="1" si="86">I18-I16</f>
        <v>-720.19121623788999</v>
      </c>
      <c r="J17" s="8">
        <f t="shared" ref="J17" ca="1" si="87">J18-J16</f>
        <v>-798.77416537143995</v>
      </c>
      <c r="K17" s="8">
        <f t="shared" ref="K17" ca="1" si="88">K18-K16</f>
        <v>-1013.63252113377</v>
      </c>
      <c r="L17" s="8">
        <f t="shared" ref="L17" ca="1" si="89">L18-L16</f>
        <v>-735.34298330043998</v>
      </c>
      <c r="M17" s="8">
        <f t="shared" ref="M17" ca="1" si="90">M18-M16</f>
        <v>-824.14098953738994</v>
      </c>
      <c r="N17" s="8">
        <f t="shared" ref="N17" ca="1" si="91">N18-N16</f>
        <v>-1104.9462895025001</v>
      </c>
      <c r="O17" s="33">
        <f t="shared" ref="O17" ca="1" si="92">O18-O16</f>
        <v>-564.60929412068003</v>
      </c>
      <c r="P17" s="8"/>
    </row>
    <row r="18" spans="1:33" ht="30.75" customHeight="1" x14ac:dyDescent="0.2">
      <c r="A18" s="7">
        <f>A16+1</f>
        <v>8</v>
      </c>
      <c r="B18" s="17" t="str">
        <f ca="1">CHAR(65+26*RAND())&amp;CHAR(97+26*RAND())&amp;CHAR(97+26*RAND())&amp;CHAR(97+26*RAND())&amp;
" "&amp;
CHAR(65+26*RAND())&amp;CHAR(97+26*RAND())&amp;CHAR(97+26*RAND())&amp;CHAR(97+26*RAND())&amp;
" "&amp;
CHAR(65+26*RAND())&amp;CHAR(97+26*RAND())&amp;CHAR(97+26*RAND())&amp;CHAR(97+26*RAND())&amp;CHAR(97+26*RAND())&amp;
" "&amp;
CHAR(65+26*RAND())&amp;CHAR(97+26*RAND())&amp;CHAR(97+26*RAND())&amp;CHAR(97+26*RAND())&amp;
" "&amp;
CHAR(65+26*RAND())&amp;CHAR(97+26*RAND())&amp;CHAR(97+26*RAND())&amp;CHAR(97+26*RAND())&amp;CHAR(97+26*RAND())&amp;"."</f>
        <v>Pwku Ebzk Cdvrb Hjfc Kriyg.</v>
      </c>
      <c r="C18" s="18">
        <f ca="1">ROUND(C16+C16/100*20*(2*RAND()-1),DecimalPrecision)</f>
        <v>738.26718054043999</v>
      </c>
      <c r="D18" s="18">
        <f t="shared" ref="D18:O18" ca="1" si="93">ROUND(C18+($C18)*(-0.5+RAND()),DecimalPrecision)</f>
        <v>714.33128034560002</v>
      </c>
      <c r="E18" s="18">
        <f t="shared" ca="1" si="93"/>
        <v>389.35644464610999</v>
      </c>
      <c r="F18" s="18">
        <f t="shared" ca="1" si="93"/>
        <v>330.14198150380997</v>
      </c>
      <c r="G18" s="18">
        <f t="shared" ca="1" si="93"/>
        <v>181.89664086581999</v>
      </c>
      <c r="H18" s="18">
        <f t="shared" ca="1" si="93"/>
        <v>-176.20882598456001</v>
      </c>
      <c r="I18" s="18">
        <f t="shared" ca="1" si="93"/>
        <v>-192.48742474679</v>
      </c>
      <c r="J18" s="18">
        <f t="shared" ca="1" si="93"/>
        <v>-281.32698963769002</v>
      </c>
      <c r="K18" s="18">
        <f t="shared" ca="1" si="93"/>
        <v>-235.36207922260999</v>
      </c>
      <c r="L18" s="18">
        <f t="shared" ca="1" si="93"/>
        <v>-122.67103770564999</v>
      </c>
      <c r="M18" s="18">
        <f t="shared" ca="1" si="93"/>
        <v>67.671864115139996</v>
      </c>
      <c r="N18" s="18">
        <f t="shared" ca="1" si="93"/>
        <v>-25.854747614779999</v>
      </c>
      <c r="O18" s="32">
        <f t="shared" ca="1" si="93"/>
        <v>217.29673658327999</v>
      </c>
      <c r="P18" s="18"/>
    </row>
    <row r="19" spans="1:33" x14ac:dyDescent="0.2">
      <c r="A19" s="7"/>
      <c r="B19" s="17"/>
      <c r="C19" s="8">
        <f ca="1">C20-C18</f>
        <v>-53.009773217259976</v>
      </c>
      <c r="D19" s="8">
        <f t="shared" ref="D19" ca="1" si="94">D20-D18</f>
        <v>-205.74928578930002</v>
      </c>
      <c r="E19" s="8">
        <f t="shared" ref="E19" ca="1" si="95">E20-E18</f>
        <v>-190.37767972364</v>
      </c>
      <c r="F19" s="8">
        <f t="shared" ref="F19" ca="1" si="96">F20-F18</f>
        <v>171.79651460350004</v>
      </c>
      <c r="G19" s="8">
        <f t="shared" ref="G19" ca="1" si="97">G20-G18</f>
        <v>303.81908594661002</v>
      </c>
      <c r="H19" s="8">
        <f t="shared" ref="H19" ca="1" si="98">H20-H18</f>
        <v>562.47611596496995</v>
      </c>
      <c r="I19" s="8">
        <f t="shared" ref="I19" ca="1" si="99">I20-I18</f>
        <v>558.60615013773997</v>
      </c>
      <c r="J19" s="8">
        <f t="shared" ref="J19" ca="1" si="100">J20-J18</f>
        <v>675.08785073759009</v>
      </c>
      <c r="K19" s="8">
        <f t="shared" ref="K19" ca="1" si="101">K20-K18</f>
        <v>852.24324455548992</v>
      </c>
      <c r="L19" s="8">
        <f t="shared" ref="L19" ca="1" si="102">L20-L18</f>
        <v>649.71051366200993</v>
      </c>
      <c r="M19" s="8">
        <f t="shared" ref="M19" ca="1" si="103">M20-M18</f>
        <v>586.44466026716998</v>
      </c>
      <c r="N19" s="8">
        <f t="shared" ref="N19" ca="1" si="104">N20-N18</f>
        <v>498.58186994277003</v>
      </c>
      <c r="O19" s="33">
        <f t="shared" ref="O19" ca="1" si="105">O20-O18</f>
        <v>254.08245757163002</v>
      </c>
      <c r="P19" s="8"/>
    </row>
    <row r="20" spans="1:33" ht="30.75" customHeight="1" x14ac:dyDescent="0.2">
      <c r="A20" s="7">
        <f>A18+1</f>
        <v>9</v>
      </c>
      <c r="B20" s="17" t="str">
        <f ca="1">CHAR(65+26*RAND())&amp;CHAR(97+26*RAND())&amp;CHAR(97+26*RAND())&amp;CHAR(97+26*RAND())&amp;CHAR(97+26*RAND())&amp;CHAR(97+26*RAND())&amp;CHAR(97+26*RAND())&amp;
" "&amp;
CHAR(65+26*RAND())&amp;CHAR(97+26*RAND())&amp;CHAR(97+26*RAND())&amp;CHAR(97+26*RAND())&amp;
" "&amp;
CHAR(65+26*RAND())&amp;CHAR(97+26*RAND())&amp;CHAR(97+26*RAND())&amp;CHAR(97+26*RAND())&amp;CHAR(97+26*RAND())&amp;
" "&amp;
CHAR(65+26*RAND())&amp;CHAR(97+26*RAND())&amp;
" "&amp;
CHAR(65+26*RAND())&amp;CHAR(97+26*RAND())&amp;CHAR(97+26*RAND())&amp;CHAR(97+26*RAND())&amp;
" "&amp;
CHAR(65+26*RAND())&amp;CHAR(97+26*RAND())&amp;CHAR(97+26*RAND())&amp;CHAR(97+26*RAND())&amp;"."</f>
        <v>Upworei Xsix Tknln Wp Adzg Cggr.</v>
      </c>
      <c r="C20" s="18">
        <f ca="1">ROUND(C18+C18/100*20*(2*RAND()-1),DecimalPrecision)</f>
        <v>685.25740732318002</v>
      </c>
      <c r="D20" s="18">
        <f t="shared" ref="D20:O20" ca="1" si="106">ROUND(C20+($C20)*(-0.5+RAND()),DecimalPrecision)</f>
        <v>508.5819945563</v>
      </c>
      <c r="E20" s="18">
        <f t="shared" ca="1" si="106"/>
        <v>198.97876492246999</v>
      </c>
      <c r="F20" s="18">
        <f t="shared" ca="1" si="106"/>
        <v>501.93849610731002</v>
      </c>
      <c r="G20" s="18">
        <f t="shared" ca="1" si="106"/>
        <v>485.71572681242998</v>
      </c>
      <c r="H20" s="18">
        <f t="shared" ca="1" si="106"/>
        <v>386.26728998041</v>
      </c>
      <c r="I20" s="18">
        <f t="shared" ca="1" si="106"/>
        <v>366.11872539094998</v>
      </c>
      <c r="J20" s="18">
        <f t="shared" ca="1" si="106"/>
        <v>393.76086109990001</v>
      </c>
      <c r="K20" s="18">
        <f t="shared" ca="1" si="106"/>
        <v>616.88116533287996</v>
      </c>
      <c r="L20" s="18">
        <f t="shared" ca="1" si="106"/>
        <v>527.03947595635998</v>
      </c>
      <c r="M20" s="18">
        <f t="shared" ca="1" si="106"/>
        <v>654.11652438230999</v>
      </c>
      <c r="N20" s="18">
        <f t="shared" ca="1" si="106"/>
        <v>472.72712232799</v>
      </c>
      <c r="O20" s="32">
        <f t="shared" ca="1" si="106"/>
        <v>471.37919415491001</v>
      </c>
      <c r="P20" s="18"/>
    </row>
    <row r="21" spans="1:33" x14ac:dyDescent="0.2">
      <c r="A21" s="9"/>
      <c r="B21" s="10" t="s">
        <v>16</v>
      </c>
      <c r="C21" s="19">
        <f ca="1">C20-C2</f>
        <v>-347.2655081097688</v>
      </c>
      <c r="D21" s="19">
        <f t="shared" ref="D21:O21" ca="1" si="107">D20-D2</f>
        <v>-620.8915739386</v>
      </c>
      <c r="E21" s="19">
        <f t="shared" ca="1" si="107"/>
        <v>-1306.5893546724801</v>
      </c>
      <c r="F21" s="19">
        <f t="shared" ca="1" si="107"/>
        <v>-1062.2294622610698</v>
      </c>
      <c r="G21" s="19">
        <f t="shared" ca="1" si="107"/>
        <v>-593.75130019763014</v>
      </c>
      <c r="H21" s="19">
        <f t="shared" ca="1" si="107"/>
        <v>-228.23436272613998</v>
      </c>
      <c r="I21" s="19">
        <f t="shared" ca="1" si="107"/>
        <v>-539.42205783843008</v>
      </c>
      <c r="J21" s="19">
        <f t="shared" ca="1" si="107"/>
        <v>-162.42261868396997</v>
      </c>
      <c r="K21" s="19">
        <f t="shared" ca="1" si="107"/>
        <v>-416.16651498121007</v>
      </c>
      <c r="L21" s="19">
        <f t="shared" ca="1" si="107"/>
        <v>-918.86723676215013</v>
      </c>
      <c r="M21" s="19">
        <f t="shared" ca="1" si="107"/>
        <v>-1110.94968146522</v>
      </c>
      <c r="N21" s="19">
        <f t="shared" ca="1" si="107"/>
        <v>-997.95631354051011</v>
      </c>
      <c r="O21" s="34">
        <f t="shared" ca="1" si="107"/>
        <v>-853.22319935518999</v>
      </c>
      <c r="P21" s="19"/>
    </row>
    <row r="22" spans="1:33" x14ac:dyDescent="0.2">
      <c r="A22" s="9"/>
      <c r="B22" s="10" t="s">
        <v>17</v>
      </c>
      <c r="C22" s="11">
        <f ca="1">(C20-C2)/ABS(C2)</f>
        <v>-0.33632716806498802</v>
      </c>
      <c r="D22" s="11">
        <f t="shared" ref="D22:O22" ca="1" si="108">(D20-D2)/ABS(D2)</f>
        <v>-0.54971766605037076</v>
      </c>
      <c r="E22" s="11">
        <f t="shared" ca="1" si="108"/>
        <v>-0.8678380856151483</v>
      </c>
      <c r="F22" s="11">
        <f t="shared" ca="1" si="108"/>
        <v>-0.67910191906060147</v>
      </c>
      <c r="G22" s="11">
        <f t="shared" ca="1" si="108"/>
        <v>-0.55004116414951565</v>
      </c>
      <c r="H22" s="11">
        <f t="shared" ca="1" si="108"/>
        <v>-0.37141374920781761</v>
      </c>
      <c r="I22" s="11">
        <f t="shared" ca="1" si="108"/>
        <v>-0.59569051756533709</v>
      </c>
      <c r="J22" s="11">
        <f t="shared" ca="1" si="108"/>
        <v>-0.29203064202318013</v>
      </c>
      <c r="K22" s="11">
        <f t="shared" ca="1" si="108"/>
        <v>-0.40285315277478567</v>
      </c>
      <c r="L22" s="11">
        <f t="shared" ca="1" si="108"/>
        <v>-0.63549551895678602</v>
      </c>
      <c r="M22" s="11">
        <f t="shared" ca="1" si="108"/>
        <v>-0.62940963788481608</v>
      </c>
      <c r="N22" s="11">
        <f t="shared" ca="1" si="108"/>
        <v>-0.67856636527029024</v>
      </c>
      <c r="O22" s="35">
        <f t="shared" ca="1" si="108"/>
        <v>-0.64413532961707143</v>
      </c>
      <c r="P22" s="11"/>
    </row>
    <row r="25" spans="1:33" x14ac:dyDescent="0.2">
      <c r="Q25" s="20" t="s">
        <v>21</v>
      </c>
    </row>
    <row r="26" spans="1:33" x14ac:dyDescent="0.2">
      <c r="P26" s="12"/>
      <c r="Q26" s="23" t="str">
        <f>A1</f>
        <v>Step</v>
      </c>
      <c r="R26" s="12" t="str">
        <f>RIGHT(C1,LEN(C1)-FIND(" ",C1))</f>
        <v>0</v>
      </c>
      <c r="S26" s="12" t="str">
        <f t="shared" ref="S26:AD26" si="109">RIGHT(D1,LEN(D1)-FIND(" ",D1))</f>
        <v>1</v>
      </c>
      <c r="T26" s="12" t="str">
        <f t="shared" si="109"/>
        <v>2</v>
      </c>
      <c r="U26" s="12" t="str">
        <f t="shared" si="109"/>
        <v>3</v>
      </c>
      <c r="V26" s="12" t="str">
        <f t="shared" si="109"/>
        <v>4</v>
      </c>
      <c r="W26" s="12" t="str">
        <f t="shared" si="109"/>
        <v>5</v>
      </c>
      <c r="X26" s="12" t="str">
        <f t="shared" si="109"/>
        <v>6</v>
      </c>
      <c r="Y26" s="12" t="str">
        <f t="shared" si="109"/>
        <v>7</v>
      </c>
      <c r="Z26" s="12" t="str">
        <f t="shared" si="109"/>
        <v>8</v>
      </c>
      <c r="AA26" s="12" t="str">
        <f t="shared" si="109"/>
        <v>9</v>
      </c>
      <c r="AB26" s="12" t="str">
        <f t="shared" si="109"/>
        <v>10</v>
      </c>
      <c r="AC26" s="12" t="str">
        <f t="shared" si="109"/>
        <v>15</v>
      </c>
      <c r="AD26" s="12" t="str">
        <f t="shared" si="109"/>
        <v>20</v>
      </c>
      <c r="AE26" s="6" t="s">
        <v>27</v>
      </c>
      <c r="AF26" s="6" t="s">
        <v>28</v>
      </c>
      <c r="AG26" s="6" t="s">
        <v>29</v>
      </c>
    </row>
    <row r="27" spans="1:33" x14ac:dyDescent="0.2">
      <c r="P27" s="25"/>
      <c r="Q27" s="6">
        <f>A2</f>
        <v>0</v>
      </c>
      <c r="R27" s="22">
        <f t="shared" ref="R27:AD27" ca="1" si="110">C2</f>
        <v>1032.5229154329488</v>
      </c>
      <c r="S27" s="22">
        <f t="shared" ca="1" si="110"/>
        <v>1129.4735684949001</v>
      </c>
      <c r="T27" s="22">
        <f t="shared" ca="1" si="110"/>
        <v>1505.5681195949501</v>
      </c>
      <c r="U27" s="22">
        <f t="shared" ca="1" si="110"/>
        <v>1564.1679583683799</v>
      </c>
      <c r="V27" s="22">
        <f t="shared" ca="1" si="110"/>
        <v>1079.4670270100601</v>
      </c>
      <c r="W27" s="22">
        <f t="shared" ca="1" si="110"/>
        <v>614.50165270654998</v>
      </c>
      <c r="X27" s="22">
        <f t="shared" ca="1" si="110"/>
        <v>905.54078322938005</v>
      </c>
      <c r="Y27" s="22">
        <f t="shared" ca="1" si="110"/>
        <v>556.18347978386998</v>
      </c>
      <c r="Z27" s="22">
        <f t="shared" ca="1" si="110"/>
        <v>1033.04768031409</v>
      </c>
      <c r="AA27" s="22">
        <f t="shared" ca="1" si="110"/>
        <v>1445.9067127185101</v>
      </c>
      <c r="AB27" s="22">
        <f t="shared" ca="1" si="110"/>
        <v>1765.06620584753</v>
      </c>
      <c r="AC27" s="22">
        <f t="shared" ca="1" si="110"/>
        <v>1470.6834358685001</v>
      </c>
      <c r="AD27" s="22">
        <f t="shared" ca="1" si="110"/>
        <v>1324.6023935101</v>
      </c>
      <c r="AE27" s="14">
        <f ca="1">MIN(R27:AD27)</f>
        <v>556.18347978386998</v>
      </c>
      <c r="AF27" s="14">
        <f ca="1">MAX(R27:AD27)</f>
        <v>1765.06620584753</v>
      </c>
      <c r="AG27" s="14">
        <f ca="1">MAX(R27:AD27,ABS(MIN(R27:AD27)))</f>
        <v>1765.06620584753</v>
      </c>
    </row>
    <row r="28" spans="1:33" x14ac:dyDescent="0.2">
      <c r="P28" s="25"/>
      <c r="Q28" s="6">
        <f>A4</f>
        <v>1</v>
      </c>
      <c r="R28" s="22">
        <f t="shared" ref="R28:AD28" ca="1" si="111">C4</f>
        <v>847.38811031619002</v>
      </c>
      <c r="S28" s="22">
        <f t="shared" ca="1" si="111"/>
        <v>530.40125541582995</v>
      </c>
      <c r="T28" s="22">
        <f t="shared" ca="1" si="111"/>
        <v>695.69243169331003</v>
      </c>
      <c r="U28" s="22">
        <f t="shared" ca="1" si="111"/>
        <v>817.45802244218999</v>
      </c>
      <c r="V28" s="22">
        <f t="shared" ca="1" si="111"/>
        <v>1084.0530278869301</v>
      </c>
      <c r="W28" s="22">
        <f t="shared" ca="1" si="111"/>
        <v>1172.47737163025</v>
      </c>
      <c r="X28" s="22">
        <f t="shared" ca="1" si="111"/>
        <v>1354.0501518880901</v>
      </c>
      <c r="Y28" s="22">
        <f t="shared" ca="1" si="111"/>
        <v>1376.1429511730601</v>
      </c>
      <c r="Z28" s="22">
        <f t="shared" ca="1" si="111"/>
        <v>1676.0588203587499</v>
      </c>
      <c r="AA28" s="22">
        <f t="shared" ca="1" si="111"/>
        <v>1962.61805549368</v>
      </c>
      <c r="AB28" s="22">
        <f t="shared" ca="1" si="111"/>
        <v>1945.39649661057</v>
      </c>
      <c r="AC28" s="22">
        <f t="shared" ca="1" si="111"/>
        <v>1537.7076091998599</v>
      </c>
      <c r="AD28" s="22">
        <f t="shared" ca="1" si="111"/>
        <v>1834.67957797395</v>
      </c>
      <c r="AE28" s="14">
        <f t="shared" ref="AE28:AE36" ca="1" si="112">MIN(R28:AD28)</f>
        <v>530.40125541582995</v>
      </c>
      <c r="AF28" s="14">
        <f t="shared" ref="AF28:AF36" ca="1" si="113">MAX(R28:AD28)</f>
        <v>1962.61805549368</v>
      </c>
      <c r="AG28" s="14">
        <f t="shared" ref="AG28:AG36" ca="1" si="114">MAX(R28:AD28,ABS(MIN(R28:AD28)))</f>
        <v>1962.61805549368</v>
      </c>
    </row>
    <row r="29" spans="1:33" x14ac:dyDescent="0.2">
      <c r="P29" s="25"/>
      <c r="Q29" s="6">
        <f>A6</f>
        <v>2</v>
      </c>
      <c r="R29" s="22">
        <f t="shared" ref="R29:AD29" ca="1" si="115">C6</f>
        <v>900.97105972712995</v>
      </c>
      <c r="S29" s="22">
        <f t="shared" ca="1" si="115"/>
        <v>1197.0702893064699</v>
      </c>
      <c r="T29" s="22">
        <f t="shared" ca="1" si="115"/>
        <v>904.96847597750002</v>
      </c>
      <c r="U29" s="22">
        <f t="shared" ca="1" si="115"/>
        <v>1305.46297057109</v>
      </c>
      <c r="V29" s="22">
        <f t="shared" ca="1" si="115"/>
        <v>1555.1420944955801</v>
      </c>
      <c r="W29" s="22">
        <f t="shared" ca="1" si="115"/>
        <v>1898.9916379940501</v>
      </c>
      <c r="X29" s="22">
        <f t="shared" ca="1" si="115"/>
        <v>1644.98993069025</v>
      </c>
      <c r="Y29" s="22">
        <f t="shared" ca="1" si="115"/>
        <v>1739.4949747888099</v>
      </c>
      <c r="Z29" s="22">
        <f t="shared" ca="1" si="115"/>
        <v>2174.2586993989298</v>
      </c>
      <c r="AA29" s="22">
        <f t="shared" ca="1" si="115"/>
        <v>2156.9839637459399</v>
      </c>
      <c r="AB29" s="22">
        <f t="shared" ca="1" si="115"/>
        <v>1851.6565693386499</v>
      </c>
      <c r="AC29" s="22">
        <f t="shared" ca="1" si="115"/>
        <v>1919.5529764052501</v>
      </c>
      <c r="AD29" s="22">
        <f t="shared" ca="1" si="115"/>
        <v>2007.04738087645</v>
      </c>
      <c r="AE29" s="14">
        <f t="shared" ca="1" si="112"/>
        <v>900.97105972712995</v>
      </c>
      <c r="AF29" s="14">
        <f t="shared" ca="1" si="113"/>
        <v>2174.2586993989298</v>
      </c>
      <c r="AG29" s="14">
        <f t="shared" ca="1" si="114"/>
        <v>2174.2586993989298</v>
      </c>
    </row>
    <row r="30" spans="1:33" x14ac:dyDescent="0.2">
      <c r="P30" s="25"/>
      <c r="Q30" s="6">
        <f>A8</f>
        <v>3</v>
      </c>
      <c r="R30" s="22">
        <f t="shared" ref="R30:AD30" ca="1" si="116">C8</f>
        <v>809.17802581408</v>
      </c>
      <c r="S30" s="22">
        <f t="shared" ca="1" si="116"/>
        <v>700.02116324483995</v>
      </c>
      <c r="T30" s="22">
        <f t="shared" ca="1" si="116"/>
        <v>942.97802304089998</v>
      </c>
      <c r="U30" s="22">
        <f t="shared" ca="1" si="116"/>
        <v>1108.0891519096299</v>
      </c>
      <c r="V30" s="22">
        <f t="shared" ca="1" si="116"/>
        <v>781.76707451367997</v>
      </c>
      <c r="W30" s="22">
        <f t="shared" ca="1" si="116"/>
        <v>785.89532389415001</v>
      </c>
      <c r="X30" s="22">
        <f t="shared" ca="1" si="116"/>
        <v>1007.14540812234</v>
      </c>
      <c r="Y30" s="22">
        <f t="shared" ca="1" si="116"/>
        <v>1128.4964059594899</v>
      </c>
      <c r="Z30" s="22">
        <f t="shared" ca="1" si="116"/>
        <v>935.92227417766003</v>
      </c>
      <c r="AA30" s="22">
        <f t="shared" ca="1" si="116"/>
        <v>1155.97554208416</v>
      </c>
      <c r="AB30" s="22">
        <f t="shared" ca="1" si="116"/>
        <v>1146.96071042416</v>
      </c>
      <c r="AC30" s="22">
        <f t="shared" ca="1" si="116"/>
        <v>990.89600396613002</v>
      </c>
      <c r="AD30" s="22">
        <f t="shared" ca="1" si="116"/>
        <v>611.76988918933</v>
      </c>
      <c r="AE30" s="14">
        <f t="shared" ca="1" si="112"/>
        <v>611.76988918933</v>
      </c>
      <c r="AF30" s="14">
        <f t="shared" ca="1" si="113"/>
        <v>1155.97554208416</v>
      </c>
      <c r="AG30" s="14">
        <f t="shared" ca="1" si="114"/>
        <v>1155.97554208416</v>
      </c>
    </row>
    <row r="31" spans="1:33" x14ac:dyDescent="0.2">
      <c r="P31" s="25"/>
      <c r="Q31" s="6">
        <f>A10</f>
        <v>4</v>
      </c>
      <c r="R31" s="22">
        <f t="shared" ref="R31:AD31" ca="1" si="117">C10</f>
        <v>780.63282475744995</v>
      </c>
      <c r="S31" s="22">
        <f t="shared" ca="1" si="117"/>
        <v>584.00248632225998</v>
      </c>
      <c r="T31" s="22">
        <f t="shared" ca="1" si="117"/>
        <v>938.59173354782001</v>
      </c>
      <c r="U31" s="22">
        <f t="shared" ca="1" si="117"/>
        <v>1166.92541038635</v>
      </c>
      <c r="V31" s="22">
        <f t="shared" ca="1" si="117"/>
        <v>1301.4861727299101</v>
      </c>
      <c r="W31" s="22">
        <f t="shared" ca="1" si="117"/>
        <v>1410.8481136788901</v>
      </c>
      <c r="X31" s="22">
        <f t="shared" ca="1" si="117"/>
        <v>1679.4976716061501</v>
      </c>
      <c r="Y31" s="22">
        <f t="shared" ca="1" si="117"/>
        <v>1668.2611461899501</v>
      </c>
      <c r="Z31" s="22">
        <f t="shared" ca="1" si="117"/>
        <v>1571.2118556959199</v>
      </c>
      <c r="AA31" s="22">
        <f t="shared" ca="1" si="117"/>
        <v>1616.6657985586401</v>
      </c>
      <c r="AB31" s="22">
        <f t="shared" ca="1" si="117"/>
        <v>1574.7971010817801</v>
      </c>
      <c r="AC31" s="22">
        <f t="shared" ca="1" si="117"/>
        <v>1530.3598199764101</v>
      </c>
      <c r="AD31" s="22">
        <f t="shared" ca="1" si="117"/>
        <v>1755.3142058272199</v>
      </c>
      <c r="AE31" s="14">
        <f t="shared" ca="1" si="112"/>
        <v>584.00248632225998</v>
      </c>
      <c r="AF31" s="14">
        <f t="shared" ca="1" si="113"/>
        <v>1755.3142058272199</v>
      </c>
      <c r="AG31" s="14">
        <f t="shared" ca="1" si="114"/>
        <v>1755.3142058272199</v>
      </c>
    </row>
    <row r="32" spans="1:33" x14ac:dyDescent="0.2">
      <c r="P32" s="25"/>
      <c r="Q32" s="6">
        <f>A12</f>
        <v>5</v>
      </c>
      <c r="R32" s="22">
        <f t="shared" ref="R32:AD32" ca="1" si="118">C12</f>
        <v>633.10445198108005</v>
      </c>
      <c r="S32" s="22">
        <f t="shared" ca="1" si="118"/>
        <v>931.81850100903</v>
      </c>
      <c r="T32" s="22">
        <f t="shared" ca="1" si="118"/>
        <v>1097.9983940755901</v>
      </c>
      <c r="U32" s="22">
        <f t="shared" ca="1" si="118"/>
        <v>838.33804791706996</v>
      </c>
      <c r="V32" s="22">
        <f t="shared" ca="1" si="118"/>
        <v>758.54282697808003</v>
      </c>
      <c r="W32" s="22">
        <f t="shared" ca="1" si="118"/>
        <v>517.00049235310996</v>
      </c>
      <c r="X32" s="22">
        <f t="shared" ca="1" si="118"/>
        <v>205.61443438361999</v>
      </c>
      <c r="Y32" s="22">
        <f t="shared" ca="1" si="118"/>
        <v>408.90842702169999</v>
      </c>
      <c r="Z32" s="22">
        <f t="shared" ca="1" si="118"/>
        <v>365.41229073490001</v>
      </c>
      <c r="AA32" s="22">
        <f t="shared" ca="1" si="118"/>
        <v>635.96851694520001</v>
      </c>
      <c r="AB32" s="22">
        <f t="shared" ca="1" si="118"/>
        <v>853.94220465956005</v>
      </c>
      <c r="AC32" s="22">
        <f t="shared" ca="1" si="118"/>
        <v>552.09467658002995</v>
      </c>
      <c r="AD32" s="22">
        <f t="shared" ca="1" si="118"/>
        <v>803.05313883644999</v>
      </c>
      <c r="AE32" s="14">
        <f t="shared" ca="1" si="112"/>
        <v>205.61443438361999</v>
      </c>
      <c r="AF32" s="14">
        <f t="shared" ca="1" si="113"/>
        <v>1097.9983940755901</v>
      </c>
      <c r="AG32" s="14">
        <f t="shared" ca="1" si="114"/>
        <v>1097.9983940755901</v>
      </c>
    </row>
    <row r="33" spans="16:33" x14ac:dyDescent="0.2">
      <c r="P33" s="25"/>
      <c r="Q33" s="6">
        <f>A14</f>
        <v>6</v>
      </c>
      <c r="R33" s="22">
        <f t="shared" ref="R33:AD33" ca="1" si="119">C14</f>
        <v>567.28129929494003</v>
      </c>
      <c r="S33" s="22">
        <f t="shared" ca="1" si="119"/>
        <v>407.24119739445001</v>
      </c>
      <c r="T33" s="22">
        <f t="shared" ca="1" si="119"/>
        <v>597.73637464168996</v>
      </c>
      <c r="U33" s="22">
        <f t="shared" ca="1" si="119"/>
        <v>515.10872754907996</v>
      </c>
      <c r="V33" s="22">
        <f t="shared" ca="1" si="119"/>
        <v>663.99364808457995</v>
      </c>
      <c r="W33" s="22">
        <f t="shared" ca="1" si="119"/>
        <v>682.72920852240998</v>
      </c>
      <c r="X33" s="22">
        <f t="shared" ca="1" si="119"/>
        <v>453.20057075779999</v>
      </c>
      <c r="Y33" s="22">
        <f t="shared" ca="1" si="119"/>
        <v>313.10643619901998</v>
      </c>
      <c r="Z33" s="22">
        <f t="shared" ca="1" si="119"/>
        <v>534.47828573822005</v>
      </c>
      <c r="AA33" s="22">
        <f t="shared" ca="1" si="119"/>
        <v>583.99759047463999</v>
      </c>
      <c r="AB33" s="22">
        <f t="shared" ca="1" si="119"/>
        <v>762.73424642978</v>
      </c>
      <c r="AC33" s="22">
        <f t="shared" ca="1" si="119"/>
        <v>887.18398009891996</v>
      </c>
      <c r="AD33" s="22">
        <f t="shared" ca="1" si="119"/>
        <v>667.74272761505995</v>
      </c>
      <c r="AE33" s="14">
        <f t="shared" ca="1" si="112"/>
        <v>313.10643619901998</v>
      </c>
      <c r="AF33" s="14">
        <f t="shared" ca="1" si="113"/>
        <v>887.18398009891996</v>
      </c>
      <c r="AG33" s="14">
        <f t="shared" ca="1" si="114"/>
        <v>887.18398009891996</v>
      </c>
    </row>
    <row r="34" spans="16:33" x14ac:dyDescent="0.2">
      <c r="P34" s="25"/>
      <c r="Q34" s="6">
        <f>A16</f>
        <v>7</v>
      </c>
      <c r="R34" s="22">
        <f t="shared" ref="R34:AD34" ca="1" si="120">C16</f>
        <v>619.56089703384998</v>
      </c>
      <c r="S34" s="22">
        <f t="shared" ca="1" si="120"/>
        <v>758.31590098660001</v>
      </c>
      <c r="T34" s="22">
        <f t="shared" ca="1" si="120"/>
        <v>1009.21205160805</v>
      </c>
      <c r="U34" s="22">
        <f t="shared" ca="1" si="120"/>
        <v>719.85145183155998</v>
      </c>
      <c r="V34" s="22">
        <f t="shared" ca="1" si="120"/>
        <v>640.21072224661998</v>
      </c>
      <c r="W34" s="22">
        <f t="shared" ca="1" si="120"/>
        <v>408.40494810745997</v>
      </c>
      <c r="X34" s="22">
        <f t="shared" ca="1" si="120"/>
        <v>527.70379149109999</v>
      </c>
      <c r="Y34" s="22">
        <f t="shared" ca="1" si="120"/>
        <v>517.44717573374999</v>
      </c>
      <c r="Z34" s="22">
        <f t="shared" ca="1" si="120"/>
        <v>778.27044191115999</v>
      </c>
      <c r="AA34" s="22">
        <f t="shared" ca="1" si="120"/>
        <v>612.67194559479003</v>
      </c>
      <c r="AB34" s="22">
        <f t="shared" ca="1" si="120"/>
        <v>891.81285365252995</v>
      </c>
      <c r="AC34" s="22">
        <f t="shared" ca="1" si="120"/>
        <v>1079.09154188772</v>
      </c>
      <c r="AD34" s="22">
        <f t="shared" ca="1" si="120"/>
        <v>781.90603070396003</v>
      </c>
      <c r="AE34" s="14">
        <f t="shared" ca="1" si="112"/>
        <v>408.40494810745997</v>
      </c>
      <c r="AF34" s="14">
        <f t="shared" ca="1" si="113"/>
        <v>1079.09154188772</v>
      </c>
      <c r="AG34" s="14">
        <f t="shared" ca="1" si="114"/>
        <v>1079.09154188772</v>
      </c>
    </row>
    <row r="35" spans="16:33" x14ac:dyDescent="0.2">
      <c r="P35" s="25"/>
      <c r="Q35" s="6">
        <f>A18</f>
        <v>8</v>
      </c>
      <c r="R35" s="22">
        <f t="shared" ref="R35:AD35" ca="1" si="121">C18</f>
        <v>738.26718054043999</v>
      </c>
      <c r="S35" s="22">
        <f t="shared" ca="1" si="121"/>
        <v>714.33128034560002</v>
      </c>
      <c r="T35" s="22">
        <f t="shared" ca="1" si="121"/>
        <v>389.35644464610999</v>
      </c>
      <c r="U35" s="22">
        <f t="shared" ca="1" si="121"/>
        <v>330.14198150380997</v>
      </c>
      <c r="V35" s="22">
        <f t="shared" ca="1" si="121"/>
        <v>181.89664086581999</v>
      </c>
      <c r="W35" s="22">
        <f t="shared" ca="1" si="121"/>
        <v>-176.20882598456001</v>
      </c>
      <c r="X35" s="22">
        <f t="shared" ca="1" si="121"/>
        <v>-192.48742474679</v>
      </c>
      <c r="Y35" s="22">
        <f t="shared" ca="1" si="121"/>
        <v>-281.32698963769002</v>
      </c>
      <c r="Z35" s="22">
        <f t="shared" ca="1" si="121"/>
        <v>-235.36207922260999</v>
      </c>
      <c r="AA35" s="22">
        <f t="shared" ca="1" si="121"/>
        <v>-122.67103770564999</v>
      </c>
      <c r="AB35" s="22">
        <f t="shared" ca="1" si="121"/>
        <v>67.671864115139996</v>
      </c>
      <c r="AC35" s="22">
        <f t="shared" ca="1" si="121"/>
        <v>-25.854747614779999</v>
      </c>
      <c r="AD35" s="22">
        <f t="shared" ca="1" si="121"/>
        <v>217.29673658327999</v>
      </c>
      <c r="AE35" s="14">
        <f t="shared" ca="1" si="112"/>
        <v>-281.32698963769002</v>
      </c>
      <c r="AF35" s="14">
        <f t="shared" ca="1" si="113"/>
        <v>738.26718054043999</v>
      </c>
      <c r="AG35" s="14">
        <f t="shared" ca="1" si="114"/>
        <v>738.26718054043999</v>
      </c>
    </row>
    <row r="36" spans="16:33" x14ac:dyDescent="0.2">
      <c r="P36" s="25"/>
      <c r="Q36" s="6">
        <f>A20</f>
        <v>9</v>
      </c>
      <c r="R36" s="22">
        <f t="shared" ref="R36:AD36" ca="1" si="122">C20</f>
        <v>685.25740732318002</v>
      </c>
      <c r="S36" s="22">
        <f t="shared" ca="1" si="122"/>
        <v>508.5819945563</v>
      </c>
      <c r="T36" s="22">
        <f t="shared" ca="1" si="122"/>
        <v>198.97876492246999</v>
      </c>
      <c r="U36" s="22">
        <f t="shared" ca="1" si="122"/>
        <v>501.93849610731002</v>
      </c>
      <c r="V36" s="22">
        <f t="shared" ca="1" si="122"/>
        <v>485.71572681242998</v>
      </c>
      <c r="W36" s="22">
        <f t="shared" ca="1" si="122"/>
        <v>386.26728998041</v>
      </c>
      <c r="X36" s="22">
        <f t="shared" ca="1" si="122"/>
        <v>366.11872539094998</v>
      </c>
      <c r="Y36" s="22">
        <f t="shared" ca="1" si="122"/>
        <v>393.76086109990001</v>
      </c>
      <c r="Z36" s="22">
        <f t="shared" ca="1" si="122"/>
        <v>616.88116533287996</v>
      </c>
      <c r="AA36" s="22">
        <f t="shared" ca="1" si="122"/>
        <v>527.03947595635998</v>
      </c>
      <c r="AB36" s="22">
        <f t="shared" ca="1" si="122"/>
        <v>654.11652438230999</v>
      </c>
      <c r="AC36" s="22">
        <f t="shared" ca="1" si="122"/>
        <v>472.72712232799</v>
      </c>
      <c r="AD36" s="22">
        <f t="shared" ca="1" si="122"/>
        <v>471.37919415491001</v>
      </c>
      <c r="AE36" s="14">
        <f t="shared" ca="1" si="112"/>
        <v>198.97876492246999</v>
      </c>
      <c r="AF36" s="14">
        <f t="shared" ca="1" si="113"/>
        <v>685.25740732318002</v>
      </c>
      <c r="AG36" s="14">
        <f t="shared" ca="1" si="114"/>
        <v>685.25740732318002</v>
      </c>
    </row>
    <row r="37" spans="16:33" x14ac:dyDescent="0.2">
      <c r="Q37" s="6" t="s">
        <v>22</v>
      </c>
      <c r="R37" s="21">
        <f ca="1">MIN(R27:R36)</f>
        <v>567.28129929494003</v>
      </c>
      <c r="S37" s="21">
        <f t="shared" ref="S37:AD37" ca="1" si="123">MIN(S27:S36)</f>
        <v>407.24119739445001</v>
      </c>
      <c r="T37" s="21">
        <f t="shared" ca="1" si="123"/>
        <v>198.97876492246999</v>
      </c>
      <c r="U37" s="21">
        <f t="shared" ca="1" si="123"/>
        <v>330.14198150380997</v>
      </c>
      <c r="V37" s="21">
        <f t="shared" ca="1" si="123"/>
        <v>181.89664086581999</v>
      </c>
      <c r="W37" s="21">
        <f t="shared" ca="1" si="123"/>
        <v>-176.20882598456001</v>
      </c>
      <c r="X37" s="21">
        <f t="shared" ca="1" si="123"/>
        <v>-192.48742474679</v>
      </c>
      <c r="Y37" s="21">
        <f t="shared" ca="1" si="123"/>
        <v>-281.32698963769002</v>
      </c>
      <c r="Z37" s="21">
        <f t="shared" ca="1" si="123"/>
        <v>-235.36207922260999</v>
      </c>
      <c r="AA37" s="21">
        <f t="shared" ca="1" si="123"/>
        <v>-122.67103770564999</v>
      </c>
      <c r="AB37" s="21">
        <f t="shared" ca="1" si="123"/>
        <v>67.671864115139996</v>
      </c>
      <c r="AC37" s="21">
        <f t="shared" ca="1" si="123"/>
        <v>-25.854747614779999</v>
      </c>
      <c r="AD37" s="21">
        <f t="shared" ca="1" si="123"/>
        <v>217.29673658327999</v>
      </c>
    </row>
    <row r="38" spans="16:33" x14ac:dyDescent="0.2">
      <c r="Q38" s="6" t="s">
        <v>23</v>
      </c>
      <c r="R38" s="21">
        <f ca="1">MAX(R27:R36)</f>
        <v>1032.5229154329488</v>
      </c>
      <c r="S38" s="21">
        <f t="shared" ref="S38:AD38" ca="1" si="124">MAX(S27:S36)</f>
        <v>1197.0702893064699</v>
      </c>
      <c r="T38" s="21">
        <f t="shared" ca="1" si="124"/>
        <v>1505.5681195949501</v>
      </c>
      <c r="U38" s="21">
        <f t="shared" ca="1" si="124"/>
        <v>1564.1679583683799</v>
      </c>
      <c r="V38" s="21">
        <f t="shared" ca="1" si="124"/>
        <v>1555.1420944955801</v>
      </c>
      <c r="W38" s="21">
        <f t="shared" ca="1" si="124"/>
        <v>1898.9916379940501</v>
      </c>
      <c r="X38" s="21">
        <f t="shared" ca="1" si="124"/>
        <v>1679.4976716061501</v>
      </c>
      <c r="Y38" s="21">
        <f t="shared" ca="1" si="124"/>
        <v>1739.4949747888099</v>
      </c>
      <c r="Z38" s="21">
        <f t="shared" ca="1" si="124"/>
        <v>2174.2586993989298</v>
      </c>
      <c r="AA38" s="21">
        <f t="shared" ca="1" si="124"/>
        <v>2156.9839637459399</v>
      </c>
      <c r="AB38" s="21">
        <f t="shared" ca="1" si="124"/>
        <v>1945.39649661057</v>
      </c>
      <c r="AC38" s="21">
        <f t="shared" ca="1" si="124"/>
        <v>1919.5529764052501</v>
      </c>
      <c r="AD38" s="21">
        <f t="shared" ca="1" si="124"/>
        <v>2007.04738087645</v>
      </c>
    </row>
    <row r="39" spans="16:33" x14ac:dyDescent="0.2">
      <c r="Q39" s="6" t="s">
        <v>24</v>
      </c>
      <c r="R39" s="21">
        <f ca="1">MAX(R27:R36,ABS(MIN(R27:R36)))</f>
        <v>1032.5229154329488</v>
      </c>
      <c r="S39" s="21">
        <f t="shared" ref="S39:AD39" ca="1" si="125">MAX(S27:S36,ABS(MIN(S27:S36)))</f>
        <v>1197.0702893064699</v>
      </c>
      <c r="T39" s="21">
        <f t="shared" ca="1" si="125"/>
        <v>1505.5681195949501</v>
      </c>
      <c r="U39" s="21">
        <f t="shared" ca="1" si="125"/>
        <v>1564.1679583683799</v>
      </c>
      <c r="V39" s="21">
        <f t="shared" ca="1" si="125"/>
        <v>1555.1420944955801</v>
      </c>
      <c r="W39" s="21">
        <f t="shared" ca="1" si="125"/>
        <v>1898.9916379940501</v>
      </c>
      <c r="X39" s="21">
        <f t="shared" ca="1" si="125"/>
        <v>1679.4976716061501</v>
      </c>
      <c r="Y39" s="21">
        <f t="shared" ca="1" si="125"/>
        <v>1739.4949747888099</v>
      </c>
      <c r="Z39" s="21">
        <f t="shared" ca="1" si="125"/>
        <v>2174.2586993989298</v>
      </c>
      <c r="AA39" s="21">
        <f t="shared" ca="1" si="125"/>
        <v>2156.9839637459399</v>
      </c>
      <c r="AB39" s="21">
        <f t="shared" ca="1" si="125"/>
        <v>1945.39649661057</v>
      </c>
      <c r="AC39" s="21">
        <f t="shared" ca="1" si="125"/>
        <v>1919.5529764052501</v>
      </c>
      <c r="AD39" s="21">
        <f t="shared" ca="1" si="125"/>
        <v>2007.04738087645</v>
      </c>
    </row>
    <row r="40" spans="16:33" x14ac:dyDescent="0.2">
      <c r="Q40" s="20" t="s">
        <v>25</v>
      </c>
    </row>
    <row r="41" spans="16:33" x14ac:dyDescent="0.2">
      <c r="Q41" s="23" t="str">
        <f t="shared" ref="Q41:Q51" si="126">Q26</f>
        <v>Step</v>
      </c>
      <c r="R41" s="24" t="str">
        <f>R$26&amp;" as Proportion"</f>
        <v>0 as Proportion</v>
      </c>
      <c r="S41" s="24" t="str">
        <f t="shared" ref="S41:AD41" si="127">S$26&amp;" as Proportion"</f>
        <v>1 as Proportion</v>
      </c>
      <c r="T41" s="24" t="str">
        <f t="shared" si="127"/>
        <v>2 as Proportion</v>
      </c>
      <c r="U41" s="24" t="str">
        <f t="shared" si="127"/>
        <v>3 as Proportion</v>
      </c>
      <c r="V41" s="24" t="str">
        <f t="shared" si="127"/>
        <v>4 as Proportion</v>
      </c>
      <c r="W41" s="24" t="str">
        <f t="shared" si="127"/>
        <v>5 as Proportion</v>
      </c>
      <c r="X41" s="24" t="str">
        <f t="shared" si="127"/>
        <v>6 as Proportion</v>
      </c>
      <c r="Y41" s="24" t="str">
        <f t="shared" si="127"/>
        <v>7 as Proportion</v>
      </c>
      <c r="Z41" s="24" t="str">
        <f t="shared" si="127"/>
        <v>8 as Proportion</v>
      </c>
      <c r="AA41" s="24" t="str">
        <f t="shared" si="127"/>
        <v>9 as Proportion</v>
      </c>
      <c r="AB41" s="24" t="str">
        <f t="shared" si="127"/>
        <v>10 as Proportion</v>
      </c>
      <c r="AC41" s="24" t="str">
        <f t="shared" si="127"/>
        <v>15 as Proportion</v>
      </c>
      <c r="AD41" s="24" t="str">
        <f t="shared" si="127"/>
        <v>20 as Proportion</v>
      </c>
    </row>
    <row r="42" spans="16:33" x14ac:dyDescent="0.2">
      <c r="Q42" s="6">
        <f t="shared" si="126"/>
        <v>0</v>
      </c>
      <c r="R42" s="22">
        <f t="shared" ref="R42:AD42" ca="1" si="128">R27/R$39</f>
        <v>1</v>
      </c>
      <c r="S42" s="22">
        <f t="shared" ca="1" si="128"/>
        <v>0.94353153577077542</v>
      </c>
      <c r="T42" s="22">
        <f t="shared" ca="1" si="128"/>
        <v>1</v>
      </c>
      <c r="U42" s="22">
        <f t="shared" ca="1" si="128"/>
        <v>1</v>
      </c>
      <c r="V42" s="22">
        <f t="shared" ca="1" si="128"/>
        <v>0.69412758540253638</v>
      </c>
      <c r="W42" s="22">
        <f t="shared" ca="1" si="128"/>
        <v>0.32359365908301874</v>
      </c>
      <c r="X42" s="22">
        <f t="shared" ca="1" si="128"/>
        <v>0.53917358656614645</v>
      </c>
      <c r="Y42" s="22">
        <f t="shared" ca="1" si="128"/>
        <v>0.31973848033185354</v>
      </c>
      <c r="Z42" s="22">
        <f t="shared" ca="1" si="128"/>
        <v>0.47512638703005966</v>
      </c>
      <c r="AA42" s="22">
        <f t="shared" ca="1" si="128"/>
        <v>0.67033725656794729</v>
      </c>
      <c r="AB42" s="22">
        <f t="shared" ca="1" si="128"/>
        <v>0.9073040940100251</v>
      </c>
      <c r="AC42" s="22">
        <f t="shared" ca="1" si="128"/>
        <v>0.76615933706745165</v>
      </c>
      <c r="AD42" s="22">
        <f t="shared" ca="1" si="128"/>
        <v>0.65997564687868226</v>
      </c>
    </row>
    <row r="43" spans="16:33" x14ac:dyDescent="0.2">
      <c r="Q43" s="6">
        <f t="shared" si="126"/>
        <v>1</v>
      </c>
      <c r="R43" s="22">
        <f t="shared" ref="R43:AD43" ca="1" si="129">R28/R$39</f>
        <v>0.82069666217613235</v>
      </c>
      <c r="S43" s="22">
        <f t="shared" ca="1" si="129"/>
        <v>0.44308279986058396</v>
      </c>
      <c r="T43" s="22">
        <f t="shared" ca="1" si="129"/>
        <v>0.46207967785640636</v>
      </c>
      <c r="U43" s="22">
        <f t="shared" ca="1" si="129"/>
        <v>0.52261524606021181</v>
      </c>
      <c r="V43" s="22">
        <f t="shared" ca="1" si="129"/>
        <v>0.69707651263761161</v>
      </c>
      <c r="W43" s="22">
        <f t="shared" ca="1" si="129"/>
        <v>0.6174210292304213</v>
      </c>
      <c r="X43" s="22">
        <f t="shared" ca="1" si="129"/>
        <v>0.80622329806100568</v>
      </c>
      <c r="Y43" s="22">
        <f t="shared" ca="1" si="129"/>
        <v>0.79111637062368401</v>
      </c>
      <c r="Z43" s="22">
        <f t="shared" ca="1" si="129"/>
        <v>0.77086448858274936</v>
      </c>
      <c r="AA43" s="22">
        <f t="shared" ca="1" si="129"/>
        <v>0.90988996139094458</v>
      </c>
      <c r="AB43" s="22">
        <f t="shared" ca="1" si="129"/>
        <v>1</v>
      </c>
      <c r="AC43" s="22">
        <f t="shared" ca="1" si="129"/>
        <v>0.80107589011662883</v>
      </c>
      <c r="AD43" s="22">
        <f t="shared" ca="1" si="129"/>
        <v>0.91411871760235708</v>
      </c>
    </row>
    <row r="44" spans="16:33" x14ac:dyDescent="0.2">
      <c r="Q44" s="6">
        <f t="shared" si="126"/>
        <v>2</v>
      </c>
      <c r="R44" s="22">
        <f t="shared" ref="R44:AD44" ca="1" si="130">R29/R$39</f>
        <v>0.87259182945043146</v>
      </c>
      <c r="S44" s="22">
        <f t="shared" ca="1" si="130"/>
        <v>1</v>
      </c>
      <c r="T44" s="22">
        <f t="shared" ca="1" si="130"/>
        <v>0.60108105651238675</v>
      </c>
      <c r="U44" s="22">
        <f t="shared" ca="1" si="130"/>
        <v>0.83460536548316</v>
      </c>
      <c r="V44" s="22">
        <f t="shared" ca="1" si="130"/>
        <v>1</v>
      </c>
      <c r="W44" s="22">
        <f t="shared" ca="1" si="130"/>
        <v>1</v>
      </c>
      <c r="X44" s="22">
        <f t="shared" ca="1" si="130"/>
        <v>0.9794535345304175</v>
      </c>
      <c r="Y44" s="22">
        <f t="shared" ca="1" si="130"/>
        <v>1</v>
      </c>
      <c r="Z44" s="22">
        <f t="shared" ca="1" si="130"/>
        <v>1</v>
      </c>
      <c r="AA44" s="22">
        <f t="shared" ca="1" si="130"/>
        <v>1</v>
      </c>
      <c r="AB44" s="22">
        <f t="shared" ca="1" si="130"/>
        <v>0.95181448746554154</v>
      </c>
      <c r="AC44" s="22">
        <f t="shared" ca="1" si="130"/>
        <v>1</v>
      </c>
      <c r="AD44" s="22">
        <f t="shared" ca="1" si="130"/>
        <v>1</v>
      </c>
    </row>
    <row r="45" spans="16:33" x14ac:dyDescent="0.2">
      <c r="Q45" s="6">
        <f t="shared" si="126"/>
        <v>3</v>
      </c>
      <c r="R45" s="22">
        <f t="shared" ref="R45:AD45" ca="1" si="131">R30/R$39</f>
        <v>0.78369013773876606</v>
      </c>
      <c r="S45" s="22">
        <f t="shared" ca="1" si="131"/>
        <v>0.58477866295587499</v>
      </c>
      <c r="T45" s="22">
        <f t="shared" ca="1" si="131"/>
        <v>0.62632703945311596</v>
      </c>
      <c r="U45" s="22">
        <f t="shared" ca="1" si="131"/>
        <v>0.70842082270084572</v>
      </c>
      <c r="V45" s="22">
        <f t="shared" ca="1" si="131"/>
        <v>0.50269816326157057</v>
      </c>
      <c r="W45" s="22">
        <f t="shared" ca="1" si="131"/>
        <v>0.41384875434433716</v>
      </c>
      <c r="X45" s="22">
        <f t="shared" ca="1" si="131"/>
        <v>0.59967061886973561</v>
      </c>
      <c r="Y45" s="22">
        <f t="shared" ca="1" si="131"/>
        <v>0.64874944872807083</v>
      </c>
      <c r="Z45" s="22">
        <f t="shared" ca="1" si="131"/>
        <v>0.43045580290716745</v>
      </c>
      <c r="AA45" s="22">
        <f t="shared" ca="1" si="131"/>
        <v>0.53592217722223012</v>
      </c>
      <c r="AB45" s="22">
        <f t="shared" ca="1" si="131"/>
        <v>0.58957683558209828</v>
      </c>
      <c r="AC45" s="22">
        <f t="shared" ca="1" si="131"/>
        <v>0.51621185564869509</v>
      </c>
      <c r="AD45" s="22">
        <f t="shared" ca="1" si="131"/>
        <v>0.30481088539234114</v>
      </c>
    </row>
    <row r="46" spans="16:33" x14ac:dyDescent="0.2">
      <c r="Q46" s="6">
        <f t="shared" si="126"/>
        <v>4</v>
      </c>
      <c r="R46" s="22">
        <f t="shared" ref="R46:AD46" ca="1" si="132">R31/R$39</f>
        <v>0.75604406748698794</v>
      </c>
      <c r="S46" s="22">
        <f t="shared" ca="1" si="132"/>
        <v>0.48785981202541201</v>
      </c>
      <c r="T46" s="22">
        <f t="shared" ca="1" si="132"/>
        <v>0.62341366115027308</v>
      </c>
      <c r="U46" s="22">
        <f t="shared" ca="1" si="132"/>
        <v>0.746035874308279</v>
      </c>
      <c r="V46" s="22">
        <f t="shared" ca="1" si="132"/>
        <v>0.83689212537974234</v>
      </c>
      <c r="W46" s="22">
        <f t="shared" ca="1" si="132"/>
        <v>0.74294593269994724</v>
      </c>
      <c r="X46" s="22">
        <f t="shared" ca="1" si="132"/>
        <v>1</v>
      </c>
      <c r="Y46" s="22">
        <f t="shared" ca="1" si="132"/>
        <v>0.9590491322876582</v>
      </c>
      <c r="Z46" s="22">
        <f t="shared" ca="1" si="132"/>
        <v>0.72264255220884188</v>
      </c>
      <c r="AA46" s="22">
        <f t="shared" ca="1" si="132"/>
        <v>0.74950292896524229</v>
      </c>
      <c r="AB46" s="22">
        <f t="shared" ca="1" si="132"/>
        <v>0.80949929941043963</v>
      </c>
      <c r="AC46" s="22">
        <f t="shared" ca="1" si="132"/>
        <v>0.7972480253409403</v>
      </c>
      <c r="AD46" s="22">
        <f t="shared" ca="1" si="132"/>
        <v>0.87457537004467645</v>
      </c>
    </row>
    <row r="47" spans="16:33" x14ac:dyDescent="0.2">
      <c r="Q47" s="6">
        <f t="shared" si="126"/>
        <v>5</v>
      </c>
      <c r="R47" s="22">
        <f t="shared" ref="R47:AD47" ca="1" si="133">R32/R$39</f>
        <v>0.61316261607192712</v>
      </c>
      <c r="S47" s="22">
        <f t="shared" ca="1" si="133"/>
        <v>0.77841586190305068</v>
      </c>
      <c r="T47" s="22">
        <f t="shared" ca="1" si="133"/>
        <v>0.7292917402973369</v>
      </c>
      <c r="U47" s="22">
        <f t="shared" ca="1" si="133"/>
        <v>0.5359642124312276</v>
      </c>
      <c r="V47" s="22">
        <f t="shared" ca="1" si="133"/>
        <v>0.48776432048424362</v>
      </c>
      <c r="W47" s="22">
        <f t="shared" ca="1" si="133"/>
        <v>0.27225000995751086</v>
      </c>
      <c r="X47" s="22">
        <f t="shared" ca="1" si="133"/>
        <v>0.12242615030658853</v>
      </c>
      <c r="Y47" s="22">
        <f t="shared" ca="1" si="133"/>
        <v>0.2350730717525327</v>
      </c>
      <c r="Z47" s="22">
        <f t="shared" ca="1" si="133"/>
        <v>0.16806293144229692</v>
      </c>
      <c r="AA47" s="22">
        <f t="shared" ca="1" si="133"/>
        <v>0.29484156008315482</v>
      </c>
      <c r="AB47" s="22">
        <f t="shared" ca="1" si="133"/>
        <v>0.43895535236511862</v>
      </c>
      <c r="AC47" s="22">
        <f t="shared" ca="1" si="133"/>
        <v>0.28761627491726671</v>
      </c>
      <c r="AD47" s="22">
        <f t="shared" ca="1" si="133"/>
        <v>0.40011668209136536</v>
      </c>
    </row>
    <row r="48" spans="16:33" x14ac:dyDescent="0.2">
      <c r="Q48" s="6">
        <f t="shared" si="126"/>
        <v>6</v>
      </c>
      <c r="R48" s="22">
        <f t="shared" ref="R48:AD48" ca="1" si="134">R33/R$39</f>
        <v>0.54941279347497329</v>
      </c>
      <c r="S48" s="22">
        <f t="shared" ca="1" si="134"/>
        <v>0.34019823316339071</v>
      </c>
      <c r="T48" s="22">
        <f t="shared" ca="1" si="134"/>
        <v>0.39701715708652341</v>
      </c>
      <c r="U48" s="22">
        <f t="shared" ca="1" si="134"/>
        <v>0.32931804081091259</v>
      </c>
      <c r="V48" s="22">
        <f t="shared" ca="1" si="134"/>
        <v>0.42696654565186237</v>
      </c>
      <c r="W48" s="22">
        <f t="shared" ca="1" si="134"/>
        <v>0.35952196674419962</v>
      </c>
      <c r="X48" s="22">
        <f t="shared" ca="1" si="134"/>
        <v>0.26984292888265321</v>
      </c>
      <c r="Y48" s="22">
        <f t="shared" ca="1" si="134"/>
        <v>0.17999847124423793</v>
      </c>
      <c r="Z48" s="22">
        <f t="shared" ca="1" si="134"/>
        <v>0.24582092548875425</v>
      </c>
      <c r="AA48" s="22">
        <f t="shared" ca="1" si="134"/>
        <v>0.27074730284987231</v>
      </c>
      <c r="AB48" s="22">
        <f t="shared" ca="1" si="134"/>
        <v>0.39207135807979421</v>
      </c>
      <c r="AC48" s="22">
        <f t="shared" ca="1" si="134"/>
        <v>0.46218259720049548</v>
      </c>
      <c r="AD48" s="22">
        <f t="shared" ca="1" si="134"/>
        <v>0.33269903539769247</v>
      </c>
    </row>
    <row r="49" spans="1:30" x14ac:dyDescent="0.2">
      <c r="Q49" s="6">
        <f t="shared" si="126"/>
        <v>7</v>
      </c>
      <c r="R49" s="22">
        <f t="shared" ref="R49:AD49" ca="1" si="135">R34/R$39</f>
        <v>0.60004566269026671</v>
      </c>
      <c r="S49" s="22">
        <f t="shared" ca="1" si="135"/>
        <v>0.63347650322683646</v>
      </c>
      <c r="T49" s="22">
        <f t="shared" ca="1" si="135"/>
        <v>0.67031975403382149</v>
      </c>
      <c r="U49" s="22">
        <f t="shared" ca="1" si="135"/>
        <v>0.46021365415415733</v>
      </c>
      <c r="V49" s="22">
        <f t="shared" ca="1" si="135"/>
        <v>0.4116734570510589</v>
      </c>
      <c r="W49" s="22">
        <f t="shared" ca="1" si="135"/>
        <v>0.21506411083456262</v>
      </c>
      <c r="X49" s="22">
        <f t="shared" ca="1" si="135"/>
        <v>0.31420334806802219</v>
      </c>
      <c r="Y49" s="22">
        <f t="shared" ca="1" si="135"/>
        <v>0.29746977325793805</v>
      </c>
      <c r="Z49" s="22">
        <f t="shared" ca="1" si="135"/>
        <v>0.35794748901145551</v>
      </c>
      <c r="AA49" s="22">
        <f t="shared" ca="1" si="135"/>
        <v>0.28404102946170701</v>
      </c>
      <c r="AB49" s="22">
        <f t="shared" ca="1" si="135"/>
        <v>0.45842215466426495</v>
      </c>
      <c r="AC49" s="22">
        <f t="shared" ca="1" si="135"/>
        <v>0.56215772898778571</v>
      </c>
      <c r="AD49" s="22">
        <f t="shared" ca="1" si="135"/>
        <v>0.38958025513204997</v>
      </c>
    </row>
    <row r="50" spans="1:30" x14ac:dyDescent="0.2">
      <c r="B50" s="13"/>
      <c r="C50" s="6" t="str">
        <f t="shared" ref="C50:O50" si="136">C1&amp;" as Proportion"</f>
        <v>Yr 0 as Proportion</v>
      </c>
      <c r="D50" s="6" t="str">
        <f t="shared" si="136"/>
        <v>Yr 1 as Proportion</v>
      </c>
      <c r="E50" s="6" t="str">
        <f t="shared" si="136"/>
        <v>Yr 2 as Proportion</v>
      </c>
      <c r="F50" s="6" t="str">
        <f t="shared" si="136"/>
        <v>Yr 3 as Proportion</v>
      </c>
      <c r="G50" s="6" t="str">
        <f t="shared" si="136"/>
        <v>Yr 4 as Proportion</v>
      </c>
      <c r="H50" s="6" t="str">
        <f t="shared" si="136"/>
        <v>Yr 5 as Proportion</v>
      </c>
      <c r="I50" s="6" t="str">
        <f t="shared" si="136"/>
        <v>Yr 6 as Proportion</v>
      </c>
      <c r="J50" s="6" t="str">
        <f t="shared" si="136"/>
        <v>Yr 7 as Proportion</v>
      </c>
      <c r="K50" s="6" t="str">
        <f t="shared" si="136"/>
        <v>Yr 8 as Proportion</v>
      </c>
      <c r="L50" s="6" t="str">
        <f t="shared" si="136"/>
        <v>Yr 9 as Proportion</v>
      </c>
      <c r="M50" s="6" t="str">
        <f t="shared" si="136"/>
        <v>Yr 10 as Proportion</v>
      </c>
      <c r="N50" s="6" t="str">
        <f t="shared" si="136"/>
        <v>Yr 15 as Proportion</v>
      </c>
      <c r="O50" s="6" t="str">
        <f t="shared" si="136"/>
        <v>Yr 20 as Proportion</v>
      </c>
      <c r="Q50" s="6">
        <f t="shared" si="126"/>
        <v>8</v>
      </c>
      <c r="R50" s="22">
        <f t="shared" ref="R50:AD50" ca="1" si="137">R35/R$39</f>
        <v>0.71501287720173845</v>
      </c>
      <c r="S50" s="22">
        <f t="shared" ca="1" si="137"/>
        <v>0.59673294603231053</v>
      </c>
      <c r="T50" s="22">
        <f t="shared" ca="1" si="137"/>
        <v>0.25861097852607318</v>
      </c>
      <c r="U50" s="22">
        <f t="shared" ca="1" si="137"/>
        <v>0.21106555708262223</v>
      </c>
      <c r="V50" s="22">
        <f t="shared" ca="1" si="137"/>
        <v>0.11696464362301201</v>
      </c>
      <c r="W50" s="22">
        <f t="shared" ca="1" si="137"/>
        <v>-9.2790732965361333E-2</v>
      </c>
      <c r="X50" s="22">
        <f t="shared" ca="1" si="137"/>
        <v>-0.11461011706119779</v>
      </c>
      <c r="Y50" s="22">
        <f t="shared" ca="1" si="137"/>
        <v>-0.16172911891961378</v>
      </c>
      <c r="Z50" s="22">
        <f t="shared" ca="1" si="137"/>
        <v>-0.10824934461003902</v>
      </c>
      <c r="AA50" s="22">
        <f t="shared" ca="1" si="137"/>
        <v>-5.6871557585719164E-2</v>
      </c>
      <c r="AB50" s="22">
        <f t="shared" ca="1" si="137"/>
        <v>3.4785640990432277E-2</v>
      </c>
      <c r="AC50" s="22">
        <f t="shared" ca="1" si="137"/>
        <v>-1.3469150334781708E-2</v>
      </c>
      <c r="AD50" s="22">
        <f t="shared" ca="1" si="137"/>
        <v>0.10826686935930206</v>
      </c>
    </row>
    <row r="51" spans="1:30" x14ac:dyDescent="0.2">
      <c r="A51" s="12">
        <v>0</v>
      </c>
      <c r="B51" s="13">
        <f>A2</f>
        <v>0</v>
      </c>
      <c r="C51" s="6">
        <f t="shared" ref="C51:O51" ca="1" si="138">C2/C$63</f>
        <v>1</v>
      </c>
      <c r="D51" s="6">
        <f t="shared" ca="1" si="138"/>
        <v>0.94353153577077542</v>
      </c>
      <c r="E51" s="6">
        <f t="shared" ca="1" si="138"/>
        <v>1</v>
      </c>
      <c r="F51" s="6">
        <f t="shared" ca="1" si="138"/>
        <v>1</v>
      </c>
      <c r="G51" s="6">
        <f t="shared" ca="1" si="138"/>
        <v>0.69412758540253638</v>
      </c>
      <c r="H51" s="6">
        <f t="shared" ca="1" si="138"/>
        <v>0.32359365908301874</v>
      </c>
      <c r="I51" s="6">
        <f t="shared" ca="1" si="138"/>
        <v>0.53917358656614645</v>
      </c>
      <c r="J51" s="6">
        <f t="shared" ca="1" si="138"/>
        <v>0.31973848033185354</v>
      </c>
      <c r="K51" s="6">
        <f t="shared" ca="1" si="138"/>
        <v>0.47512638703005966</v>
      </c>
      <c r="L51" s="6">
        <f t="shared" ca="1" si="138"/>
        <v>0.67033725656794729</v>
      </c>
      <c r="M51" s="6">
        <f t="shared" ca="1" si="138"/>
        <v>0.9073040940100251</v>
      </c>
      <c r="N51" s="6">
        <f t="shared" ca="1" si="138"/>
        <v>0.76615933706745165</v>
      </c>
      <c r="O51" s="6">
        <f t="shared" ca="1" si="138"/>
        <v>0.65997564687868226</v>
      </c>
      <c r="Q51" s="6">
        <f t="shared" si="126"/>
        <v>9</v>
      </c>
      <c r="R51" s="22">
        <f t="shared" ref="R51:AD51" ca="1" si="139">R36/R$39</f>
        <v>0.66367283193501192</v>
      </c>
      <c r="S51" s="22">
        <f t="shared" ca="1" si="139"/>
        <v>0.42485558208194285</v>
      </c>
      <c r="T51" s="22">
        <f t="shared" ca="1" si="139"/>
        <v>0.13216191438485173</v>
      </c>
      <c r="U51" s="22">
        <f t="shared" ca="1" si="139"/>
        <v>0.32089808093939848</v>
      </c>
      <c r="V51" s="22">
        <f t="shared" ca="1" si="139"/>
        <v>0.31232884025943292</v>
      </c>
      <c r="W51" s="22">
        <f t="shared" ca="1" si="139"/>
        <v>0.20340652494311839</v>
      </c>
      <c r="X51" s="22">
        <f t="shared" ca="1" si="139"/>
        <v>0.21799299372699962</v>
      </c>
      <c r="Y51" s="22">
        <f t="shared" ca="1" si="139"/>
        <v>0.22636504664102641</v>
      </c>
      <c r="Z51" s="22">
        <f t="shared" ca="1" si="139"/>
        <v>0.28372022404850705</v>
      </c>
      <c r="AA51" s="22">
        <f t="shared" ca="1" si="139"/>
        <v>0.24434093382923142</v>
      </c>
      <c r="AB51" s="22">
        <f t="shared" ca="1" si="139"/>
        <v>0.33623815274776409</v>
      </c>
      <c r="AC51" s="22">
        <f t="shared" ca="1" si="139"/>
        <v>0.24626938049569586</v>
      </c>
      <c r="AD51" s="22">
        <f t="shared" ca="1" si="139"/>
        <v>0.23486201603724233</v>
      </c>
    </row>
    <row r="52" spans="1:30" x14ac:dyDescent="0.2">
      <c r="A52" s="12">
        <v>0</v>
      </c>
      <c r="B52" s="13">
        <f>A4</f>
        <v>1</v>
      </c>
      <c r="C52" s="6">
        <f t="shared" ref="C52:O52" ca="1" si="140">C4/C$63</f>
        <v>0.82069666217613235</v>
      </c>
      <c r="D52" s="6">
        <f t="shared" ca="1" si="140"/>
        <v>0.44308279986058396</v>
      </c>
      <c r="E52" s="6">
        <f t="shared" ca="1" si="140"/>
        <v>0.46207967785640636</v>
      </c>
      <c r="F52" s="6">
        <f t="shared" ca="1" si="140"/>
        <v>0.52261524606021181</v>
      </c>
      <c r="G52" s="6">
        <f t="shared" ca="1" si="140"/>
        <v>0.69707651263761161</v>
      </c>
      <c r="H52" s="6">
        <f t="shared" ca="1" si="140"/>
        <v>0.6174210292304213</v>
      </c>
      <c r="I52" s="6">
        <f t="shared" ca="1" si="140"/>
        <v>0.80622329806100568</v>
      </c>
      <c r="J52" s="6">
        <f t="shared" ca="1" si="140"/>
        <v>0.79111637062368401</v>
      </c>
      <c r="K52" s="6">
        <f t="shared" ca="1" si="140"/>
        <v>0.77086448858274936</v>
      </c>
      <c r="L52" s="6">
        <f t="shared" ca="1" si="140"/>
        <v>0.90988996139094458</v>
      </c>
      <c r="M52" s="6">
        <f t="shared" ca="1" si="140"/>
        <v>1</v>
      </c>
      <c r="N52" s="6">
        <f t="shared" ca="1" si="140"/>
        <v>0.80107589011662883</v>
      </c>
      <c r="O52" s="6">
        <f t="shared" ca="1" si="140"/>
        <v>0.91411871760235708</v>
      </c>
      <c r="Q52" s="20" t="s">
        <v>26</v>
      </c>
    </row>
    <row r="53" spans="1:30" x14ac:dyDescent="0.2">
      <c r="A53" s="12">
        <v>0</v>
      </c>
      <c r="B53" s="13">
        <f>A6</f>
        <v>2</v>
      </c>
      <c r="C53" s="6">
        <f t="shared" ref="C53:O53" ca="1" si="141">C6/C$63</f>
        <v>0.87259182945043146</v>
      </c>
      <c r="D53" s="6">
        <f t="shared" ca="1" si="141"/>
        <v>1</v>
      </c>
      <c r="E53" s="6">
        <f t="shared" ca="1" si="141"/>
        <v>0.60108105651238675</v>
      </c>
      <c r="F53" s="6">
        <f t="shared" ca="1" si="141"/>
        <v>0.83460536548316</v>
      </c>
      <c r="G53" s="6">
        <f t="shared" ca="1" si="141"/>
        <v>1</v>
      </c>
      <c r="H53" s="6">
        <f t="shared" ca="1" si="141"/>
        <v>1</v>
      </c>
      <c r="I53" s="6">
        <f t="shared" ca="1" si="141"/>
        <v>0.9794535345304175</v>
      </c>
      <c r="J53" s="6">
        <f t="shared" ca="1" si="141"/>
        <v>1</v>
      </c>
      <c r="K53" s="6">
        <f t="shared" ca="1" si="141"/>
        <v>1</v>
      </c>
      <c r="L53" s="6">
        <f t="shared" ca="1" si="141"/>
        <v>1</v>
      </c>
      <c r="M53" s="6">
        <f t="shared" ca="1" si="141"/>
        <v>0.95181448746554154</v>
      </c>
      <c r="N53" s="6">
        <f t="shared" ca="1" si="141"/>
        <v>1</v>
      </c>
      <c r="O53" s="6">
        <f t="shared" ca="1" si="141"/>
        <v>1</v>
      </c>
      <c r="Q53" s="23" t="str">
        <f>Q41</f>
        <v>Step</v>
      </c>
      <c r="R53" s="6" t="str">
        <f>R$26&amp;" as Proportion"</f>
        <v>0 as Proportion</v>
      </c>
      <c r="S53" s="6" t="str">
        <f t="shared" ref="S53:AD53" si="142">S$26&amp;" as Proportion"</f>
        <v>1 as Proportion</v>
      </c>
      <c r="T53" s="6" t="str">
        <f t="shared" si="142"/>
        <v>2 as Proportion</v>
      </c>
      <c r="U53" s="6" t="str">
        <f t="shared" si="142"/>
        <v>3 as Proportion</v>
      </c>
      <c r="V53" s="6" t="str">
        <f t="shared" si="142"/>
        <v>4 as Proportion</v>
      </c>
      <c r="W53" s="6" t="str">
        <f t="shared" si="142"/>
        <v>5 as Proportion</v>
      </c>
      <c r="X53" s="6" t="str">
        <f t="shared" si="142"/>
        <v>6 as Proportion</v>
      </c>
      <c r="Y53" s="6" t="str">
        <f t="shared" si="142"/>
        <v>7 as Proportion</v>
      </c>
      <c r="Z53" s="6" t="str">
        <f t="shared" si="142"/>
        <v>8 as Proportion</v>
      </c>
      <c r="AA53" s="6" t="str">
        <f t="shared" si="142"/>
        <v>9 as Proportion</v>
      </c>
      <c r="AB53" s="6" t="str">
        <f t="shared" si="142"/>
        <v>10 as Proportion</v>
      </c>
      <c r="AC53" s="6" t="str">
        <f t="shared" si="142"/>
        <v>15 as Proportion</v>
      </c>
      <c r="AD53" s="6" t="str">
        <f t="shared" si="142"/>
        <v>20 as Proportion</v>
      </c>
    </row>
    <row r="54" spans="1:30" x14ac:dyDescent="0.2">
      <c r="A54" s="12">
        <v>0</v>
      </c>
      <c r="B54" s="13">
        <f>A8</f>
        <v>3</v>
      </c>
      <c r="C54" s="6">
        <f t="shared" ref="C54:O54" ca="1" si="143">C8/C$63</f>
        <v>0.78369013773876606</v>
      </c>
      <c r="D54" s="6">
        <f t="shared" ca="1" si="143"/>
        <v>0.58477866295587499</v>
      </c>
      <c r="E54" s="6">
        <f t="shared" ca="1" si="143"/>
        <v>0.62632703945311596</v>
      </c>
      <c r="F54" s="6">
        <f t="shared" ca="1" si="143"/>
        <v>0.70842082270084572</v>
      </c>
      <c r="G54" s="6">
        <f t="shared" ca="1" si="143"/>
        <v>0.50269816326157057</v>
      </c>
      <c r="H54" s="6">
        <f t="shared" ca="1" si="143"/>
        <v>0.41384875434433716</v>
      </c>
      <c r="I54" s="6">
        <f t="shared" ca="1" si="143"/>
        <v>0.59967061886973561</v>
      </c>
      <c r="J54" s="6">
        <f t="shared" ca="1" si="143"/>
        <v>0.64874944872807083</v>
      </c>
      <c r="K54" s="6">
        <f t="shared" ca="1" si="143"/>
        <v>0.43045580290716745</v>
      </c>
      <c r="L54" s="6">
        <f t="shared" ca="1" si="143"/>
        <v>0.53592217722223012</v>
      </c>
      <c r="M54" s="6">
        <f t="shared" ca="1" si="143"/>
        <v>0.58957683558209828</v>
      </c>
      <c r="N54" s="6">
        <f t="shared" ca="1" si="143"/>
        <v>0.51621185564869509</v>
      </c>
      <c r="O54" s="6">
        <f t="shared" ca="1" si="143"/>
        <v>0.30481088539234114</v>
      </c>
      <c r="Q54" s="6">
        <f t="shared" ref="Q54:Q63" si="144">Q27</f>
        <v>0</v>
      </c>
      <c r="R54" s="22">
        <f ca="1">R27/$AG27</f>
        <v>0.5849768762283698</v>
      </c>
      <c r="S54" s="22">
        <f t="shared" ref="S54:AD54" ca="1" si="145">S27/$AG27</f>
        <v>0.63990436435360898</v>
      </c>
      <c r="T54" s="22">
        <f t="shared" ca="1" si="145"/>
        <v>0.85298110326236909</v>
      </c>
      <c r="U54" s="22">
        <f t="shared" ca="1" si="145"/>
        <v>0.88618089972286052</v>
      </c>
      <c r="V54" s="22">
        <f t="shared" ca="1" si="145"/>
        <v>0.61157310894847339</v>
      </c>
      <c r="W54" s="22">
        <f t="shared" ca="1" si="145"/>
        <v>0.34814651749081865</v>
      </c>
      <c r="X54" s="22">
        <f t="shared" ca="1" si="145"/>
        <v>0.51303502397212775</v>
      </c>
      <c r="Y54" s="22">
        <f t="shared" ca="1" si="145"/>
        <v>0.31510629909590726</v>
      </c>
      <c r="Z54" s="22">
        <f t="shared" ca="1" si="145"/>
        <v>0.58527418228941308</v>
      </c>
      <c r="AA54" s="22">
        <f t="shared" ca="1" si="145"/>
        <v>0.81917987434597705</v>
      </c>
      <c r="AB54" s="22">
        <f t="shared" ca="1" si="145"/>
        <v>1</v>
      </c>
      <c r="AC54" s="22">
        <f t="shared" ca="1" si="145"/>
        <v>0.83321715128658502</v>
      </c>
      <c r="AD54" s="22">
        <f t="shared" ca="1" si="145"/>
        <v>0.75045479264278758</v>
      </c>
    </row>
    <row r="55" spans="1:30" x14ac:dyDescent="0.2">
      <c r="A55" s="12">
        <v>0</v>
      </c>
      <c r="B55" s="13">
        <f>A10</f>
        <v>4</v>
      </c>
      <c r="C55" s="6">
        <f t="shared" ref="C55:O55" ca="1" si="146">C10/C$63</f>
        <v>0.75604406748698794</v>
      </c>
      <c r="D55" s="6">
        <f t="shared" ca="1" si="146"/>
        <v>0.48785981202541201</v>
      </c>
      <c r="E55" s="6">
        <f t="shared" ca="1" si="146"/>
        <v>0.62341366115027308</v>
      </c>
      <c r="F55" s="6">
        <f t="shared" ca="1" si="146"/>
        <v>0.746035874308279</v>
      </c>
      <c r="G55" s="6">
        <f t="shared" ca="1" si="146"/>
        <v>0.83689212537974234</v>
      </c>
      <c r="H55" s="6">
        <f t="shared" ca="1" si="146"/>
        <v>0.74294593269994724</v>
      </c>
      <c r="I55" s="6">
        <f t="shared" ca="1" si="146"/>
        <v>1</v>
      </c>
      <c r="J55" s="6">
        <f t="shared" ca="1" si="146"/>
        <v>0.9590491322876582</v>
      </c>
      <c r="K55" s="6">
        <f t="shared" ca="1" si="146"/>
        <v>0.72264255220884188</v>
      </c>
      <c r="L55" s="6">
        <f t="shared" ca="1" si="146"/>
        <v>0.74950292896524229</v>
      </c>
      <c r="M55" s="6">
        <f t="shared" ca="1" si="146"/>
        <v>0.80949929941043963</v>
      </c>
      <c r="N55" s="6">
        <f t="shared" ca="1" si="146"/>
        <v>0.7972480253409403</v>
      </c>
      <c r="O55" s="6">
        <f t="shared" ca="1" si="146"/>
        <v>0.87457537004467645</v>
      </c>
      <c r="Q55" s="6">
        <f t="shared" si="144"/>
        <v>1</v>
      </c>
      <c r="R55" s="22">
        <f t="shared" ref="R55:AD55" ca="1" si="147">R28/$AG28</f>
        <v>0.43176414684671627</v>
      </c>
      <c r="S55" s="22">
        <f t="shared" ca="1" si="147"/>
        <v>0.27025189844307834</v>
      </c>
      <c r="T55" s="22">
        <f t="shared" ca="1" si="147"/>
        <v>0.35447163534746678</v>
      </c>
      <c r="U55" s="22">
        <f t="shared" ca="1" si="147"/>
        <v>0.41651406403502456</v>
      </c>
      <c r="V55" s="22">
        <f t="shared" ca="1" si="147"/>
        <v>0.55235048146657639</v>
      </c>
      <c r="W55" s="22">
        <f t="shared" ca="1" si="147"/>
        <v>0.59740476163882184</v>
      </c>
      <c r="X55" s="22">
        <f t="shared" ca="1" si="147"/>
        <v>0.68992035821635722</v>
      </c>
      <c r="Y55" s="22">
        <f t="shared" ca="1" si="147"/>
        <v>0.70117715839870987</v>
      </c>
      <c r="Z55" s="22">
        <f t="shared" ca="1" si="147"/>
        <v>0.85399133859346432</v>
      </c>
      <c r="AA55" s="22">
        <f t="shared" ca="1" si="147"/>
        <v>1</v>
      </c>
      <c r="AB55" s="22">
        <f t="shared" ca="1" si="147"/>
        <v>0.99122521122492269</v>
      </c>
      <c r="AC55" s="22">
        <f t="shared" ca="1" si="147"/>
        <v>0.78349814672068863</v>
      </c>
      <c r="AD55" s="22">
        <f t="shared" ca="1" si="147"/>
        <v>0.93481234050527062</v>
      </c>
    </row>
    <row r="56" spans="1:30" x14ac:dyDescent="0.2">
      <c r="A56" s="12">
        <v>0</v>
      </c>
      <c r="B56" s="13">
        <f>A12</f>
        <v>5</v>
      </c>
      <c r="C56" s="6">
        <f t="shared" ref="C56:O56" ca="1" si="148">C12/C$63</f>
        <v>0.61316261607192712</v>
      </c>
      <c r="D56" s="6">
        <f t="shared" ca="1" si="148"/>
        <v>0.77841586190305068</v>
      </c>
      <c r="E56" s="6">
        <f t="shared" ca="1" si="148"/>
        <v>0.7292917402973369</v>
      </c>
      <c r="F56" s="6">
        <f t="shared" ca="1" si="148"/>
        <v>0.5359642124312276</v>
      </c>
      <c r="G56" s="6">
        <f t="shared" ca="1" si="148"/>
        <v>0.48776432048424362</v>
      </c>
      <c r="H56" s="6">
        <f t="shared" ca="1" si="148"/>
        <v>0.27225000995751086</v>
      </c>
      <c r="I56" s="6">
        <f t="shared" ca="1" si="148"/>
        <v>0.12242615030658853</v>
      </c>
      <c r="J56" s="6">
        <f t="shared" ca="1" si="148"/>
        <v>0.2350730717525327</v>
      </c>
      <c r="K56" s="6">
        <f t="shared" ca="1" si="148"/>
        <v>0.16806293144229692</v>
      </c>
      <c r="L56" s="6">
        <f t="shared" ca="1" si="148"/>
        <v>0.29484156008315482</v>
      </c>
      <c r="M56" s="6">
        <f t="shared" ca="1" si="148"/>
        <v>0.43895535236511862</v>
      </c>
      <c r="N56" s="6">
        <f t="shared" ca="1" si="148"/>
        <v>0.28761627491726671</v>
      </c>
      <c r="O56" s="6">
        <f t="shared" ca="1" si="148"/>
        <v>0.40011668209136536</v>
      </c>
      <c r="Q56" s="6">
        <f t="shared" si="144"/>
        <v>2</v>
      </c>
      <c r="R56" s="22">
        <f t="shared" ref="R56:AD56" ca="1" si="149">R29/$AG29</f>
        <v>0.4143808002130574</v>
      </c>
      <c r="S56" s="22">
        <f t="shared" ca="1" si="149"/>
        <v>0.55056479233009303</v>
      </c>
      <c r="T56" s="22">
        <f t="shared" ca="1" si="149"/>
        <v>0.41621931936051448</v>
      </c>
      <c r="U56" s="22">
        <f t="shared" ca="1" si="149"/>
        <v>0.60041749904552899</v>
      </c>
      <c r="V56" s="22">
        <f t="shared" ca="1" si="149"/>
        <v>0.71525163722490637</v>
      </c>
      <c r="W56" s="22">
        <f t="shared" ca="1" si="149"/>
        <v>0.87339728180414922</v>
      </c>
      <c r="X56" s="22">
        <f t="shared" ca="1" si="149"/>
        <v>0.75657507137720303</v>
      </c>
      <c r="Y56" s="22">
        <f t="shared" ca="1" si="149"/>
        <v>0.80004048058756316</v>
      </c>
      <c r="Z56" s="22">
        <f t="shared" ca="1" si="149"/>
        <v>1</v>
      </c>
      <c r="AA56" s="22">
        <f t="shared" ca="1" si="149"/>
        <v>0.99205488488662119</v>
      </c>
      <c r="AB56" s="22">
        <f t="shared" ca="1" si="149"/>
        <v>0.85162661179671828</v>
      </c>
      <c r="AC56" s="22">
        <f t="shared" ca="1" si="149"/>
        <v>0.8828539938397888</v>
      </c>
      <c r="AD56" s="22">
        <f t="shared" ca="1" si="149"/>
        <v>0.92309502150378653</v>
      </c>
    </row>
    <row r="57" spans="1:30" x14ac:dyDescent="0.2">
      <c r="A57" s="12">
        <v>0</v>
      </c>
      <c r="B57" s="13">
        <f>A14</f>
        <v>6</v>
      </c>
      <c r="C57" s="6">
        <f t="shared" ref="C57:O57" ca="1" si="150">C14/C$63</f>
        <v>0.54941279347497329</v>
      </c>
      <c r="D57" s="6">
        <f t="shared" ca="1" si="150"/>
        <v>0.34019823316339071</v>
      </c>
      <c r="E57" s="6">
        <f t="shared" ca="1" si="150"/>
        <v>0.39701715708652341</v>
      </c>
      <c r="F57" s="6">
        <f t="shared" ca="1" si="150"/>
        <v>0.32931804081091259</v>
      </c>
      <c r="G57" s="6">
        <f t="shared" ca="1" si="150"/>
        <v>0.42696654565186237</v>
      </c>
      <c r="H57" s="6">
        <f t="shared" ca="1" si="150"/>
        <v>0.35952196674419962</v>
      </c>
      <c r="I57" s="6">
        <f t="shared" ca="1" si="150"/>
        <v>0.26984292888265321</v>
      </c>
      <c r="J57" s="6">
        <f t="shared" ca="1" si="150"/>
        <v>0.17999847124423793</v>
      </c>
      <c r="K57" s="6">
        <f t="shared" ca="1" si="150"/>
        <v>0.24582092548875425</v>
      </c>
      <c r="L57" s="6">
        <f t="shared" ca="1" si="150"/>
        <v>0.27074730284987231</v>
      </c>
      <c r="M57" s="6">
        <f t="shared" ca="1" si="150"/>
        <v>0.39207135807979421</v>
      </c>
      <c r="N57" s="6">
        <f t="shared" ca="1" si="150"/>
        <v>0.46218259720049548</v>
      </c>
      <c r="O57" s="6">
        <f t="shared" ca="1" si="150"/>
        <v>0.33269903539769247</v>
      </c>
      <c r="P57" s="14"/>
      <c r="Q57" s="6">
        <f t="shared" si="144"/>
        <v>3</v>
      </c>
      <c r="R57" s="22">
        <f t="shared" ref="R57:AD57" ca="1" si="151">R30/$AG30</f>
        <v>0.69999580125646665</v>
      </c>
      <c r="S57" s="22">
        <f t="shared" ca="1" si="151"/>
        <v>0.60556745169775872</v>
      </c>
      <c r="T57" s="22">
        <f t="shared" ca="1" si="151"/>
        <v>0.81574219238303503</v>
      </c>
      <c r="U57" s="22">
        <f t="shared" ca="1" si="151"/>
        <v>0.95857491060044953</v>
      </c>
      <c r="V57" s="22">
        <f t="shared" ca="1" si="151"/>
        <v>0.67628340397600206</v>
      </c>
      <c r="W57" s="22">
        <f t="shared" ca="1" si="151"/>
        <v>0.67985462951683584</v>
      </c>
      <c r="X57" s="22">
        <f t="shared" ca="1" si="151"/>
        <v>0.8712514853960599</v>
      </c>
      <c r="Y57" s="22">
        <f t="shared" ca="1" si="151"/>
        <v>0.97622861805957706</v>
      </c>
      <c r="Z57" s="22">
        <f t="shared" ca="1" si="151"/>
        <v>0.80963847426239133</v>
      </c>
      <c r="AA57" s="22">
        <f t="shared" ca="1" si="151"/>
        <v>1</v>
      </c>
      <c r="AB57" s="22">
        <f t="shared" ca="1" si="151"/>
        <v>0.99220153772133723</v>
      </c>
      <c r="AC57" s="22">
        <f t="shared" ca="1" si="151"/>
        <v>0.85719460999979236</v>
      </c>
      <c r="AD57" s="22">
        <f t="shared" ca="1" si="151"/>
        <v>0.52922390389535634</v>
      </c>
    </row>
    <row r="58" spans="1:30" x14ac:dyDescent="0.2">
      <c r="A58" s="12">
        <v>0</v>
      </c>
      <c r="B58" s="13">
        <f>A16</f>
        <v>7</v>
      </c>
      <c r="C58" s="6">
        <f t="shared" ref="C58:O58" ca="1" si="152">C16/C$63</f>
        <v>0.60004566269026671</v>
      </c>
      <c r="D58" s="6">
        <f t="shared" ca="1" si="152"/>
        <v>0.63347650322683646</v>
      </c>
      <c r="E58" s="6">
        <f t="shared" ca="1" si="152"/>
        <v>0.67031975403382149</v>
      </c>
      <c r="F58" s="6">
        <f t="shared" ca="1" si="152"/>
        <v>0.46021365415415733</v>
      </c>
      <c r="G58" s="6">
        <f t="shared" ca="1" si="152"/>
        <v>0.4116734570510589</v>
      </c>
      <c r="H58" s="6">
        <f t="shared" ca="1" si="152"/>
        <v>0.21506411083456262</v>
      </c>
      <c r="I58" s="6">
        <f t="shared" ca="1" si="152"/>
        <v>0.31420334806802219</v>
      </c>
      <c r="J58" s="6">
        <f t="shared" ca="1" si="152"/>
        <v>0.29746977325793805</v>
      </c>
      <c r="K58" s="6">
        <f t="shared" ca="1" si="152"/>
        <v>0.35794748901145551</v>
      </c>
      <c r="L58" s="6">
        <f t="shared" ca="1" si="152"/>
        <v>0.28404102946170701</v>
      </c>
      <c r="M58" s="6">
        <f t="shared" ca="1" si="152"/>
        <v>0.45842215466426495</v>
      </c>
      <c r="N58" s="6">
        <f t="shared" ca="1" si="152"/>
        <v>0.56215772898778571</v>
      </c>
      <c r="O58" s="6">
        <f t="shared" ca="1" si="152"/>
        <v>0.38958025513204997</v>
      </c>
      <c r="P58" s="15"/>
      <c r="Q58" s="6">
        <f t="shared" si="144"/>
        <v>4</v>
      </c>
      <c r="R58" s="22">
        <f t="shared" ref="R58:AD58" ca="1" si="153">R31/$AG31</f>
        <v>0.44472540709004532</v>
      </c>
      <c r="S58" s="22">
        <f t="shared" ca="1" si="153"/>
        <v>0.33270538367633129</v>
      </c>
      <c r="T58" s="22">
        <f t="shared" ca="1" si="153"/>
        <v>0.53471437218016116</v>
      </c>
      <c r="U58" s="22">
        <f t="shared" ca="1" si="153"/>
        <v>0.6647957422736277</v>
      </c>
      <c r="V58" s="22">
        <f t="shared" ca="1" si="153"/>
        <v>0.74145481669850888</v>
      </c>
      <c r="W58" s="22">
        <f t="shared" ca="1" si="153"/>
        <v>0.80375815850815457</v>
      </c>
      <c r="X58" s="22">
        <f t="shared" ca="1" si="153"/>
        <v>0.95680742856784429</v>
      </c>
      <c r="Y58" s="22">
        <f t="shared" ca="1" si="153"/>
        <v>0.9504059960614033</v>
      </c>
      <c r="Z58" s="22">
        <f t="shared" ca="1" si="153"/>
        <v>0.8951171536582313</v>
      </c>
      <c r="AA58" s="22">
        <f t="shared" ca="1" si="153"/>
        <v>0.92101220009027407</v>
      </c>
      <c r="AB58" s="22">
        <f t="shared" ca="1" si="153"/>
        <v>0.8971596628420333</v>
      </c>
      <c r="AC58" s="22">
        <f t="shared" ca="1" si="153"/>
        <v>0.87184380716340382</v>
      </c>
      <c r="AD58" s="22">
        <f t="shared" ca="1" si="153"/>
        <v>1</v>
      </c>
    </row>
    <row r="59" spans="1:30" x14ac:dyDescent="0.2">
      <c r="A59" s="12">
        <v>0</v>
      </c>
      <c r="B59" s="13">
        <f>A18</f>
        <v>8</v>
      </c>
      <c r="C59" s="6">
        <f t="shared" ref="C59:O59" ca="1" si="154">C18/C$63</f>
        <v>0.71501287720173845</v>
      </c>
      <c r="D59" s="6">
        <f t="shared" ca="1" si="154"/>
        <v>0.59673294603231053</v>
      </c>
      <c r="E59" s="6">
        <f t="shared" ca="1" si="154"/>
        <v>0.25861097852607318</v>
      </c>
      <c r="F59" s="6">
        <f t="shared" ca="1" si="154"/>
        <v>0.21106555708262223</v>
      </c>
      <c r="G59" s="6">
        <f t="shared" ca="1" si="154"/>
        <v>0.11696464362301201</v>
      </c>
      <c r="H59" s="6">
        <f t="shared" ca="1" si="154"/>
        <v>-9.2790732965361333E-2</v>
      </c>
      <c r="I59" s="6">
        <f t="shared" ca="1" si="154"/>
        <v>-0.11461011706119779</v>
      </c>
      <c r="J59" s="6">
        <f t="shared" ca="1" si="154"/>
        <v>-0.16172911891961378</v>
      </c>
      <c r="K59" s="6">
        <f t="shared" ca="1" si="154"/>
        <v>-0.10824934461003902</v>
      </c>
      <c r="L59" s="6">
        <f t="shared" ca="1" si="154"/>
        <v>-5.6871557585719164E-2</v>
      </c>
      <c r="M59" s="6">
        <f t="shared" ca="1" si="154"/>
        <v>3.4785640990432277E-2</v>
      </c>
      <c r="N59" s="6">
        <f t="shared" ca="1" si="154"/>
        <v>-1.3469150334781708E-2</v>
      </c>
      <c r="O59" s="6">
        <f t="shared" ca="1" si="154"/>
        <v>0.10826686935930206</v>
      </c>
      <c r="Q59" s="6">
        <f t="shared" si="144"/>
        <v>5</v>
      </c>
      <c r="R59" s="22">
        <f t="shared" ref="R59:AD59" ca="1" si="155">R32/$AG32</f>
        <v>0.57659870487706277</v>
      </c>
      <c r="S59" s="22">
        <f t="shared" ca="1" si="155"/>
        <v>0.84865197074676257</v>
      </c>
      <c r="T59" s="22">
        <f t="shared" ca="1" si="155"/>
        <v>1</v>
      </c>
      <c r="U59" s="22">
        <f t="shared" ca="1" si="155"/>
        <v>0.76351482155205752</v>
      </c>
      <c r="V59" s="22">
        <f t="shared" ca="1" si="155"/>
        <v>0.69084147214687019</v>
      </c>
      <c r="W59" s="22">
        <f t="shared" ca="1" si="155"/>
        <v>0.47085723908401073</v>
      </c>
      <c r="X59" s="22">
        <f t="shared" ca="1" si="155"/>
        <v>0.18726296458450445</v>
      </c>
      <c r="Y59" s="22">
        <f t="shared" ca="1" si="155"/>
        <v>0.37241259115498238</v>
      </c>
      <c r="Z59" s="22">
        <f t="shared" ca="1" si="155"/>
        <v>0.33279856574156674</v>
      </c>
      <c r="AA59" s="22">
        <f t="shared" ca="1" si="155"/>
        <v>0.57920714672868423</v>
      </c>
      <c r="AB59" s="22">
        <f t="shared" ca="1" si="155"/>
        <v>0.77772627835079655</v>
      </c>
      <c r="AC59" s="22">
        <f t="shared" ca="1" si="155"/>
        <v>0.50281920224923549</v>
      </c>
      <c r="AD59" s="22">
        <f t="shared" ca="1" si="155"/>
        <v>0.7313791560802273</v>
      </c>
    </row>
    <row r="60" spans="1:30" x14ac:dyDescent="0.2">
      <c r="A60" s="12">
        <v>0</v>
      </c>
      <c r="B60" s="13">
        <f>A20</f>
        <v>9</v>
      </c>
      <c r="C60" s="6">
        <f t="shared" ref="C60:O60" ca="1" si="156">C20/C$63</f>
        <v>0.66367283193501192</v>
      </c>
      <c r="D60" s="6">
        <f t="shared" ca="1" si="156"/>
        <v>0.42485558208194285</v>
      </c>
      <c r="E60" s="6">
        <f t="shared" ca="1" si="156"/>
        <v>0.13216191438485173</v>
      </c>
      <c r="F60" s="6">
        <f t="shared" ca="1" si="156"/>
        <v>0.32089808093939848</v>
      </c>
      <c r="G60" s="6">
        <f t="shared" ca="1" si="156"/>
        <v>0.31232884025943292</v>
      </c>
      <c r="H60" s="6">
        <f t="shared" ca="1" si="156"/>
        <v>0.20340652494311839</v>
      </c>
      <c r="I60" s="6">
        <f t="shared" ca="1" si="156"/>
        <v>0.21799299372699962</v>
      </c>
      <c r="J60" s="6">
        <f t="shared" ca="1" si="156"/>
        <v>0.22636504664102641</v>
      </c>
      <c r="K60" s="6">
        <f t="shared" ca="1" si="156"/>
        <v>0.28372022404850705</v>
      </c>
      <c r="L60" s="6">
        <f t="shared" ca="1" si="156"/>
        <v>0.24434093382923142</v>
      </c>
      <c r="M60" s="6">
        <f t="shared" ca="1" si="156"/>
        <v>0.33623815274776409</v>
      </c>
      <c r="N60" s="6">
        <f t="shared" ca="1" si="156"/>
        <v>0.24626938049569586</v>
      </c>
      <c r="O60" s="6">
        <f t="shared" ca="1" si="156"/>
        <v>0.23486201603724233</v>
      </c>
      <c r="Q60" s="6">
        <f t="shared" si="144"/>
        <v>6</v>
      </c>
      <c r="R60" s="22">
        <f t="shared" ref="R60:AD60" ca="1" si="157">R33/$AG33</f>
        <v>0.63941787951546292</v>
      </c>
      <c r="S60" s="22">
        <f t="shared" ca="1" si="157"/>
        <v>0.45902677069196302</v>
      </c>
      <c r="T60" s="22">
        <f t="shared" ca="1" si="157"/>
        <v>0.67374568077192176</v>
      </c>
      <c r="U60" s="22">
        <f t="shared" ca="1" si="157"/>
        <v>0.580610943281061</v>
      </c>
      <c r="V60" s="22">
        <f t="shared" ca="1" si="157"/>
        <v>0.74842835643915195</v>
      </c>
      <c r="W60" s="22">
        <f t="shared" ca="1" si="157"/>
        <v>0.7695463667482888</v>
      </c>
      <c r="X60" s="22">
        <f t="shared" ca="1" si="157"/>
        <v>0.51083042629699948</v>
      </c>
      <c r="Y60" s="22">
        <f t="shared" ca="1" si="157"/>
        <v>0.35292165235457584</v>
      </c>
      <c r="Z60" s="22">
        <f t="shared" ca="1" si="157"/>
        <v>0.60244357171398244</v>
      </c>
      <c r="AA60" s="22">
        <f t="shared" ca="1" si="157"/>
        <v>0.65825984640697066</v>
      </c>
      <c r="AB60" s="22">
        <f t="shared" ca="1" si="157"/>
        <v>0.85972499902977961</v>
      </c>
      <c r="AC60" s="22">
        <f t="shared" ca="1" si="157"/>
        <v>1</v>
      </c>
      <c r="AD60" s="22">
        <f t="shared" ca="1" si="157"/>
        <v>0.75265417612771524</v>
      </c>
    </row>
    <row r="61" spans="1:30" x14ac:dyDescent="0.2">
      <c r="B61" s="13"/>
      <c r="Q61" s="6">
        <f t="shared" si="144"/>
        <v>7</v>
      </c>
      <c r="R61" s="22">
        <f t="shared" ref="R61:AD61" ca="1" si="158">R34/$AG34</f>
        <v>0.5741504524722848</v>
      </c>
      <c r="S61" s="22">
        <f t="shared" ca="1" si="158"/>
        <v>0.70273546918923313</v>
      </c>
      <c r="T61" s="22">
        <f t="shared" ca="1" si="158"/>
        <v>0.93524229635103473</v>
      </c>
      <c r="U61" s="22">
        <f t="shared" ca="1" si="158"/>
        <v>0.66709025498641228</v>
      </c>
      <c r="V61" s="22">
        <f t="shared" ca="1" si="158"/>
        <v>0.59328675779133688</v>
      </c>
      <c r="W61" s="22">
        <f t="shared" ca="1" si="158"/>
        <v>0.37847108632972187</v>
      </c>
      <c r="X61" s="22">
        <f t="shared" ca="1" si="158"/>
        <v>0.48902597324408259</v>
      </c>
      <c r="Y61" s="22">
        <f t="shared" ca="1" si="158"/>
        <v>0.47952111164595768</v>
      </c>
      <c r="Z61" s="22">
        <f t="shared" ca="1" si="158"/>
        <v>0.72122745077742378</v>
      </c>
      <c r="AA61" s="22">
        <f t="shared" ca="1" si="158"/>
        <v>0.56776642371138042</v>
      </c>
      <c r="AB61" s="22">
        <f t="shared" ca="1" si="158"/>
        <v>0.8264478211852424</v>
      </c>
      <c r="AC61" s="22">
        <f t="shared" ca="1" si="158"/>
        <v>1</v>
      </c>
      <c r="AD61" s="22">
        <f t="shared" ca="1" si="158"/>
        <v>0.72459657068215411</v>
      </c>
    </row>
    <row r="62" spans="1:30" x14ac:dyDescent="0.2">
      <c r="B62" s="13" t="s">
        <v>20</v>
      </c>
      <c r="C62" s="14">
        <f t="shared" ref="C62:O62" ca="1" si="159">MIN(C2,C4,C6,C8,C10,C12,C14,C16,C18,C20)</f>
        <v>567.28129929494003</v>
      </c>
      <c r="D62" s="14">
        <f t="shared" ca="1" si="159"/>
        <v>407.24119739445001</v>
      </c>
      <c r="E62" s="14">
        <f t="shared" ca="1" si="159"/>
        <v>198.97876492246999</v>
      </c>
      <c r="F62" s="14">
        <f t="shared" ca="1" si="159"/>
        <v>330.14198150380997</v>
      </c>
      <c r="G62" s="14">
        <f t="shared" ca="1" si="159"/>
        <v>181.89664086581999</v>
      </c>
      <c r="H62" s="14">
        <f t="shared" ca="1" si="159"/>
        <v>-176.20882598456001</v>
      </c>
      <c r="I62" s="14">
        <f t="shared" ca="1" si="159"/>
        <v>-192.48742474679</v>
      </c>
      <c r="J62" s="14">
        <f t="shared" ca="1" si="159"/>
        <v>-281.32698963769002</v>
      </c>
      <c r="K62" s="14">
        <f t="shared" ca="1" si="159"/>
        <v>-235.36207922260999</v>
      </c>
      <c r="L62" s="14">
        <f t="shared" ca="1" si="159"/>
        <v>-122.67103770564999</v>
      </c>
      <c r="M62" s="14">
        <f t="shared" ca="1" si="159"/>
        <v>67.671864115139996</v>
      </c>
      <c r="N62" s="14">
        <f t="shared" ca="1" si="159"/>
        <v>-25.854747614779999</v>
      </c>
      <c r="O62" s="14">
        <f t="shared" ca="1" si="159"/>
        <v>217.29673658327999</v>
      </c>
      <c r="Q62" s="6">
        <f t="shared" si="144"/>
        <v>8</v>
      </c>
      <c r="R62" s="22">
        <f t="shared" ref="R62:AD62" ca="1" si="160">R35/$AG35</f>
        <v>1</v>
      </c>
      <c r="S62" s="22">
        <f t="shared" ca="1" si="160"/>
        <v>0.9675782686461587</v>
      </c>
      <c r="T62" s="22">
        <f t="shared" ca="1" si="160"/>
        <v>0.52739232476931464</v>
      </c>
      <c r="U62" s="22">
        <f t="shared" ca="1" si="160"/>
        <v>0.44718496257971718</v>
      </c>
      <c r="V62" s="22">
        <f t="shared" ca="1" si="160"/>
        <v>0.24638321418089404</v>
      </c>
      <c r="W62" s="22">
        <f t="shared" ca="1" si="160"/>
        <v>-0.23867893715059685</v>
      </c>
      <c r="X62" s="22">
        <f t="shared" ca="1" si="160"/>
        <v>-0.26072867631184932</v>
      </c>
      <c r="Y62" s="22">
        <f t="shared" ca="1" si="160"/>
        <v>-0.3810639251656126</v>
      </c>
      <c r="Z62" s="22">
        <f t="shared" ca="1" si="160"/>
        <v>-0.31880338910679451</v>
      </c>
      <c r="AA62" s="22">
        <f t="shared" ca="1" si="160"/>
        <v>-0.166160762579003</v>
      </c>
      <c r="AB62" s="22">
        <f t="shared" ca="1" si="160"/>
        <v>9.166310774589978E-2</v>
      </c>
      <c r="AC62" s="22">
        <f t="shared" ca="1" si="160"/>
        <v>-3.502085463944548E-2</v>
      </c>
      <c r="AD62" s="22">
        <f t="shared" ca="1" si="160"/>
        <v>0.29433346396925081</v>
      </c>
    </row>
    <row r="63" spans="1:30" x14ac:dyDescent="0.2">
      <c r="B63" s="13" t="s">
        <v>19</v>
      </c>
      <c r="C63" s="15">
        <f t="shared" ref="C63:O63" ca="1" si="161">MAX(C2,C4,C6,C8,C10,C12,C14,C16,C18,C20)</f>
        <v>1032.5229154329488</v>
      </c>
      <c r="D63" s="15">
        <f t="shared" ca="1" si="161"/>
        <v>1197.0702893064699</v>
      </c>
      <c r="E63" s="15">
        <f t="shared" ca="1" si="161"/>
        <v>1505.5681195949501</v>
      </c>
      <c r="F63" s="15">
        <f t="shared" ca="1" si="161"/>
        <v>1564.1679583683799</v>
      </c>
      <c r="G63" s="15">
        <f t="shared" ca="1" si="161"/>
        <v>1555.1420944955801</v>
      </c>
      <c r="H63" s="15">
        <f t="shared" ca="1" si="161"/>
        <v>1898.9916379940501</v>
      </c>
      <c r="I63" s="15">
        <f t="shared" ca="1" si="161"/>
        <v>1679.4976716061501</v>
      </c>
      <c r="J63" s="15">
        <f t="shared" ca="1" si="161"/>
        <v>1739.4949747888099</v>
      </c>
      <c r="K63" s="15">
        <f t="shared" ca="1" si="161"/>
        <v>2174.2586993989298</v>
      </c>
      <c r="L63" s="15">
        <f t="shared" ca="1" si="161"/>
        <v>2156.9839637459399</v>
      </c>
      <c r="M63" s="15">
        <f t="shared" ca="1" si="161"/>
        <v>1945.39649661057</v>
      </c>
      <c r="N63" s="15">
        <f t="shared" ca="1" si="161"/>
        <v>1919.5529764052501</v>
      </c>
      <c r="O63" s="15">
        <f t="shared" ca="1" si="161"/>
        <v>2007.04738087645</v>
      </c>
      <c r="Q63" s="6">
        <f t="shared" si="144"/>
        <v>9</v>
      </c>
      <c r="R63" s="22">
        <f t="shared" ref="R63:AD63" ca="1" si="162">R36/$AG36</f>
        <v>1</v>
      </c>
      <c r="S63" s="22">
        <f t="shared" ca="1" si="162"/>
        <v>0.74217657353456867</v>
      </c>
      <c r="T63" s="22">
        <f t="shared" ca="1" si="162"/>
        <v>0.29037083407786929</v>
      </c>
      <c r="U63" s="22">
        <f t="shared" ca="1" si="162"/>
        <v>0.732481678772407</v>
      </c>
      <c r="V63" s="22">
        <f t="shared" ca="1" si="162"/>
        <v>0.70880770002878279</v>
      </c>
      <c r="W63" s="22">
        <f t="shared" ca="1" si="162"/>
        <v>0.56368203517753324</v>
      </c>
      <c r="X63" s="22">
        <f t="shared" ca="1" si="162"/>
        <v>0.5342791212153678</v>
      </c>
      <c r="Y63" s="22">
        <f t="shared" ca="1" si="162"/>
        <v>0.57461744578296126</v>
      </c>
      <c r="Z63" s="22">
        <f t="shared" ca="1" si="162"/>
        <v>0.90021816435753965</v>
      </c>
      <c r="AA63" s="22">
        <f t="shared" ca="1" si="162"/>
        <v>0.76911168025915033</v>
      </c>
      <c r="AB63" s="22">
        <f t="shared" ca="1" si="162"/>
        <v>0.95455593386065596</v>
      </c>
      <c r="AC63" s="22">
        <f t="shared" ca="1" si="162"/>
        <v>0.68985335623675093</v>
      </c>
      <c r="AD63" s="22">
        <f t="shared" ca="1" si="162"/>
        <v>0.68788631705019843</v>
      </c>
    </row>
    <row r="65" spans="3:30" x14ac:dyDescent="0.2">
      <c r="Q65" s="20" t="s">
        <v>30</v>
      </c>
    </row>
    <row r="66" spans="3:30" x14ac:dyDescent="0.2">
      <c r="Q66" s="23" t="str">
        <f>Q26</f>
        <v>Step</v>
      </c>
      <c r="R66" s="12">
        <v>0</v>
      </c>
      <c r="S66" s="12">
        <f>R66+1</f>
        <v>1</v>
      </c>
      <c r="T66" s="12">
        <f t="shared" ref="T66:AD66" si="163">S66+1</f>
        <v>2</v>
      </c>
      <c r="U66" s="12">
        <f t="shared" si="163"/>
        <v>3</v>
      </c>
      <c r="V66" s="12">
        <f t="shared" si="163"/>
        <v>4</v>
      </c>
      <c r="W66" s="12">
        <f t="shared" si="163"/>
        <v>5</v>
      </c>
      <c r="X66" s="12">
        <f t="shared" si="163"/>
        <v>6</v>
      </c>
      <c r="Y66" s="12">
        <f t="shared" si="163"/>
        <v>7</v>
      </c>
      <c r="Z66" s="12">
        <f t="shared" si="163"/>
        <v>8</v>
      </c>
      <c r="AA66" s="12">
        <f t="shared" si="163"/>
        <v>9</v>
      </c>
      <c r="AB66" s="12">
        <f t="shared" si="163"/>
        <v>10</v>
      </c>
      <c r="AC66" s="12">
        <f t="shared" si="163"/>
        <v>11</v>
      </c>
      <c r="AD66" s="12">
        <f t="shared" si="163"/>
        <v>12</v>
      </c>
    </row>
    <row r="67" spans="3:30" x14ac:dyDescent="0.2">
      <c r="Q67" s="23">
        <f>A2</f>
        <v>0</v>
      </c>
      <c r="R67" s="22">
        <f ca="1">1*(R$66+R42*20/76*2/3)</f>
        <v>0.17543859649122806</v>
      </c>
      <c r="S67" s="22">
        <f t="shared" ref="S67:AD67" ca="1" si="164">1*(S$66+S42*20/76*2/3)</f>
        <v>1.1655318483808377</v>
      </c>
      <c r="T67" s="22">
        <f t="shared" ca="1" si="164"/>
        <v>2.1754385964912282</v>
      </c>
      <c r="U67" s="22">
        <f t="shared" ca="1" si="164"/>
        <v>3.1754385964912282</v>
      </c>
      <c r="V67" s="22">
        <f t="shared" ca="1" si="164"/>
        <v>4.1217767693688661</v>
      </c>
      <c r="W67" s="22">
        <f t="shared" ca="1" si="164"/>
        <v>5.0567708173829855</v>
      </c>
      <c r="X67" s="22">
        <f t="shared" ca="1" si="164"/>
        <v>6.0945918572923068</v>
      </c>
      <c r="Y67" s="22">
        <f t="shared" ca="1" si="164"/>
        <v>7.0560944702336581</v>
      </c>
      <c r="Z67" s="22">
        <f t="shared" ca="1" si="164"/>
        <v>8.0833555064965026</v>
      </c>
      <c r="AA67" s="22">
        <f t="shared" ca="1" si="164"/>
        <v>9.1176030274680606</v>
      </c>
      <c r="AB67" s="22">
        <f t="shared" ca="1" si="164"/>
        <v>10.159176156843865</v>
      </c>
      <c r="AC67" s="22">
        <f t="shared" ca="1" si="164"/>
        <v>11.134413918783764</v>
      </c>
      <c r="AD67" s="22">
        <f t="shared" ca="1" si="164"/>
        <v>12.115785201206787</v>
      </c>
    </row>
    <row r="68" spans="3:30" ht="15" x14ac:dyDescent="0.25">
      <c r="C68" s="16"/>
      <c r="Q68" s="23">
        <f>A4</f>
        <v>1</v>
      </c>
      <c r="R68" s="22">
        <f t="shared" ref="R68:AD68" ca="1" si="165">1*(R$66+R43*20/76*2/3)</f>
        <v>0.1439818705572162</v>
      </c>
      <c r="S68" s="22">
        <f t="shared" ca="1" si="165"/>
        <v>1.0777338245369446</v>
      </c>
      <c r="T68" s="22">
        <f t="shared" ca="1" si="165"/>
        <v>2.0810666101502466</v>
      </c>
      <c r="U68" s="22">
        <f t="shared" ca="1" si="165"/>
        <v>3.0916868852737212</v>
      </c>
      <c r="V68" s="22">
        <f t="shared" ca="1" si="165"/>
        <v>4.1222941250241423</v>
      </c>
      <c r="W68" s="22">
        <f t="shared" ca="1" si="165"/>
        <v>5.1083194788123549</v>
      </c>
      <c r="X68" s="22">
        <f t="shared" ca="1" si="165"/>
        <v>6.141442683870352</v>
      </c>
      <c r="Y68" s="22">
        <f t="shared" ca="1" si="165"/>
        <v>7.138792345723453</v>
      </c>
      <c r="Z68" s="22">
        <f t="shared" ca="1" si="165"/>
        <v>8.1352393839618866</v>
      </c>
      <c r="AA68" s="22">
        <f t="shared" ca="1" si="165"/>
        <v>9.1596298177878843</v>
      </c>
      <c r="AB68" s="22">
        <f t="shared" ca="1" si="165"/>
        <v>10.175438596491228</v>
      </c>
      <c r="AC68" s="22">
        <f t="shared" ca="1" si="165"/>
        <v>11.140539629845023</v>
      </c>
      <c r="AD68" s="22">
        <f t="shared" ca="1" si="165"/>
        <v>12.160371704842518</v>
      </c>
    </row>
    <row r="69" spans="3:30" ht="15" x14ac:dyDescent="0.25">
      <c r="C69" s="16"/>
      <c r="Q69" s="23">
        <f>A6</f>
        <v>2</v>
      </c>
      <c r="R69" s="22">
        <f t="shared" ref="R69:AD69" ca="1" si="166">1*(R$66+R44*20/76*2/3)</f>
        <v>0.15308628586849674</v>
      </c>
      <c r="S69" s="22">
        <f t="shared" ca="1" si="166"/>
        <v>1.1754385964912282</v>
      </c>
      <c r="T69" s="22">
        <f t="shared" ca="1" si="166"/>
        <v>2.1054528169319977</v>
      </c>
      <c r="U69" s="22">
        <f t="shared" ca="1" si="166"/>
        <v>3.146421993944414</v>
      </c>
      <c r="V69" s="22">
        <f t="shared" ca="1" si="166"/>
        <v>4.1754385964912277</v>
      </c>
      <c r="W69" s="22">
        <f t="shared" ca="1" si="166"/>
        <v>5.1754385964912277</v>
      </c>
      <c r="X69" s="22">
        <f t="shared" ca="1" si="166"/>
        <v>6.1718339534263889</v>
      </c>
      <c r="Y69" s="22">
        <f t="shared" ca="1" si="166"/>
        <v>7.1754385964912277</v>
      </c>
      <c r="Z69" s="22">
        <f t="shared" ca="1" si="166"/>
        <v>8.1754385964912277</v>
      </c>
      <c r="AA69" s="22">
        <f t="shared" ca="1" si="166"/>
        <v>9.1754385964912277</v>
      </c>
      <c r="AB69" s="22">
        <f t="shared" ca="1" si="166"/>
        <v>10.166984997800972</v>
      </c>
      <c r="AC69" s="22">
        <f t="shared" ca="1" si="166"/>
        <v>11.175438596491228</v>
      </c>
      <c r="AD69" s="22">
        <f t="shared" ca="1" si="166"/>
        <v>12.175438596491228</v>
      </c>
    </row>
    <row r="70" spans="3:30" ht="15" x14ac:dyDescent="0.25">
      <c r="C70" s="16"/>
      <c r="Q70" s="23">
        <f>A8</f>
        <v>3</v>
      </c>
      <c r="R70" s="22">
        <f t="shared" ref="R70:AD70" ca="1" si="167">1*(R$66+R45*20/76*2/3)</f>
        <v>0.13748949784890632</v>
      </c>
      <c r="S70" s="22">
        <f t="shared" ca="1" si="167"/>
        <v>1.1025927478869957</v>
      </c>
      <c r="T70" s="22">
        <f t="shared" ca="1" si="167"/>
        <v>2.1098819367461608</v>
      </c>
      <c r="U70" s="22">
        <f t="shared" ca="1" si="167"/>
        <v>3.1242843548597974</v>
      </c>
      <c r="V70" s="22">
        <f t="shared" ca="1" si="167"/>
        <v>4.0881926602213285</v>
      </c>
      <c r="W70" s="22">
        <f t="shared" ca="1" si="167"/>
        <v>5.0726050446218132</v>
      </c>
      <c r="X70" s="22">
        <f t="shared" ca="1" si="167"/>
        <v>6.1052053717315324</v>
      </c>
      <c r="Y70" s="22">
        <f t="shared" ca="1" si="167"/>
        <v>7.113815692759311</v>
      </c>
      <c r="Z70" s="22">
        <f t="shared" ca="1" si="167"/>
        <v>8.0755185619135386</v>
      </c>
      <c r="AA70" s="22">
        <f t="shared" ca="1" si="167"/>
        <v>9.0940214346003909</v>
      </c>
      <c r="AB70" s="22">
        <f t="shared" ca="1" si="167"/>
        <v>10.103434532558262</v>
      </c>
      <c r="AC70" s="22">
        <f t="shared" ca="1" si="167"/>
        <v>11.09056348344714</v>
      </c>
      <c r="AD70" s="22">
        <f t="shared" ca="1" si="167"/>
        <v>12.05347559392848</v>
      </c>
    </row>
    <row r="71" spans="3:30" ht="15" x14ac:dyDescent="0.25">
      <c r="C71" s="16"/>
      <c r="Q71" s="23">
        <f>A10</f>
        <v>4</v>
      </c>
      <c r="R71" s="22">
        <f t="shared" ref="R71:AD71" ca="1" si="168">1*(R$66+R46*20/76*2/3)</f>
        <v>0.13263931008543647</v>
      </c>
      <c r="S71" s="22">
        <f t="shared" ca="1" si="168"/>
        <v>1.0855894407062125</v>
      </c>
      <c r="T71" s="22">
        <f t="shared" ca="1" si="168"/>
        <v>2.109370817745662</v>
      </c>
      <c r="U71" s="22">
        <f t="shared" ca="1" si="168"/>
        <v>3.1308834867207507</v>
      </c>
      <c r="V71" s="22">
        <f t="shared" ca="1" si="168"/>
        <v>4.1468231798911832</v>
      </c>
      <c r="W71" s="22">
        <f t="shared" ca="1" si="168"/>
        <v>5.1303413917017453</v>
      </c>
      <c r="X71" s="22">
        <f t="shared" ca="1" si="168"/>
        <v>6.1754385964912277</v>
      </c>
      <c r="Y71" s="22">
        <f t="shared" ca="1" si="168"/>
        <v>7.1682542337346771</v>
      </c>
      <c r="Z71" s="22">
        <f t="shared" ca="1" si="168"/>
        <v>8.126779395124359</v>
      </c>
      <c r="AA71" s="22">
        <f t="shared" ca="1" si="168"/>
        <v>9.1314917419237265</v>
      </c>
      <c r="AB71" s="22">
        <f t="shared" ca="1" si="168"/>
        <v>10.1420174209492</v>
      </c>
      <c r="AC71" s="22">
        <f t="shared" ca="1" si="168"/>
        <v>11.139868074621218</v>
      </c>
      <c r="AD71" s="22">
        <f t="shared" ca="1" si="168"/>
        <v>12.153434275446434</v>
      </c>
    </row>
    <row r="72" spans="3:30" x14ac:dyDescent="0.2">
      <c r="Q72" s="23">
        <f>A12</f>
        <v>5</v>
      </c>
      <c r="R72" s="22">
        <f t="shared" ref="R72:AD72" ca="1" si="169">1*(R$66+R47*20/76*2/3)</f>
        <v>0.10757238878454863</v>
      </c>
      <c r="S72" s="22">
        <f t="shared" ca="1" si="169"/>
        <v>1.1365641862987808</v>
      </c>
      <c r="T72" s="22">
        <f t="shared" ca="1" si="169"/>
        <v>2.12794591935041</v>
      </c>
      <c r="U72" s="22">
        <f t="shared" ca="1" si="169"/>
        <v>3.0940288091984609</v>
      </c>
      <c r="V72" s="22">
        <f t="shared" ca="1" si="169"/>
        <v>4.0855726878042535</v>
      </c>
      <c r="W72" s="22">
        <f t="shared" ca="1" si="169"/>
        <v>5.0477631596416686</v>
      </c>
      <c r="X72" s="22">
        <f t="shared" ca="1" si="169"/>
        <v>6.0214782719836117</v>
      </c>
      <c r="Y72" s="22">
        <f t="shared" ca="1" si="169"/>
        <v>7.0412408897811458</v>
      </c>
      <c r="Z72" s="22">
        <f t="shared" ca="1" si="169"/>
        <v>8.0294847248144379</v>
      </c>
      <c r="AA72" s="22">
        <f t="shared" ca="1" si="169"/>
        <v>9.0517265894882719</v>
      </c>
      <c r="AB72" s="22">
        <f t="shared" ca="1" si="169"/>
        <v>10.077009710941249</v>
      </c>
      <c r="AC72" s="22">
        <f t="shared" ca="1" si="169"/>
        <v>11.05045899559952</v>
      </c>
      <c r="AD72" s="22">
        <f t="shared" ca="1" si="169"/>
        <v>12.070195909138835</v>
      </c>
    </row>
    <row r="73" spans="3:30" x14ac:dyDescent="0.2">
      <c r="Q73" s="23">
        <f>A14</f>
        <v>6</v>
      </c>
      <c r="R73" s="22">
        <f t="shared" ref="R73:AD73" ca="1" si="170">1*(R$66+R48*20/76*2/3)</f>
        <v>9.6388209381574261E-2</v>
      </c>
      <c r="S73" s="22">
        <f t="shared" ca="1" si="170"/>
        <v>1.0596839005549807</v>
      </c>
      <c r="T73" s="22">
        <f t="shared" ca="1" si="170"/>
        <v>2.0696521328221973</v>
      </c>
      <c r="U73" s="22">
        <f t="shared" ca="1" si="170"/>
        <v>3.0577750948791076</v>
      </c>
      <c r="V73" s="22">
        <f t="shared" ca="1" si="170"/>
        <v>4.0749064115178708</v>
      </c>
      <c r="W73" s="22">
        <f t="shared" ca="1" si="170"/>
        <v>5.063074029253368</v>
      </c>
      <c r="X73" s="22">
        <f t="shared" ca="1" si="170"/>
        <v>6.0473408647162552</v>
      </c>
      <c r="Y73" s="22">
        <f t="shared" ca="1" si="170"/>
        <v>7.0315786791656558</v>
      </c>
      <c r="Z73" s="22">
        <f t="shared" ca="1" si="170"/>
        <v>8.0431264781559211</v>
      </c>
      <c r="AA73" s="22">
        <f t="shared" ca="1" si="170"/>
        <v>9.0474995268157663</v>
      </c>
      <c r="AB73" s="22">
        <f t="shared" ca="1" si="170"/>
        <v>10.068784448785928</v>
      </c>
      <c r="AC73" s="22">
        <f t="shared" ca="1" si="170"/>
        <v>11.081084666175526</v>
      </c>
      <c r="AD73" s="22">
        <f t="shared" ca="1" si="170"/>
        <v>12.058368251824156</v>
      </c>
    </row>
    <row r="74" spans="3:30" x14ac:dyDescent="0.2">
      <c r="Q74" s="23">
        <f>A16</f>
        <v>7</v>
      </c>
      <c r="R74" s="22">
        <f t="shared" ref="R74:AD74" ca="1" si="171">1*(R$66+R49*20/76*2/3)</f>
        <v>0.10527116889302925</v>
      </c>
      <c r="S74" s="22">
        <f t="shared" ca="1" si="171"/>
        <v>1.1111362286362871</v>
      </c>
      <c r="T74" s="22">
        <f t="shared" ca="1" si="171"/>
        <v>2.1175999568480388</v>
      </c>
      <c r="U74" s="22">
        <f t="shared" ca="1" si="171"/>
        <v>3.0807392375709046</v>
      </c>
      <c r="V74" s="22">
        <f t="shared" ca="1" si="171"/>
        <v>4.0722234135177295</v>
      </c>
      <c r="W74" s="22">
        <f t="shared" ca="1" si="171"/>
        <v>5.03773054576045</v>
      </c>
      <c r="X74" s="22">
        <f t="shared" ca="1" si="171"/>
        <v>6.0551233943978984</v>
      </c>
      <c r="Y74" s="22">
        <f t="shared" ca="1" si="171"/>
        <v>7.0521876795189362</v>
      </c>
      <c r="Z74" s="22">
        <f t="shared" ca="1" si="171"/>
        <v>8.0627978050897298</v>
      </c>
      <c r="AA74" s="22">
        <f t="shared" ca="1" si="171"/>
        <v>9.0498317595546851</v>
      </c>
      <c r="AB74" s="22">
        <f t="shared" ca="1" si="171"/>
        <v>10.080424939414783</v>
      </c>
      <c r="AC74" s="22">
        <f t="shared" ca="1" si="171"/>
        <v>11.098624162980313</v>
      </c>
      <c r="AD74" s="22">
        <f t="shared" ca="1" si="171"/>
        <v>12.068347413181062</v>
      </c>
    </row>
    <row r="75" spans="3:30" x14ac:dyDescent="0.2">
      <c r="Q75" s="23">
        <f>A18</f>
        <v>8</v>
      </c>
      <c r="R75" s="22">
        <f t="shared" ref="R75:AD75" ca="1" si="172">1*(R$66+R50*20/76*2/3)</f>
        <v>0.12544085564942781</v>
      </c>
      <c r="S75" s="22">
        <f t="shared" ca="1" si="172"/>
        <v>1.1046899905319842</v>
      </c>
      <c r="T75" s="22">
        <f t="shared" ca="1" si="172"/>
        <v>2.0453703471098375</v>
      </c>
      <c r="U75" s="22">
        <f t="shared" ca="1" si="172"/>
        <v>3.0370290451022144</v>
      </c>
      <c r="V75" s="22">
        <f t="shared" ca="1" si="172"/>
        <v>4.0205201129163175</v>
      </c>
      <c r="W75" s="22">
        <f t="shared" ca="1" si="172"/>
        <v>4.9837209240411644</v>
      </c>
      <c r="X75" s="22">
        <f t="shared" ca="1" si="172"/>
        <v>5.9798929619190879</v>
      </c>
      <c r="Y75" s="22">
        <f t="shared" ca="1" si="172"/>
        <v>6.9716264703649804</v>
      </c>
      <c r="Z75" s="22">
        <f t="shared" ca="1" si="172"/>
        <v>7.9810088869105194</v>
      </c>
      <c r="AA75" s="22">
        <f t="shared" ca="1" si="172"/>
        <v>8.9900225337568909</v>
      </c>
      <c r="AB75" s="22">
        <f t="shared" ca="1" si="172"/>
        <v>10.006102744033409</v>
      </c>
      <c r="AC75" s="22">
        <f t="shared" ca="1" si="172"/>
        <v>10.997636991169337</v>
      </c>
      <c r="AD75" s="22">
        <f t="shared" ca="1" si="172"/>
        <v>12.018994187606895</v>
      </c>
    </row>
    <row r="76" spans="3:30" x14ac:dyDescent="0.2">
      <c r="Q76" s="23">
        <f>A20</f>
        <v>9</v>
      </c>
      <c r="R76" s="22">
        <f t="shared" ref="R76:AD76" ca="1" si="173">1*(R$66+R51*20/76*2/3)</f>
        <v>0.11643383016403719</v>
      </c>
      <c r="S76" s="22">
        <f t="shared" ca="1" si="173"/>
        <v>1.0745360670319197</v>
      </c>
      <c r="T76" s="22">
        <f t="shared" ca="1" si="173"/>
        <v>2.0231863007692721</v>
      </c>
      <c r="U76" s="22">
        <f t="shared" ca="1" si="173"/>
        <v>3.0562979089367364</v>
      </c>
      <c r="V76" s="22">
        <f t="shared" ca="1" si="173"/>
        <v>4.054794533378848</v>
      </c>
      <c r="W76" s="22">
        <f t="shared" ca="1" si="173"/>
        <v>5.0356853552531788</v>
      </c>
      <c r="X76" s="22">
        <f t="shared" ca="1" si="173"/>
        <v>6.0382443848643863</v>
      </c>
      <c r="Y76" s="22">
        <f t="shared" ca="1" si="173"/>
        <v>7.0397131660773731</v>
      </c>
      <c r="Z76" s="22">
        <f t="shared" ca="1" si="173"/>
        <v>8.0497754779032462</v>
      </c>
      <c r="AA76" s="22">
        <f t="shared" ca="1" si="173"/>
        <v>9.0428668304963562</v>
      </c>
      <c r="AB76" s="22">
        <f t="shared" ca="1" si="173"/>
        <v>10.058989149604871</v>
      </c>
      <c r="AC76" s="22">
        <f t="shared" ca="1" si="173"/>
        <v>11.043205154472929</v>
      </c>
      <c r="AD76" s="22">
        <f t="shared" ca="1" si="173"/>
        <v>12.041203862462675</v>
      </c>
    </row>
    <row r="78" spans="3:30" x14ac:dyDescent="0.2">
      <c r="Q78" s="20" t="s">
        <v>31</v>
      </c>
    </row>
    <row r="79" spans="3:30" x14ac:dyDescent="0.2">
      <c r="Q79" s="23" t="str">
        <f t="shared" ref="Q79:AD79" si="174">Q66</f>
        <v>Step</v>
      </c>
      <c r="R79" s="12">
        <f t="shared" si="174"/>
        <v>0</v>
      </c>
      <c r="S79" s="12">
        <f t="shared" si="174"/>
        <v>1</v>
      </c>
      <c r="T79" s="12">
        <f t="shared" si="174"/>
        <v>2</v>
      </c>
      <c r="U79" s="12">
        <f t="shared" si="174"/>
        <v>3</v>
      </c>
      <c r="V79" s="12">
        <f t="shared" si="174"/>
        <v>4</v>
      </c>
      <c r="W79" s="12">
        <f t="shared" si="174"/>
        <v>5</v>
      </c>
      <c r="X79" s="12">
        <f t="shared" si="174"/>
        <v>6</v>
      </c>
      <c r="Y79" s="12">
        <f t="shared" si="174"/>
        <v>7</v>
      </c>
      <c r="Z79" s="12">
        <f t="shared" si="174"/>
        <v>8</v>
      </c>
      <c r="AA79" s="12">
        <f t="shared" si="174"/>
        <v>9</v>
      </c>
      <c r="AB79" s="12">
        <f t="shared" si="174"/>
        <v>10</v>
      </c>
      <c r="AC79" s="12">
        <f t="shared" si="174"/>
        <v>11</v>
      </c>
      <c r="AD79" s="12">
        <f t="shared" si="174"/>
        <v>12</v>
      </c>
    </row>
    <row r="80" spans="3:30" x14ac:dyDescent="0.2">
      <c r="Q80" s="23">
        <f t="shared" ref="Q80:Q89" si="175">Q67</f>
        <v>0</v>
      </c>
      <c r="R80" s="22">
        <f ca="1">1*($Q80-R54*20/76*2/3)</f>
        <v>-0.10262752214532804</v>
      </c>
      <c r="S80" s="22">
        <f t="shared" ref="S80:AD80" ca="1" si="176">1*($Q80-S54*20/76*2/3)</f>
        <v>-0.1122639235708086</v>
      </c>
      <c r="T80" s="22">
        <f t="shared" ca="1" si="176"/>
        <v>-0.1496458075898893</v>
      </c>
      <c r="U80" s="22">
        <f t="shared" ca="1" si="176"/>
        <v>-0.15547033328471238</v>
      </c>
      <c r="V80" s="22">
        <f t="shared" ca="1" si="176"/>
        <v>-0.10729352788569708</v>
      </c>
      <c r="W80" s="22">
        <f t="shared" ca="1" si="176"/>
        <v>-6.1078336401898005E-2</v>
      </c>
      <c r="X80" s="22">
        <f t="shared" ca="1" si="176"/>
        <v>-9.0006144556513637E-2</v>
      </c>
      <c r="Y80" s="22">
        <f t="shared" ca="1" si="176"/>
        <v>-5.5281806858931103E-2</v>
      </c>
      <c r="Z80" s="22">
        <f t="shared" ca="1" si="176"/>
        <v>-0.10267968110340581</v>
      </c>
      <c r="AA80" s="22">
        <f t="shared" ca="1" si="176"/>
        <v>-0.14371576742911879</v>
      </c>
      <c r="AB80" s="22">
        <f t="shared" ca="1" si="176"/>
        <v>-0.17543859649122806</v>
      </c>
      <c r="AC80" s="22">
        <f t="shared" ca="1" si="176"/>
        <v>-0.14617844759413773</v>
      </c>
      <c r="AD80" s="22">
        <f t="shared" ca="1" si="176"/>
        <v>-0.13165873555136623</v>
      </c>
    </row>
    <row r="81" spans="17:69" x14ac:dyDescent="0.2">
      <c r="Q81" s="23">
        <f t="shared" si="175"/>
        <v>1</v>
      </c>
      <c r="R81" s="22">
        <f t="shared" ref="R81:AD81" ca="1" si="177">1*($Q81-R55*20/76*2/3)</f>
        <v>0.92425190406197966</v>
      </c>
      <c r="S81" s="22">
        <f t="shared" ca="1" si="177"/>
        <v>0.95258738623805639</v>
      </c>
      <c r="T81" s="22">
        <f t="shared" ca="1" si="177"/>
        <v>0.93781199379869007</v>
      </c>
      <c r="U81" s="22">
        <f t="shared" ca="1" si="177"/>
        <v>0.92692735718683783</v>
      </c>
      <c r="V81" s="22">
        <f t="shared" ca="1" si="177"/>
        <v>0.90309640676024971</v>
      </c>
      <c r="W81" s="22">
        <f t="shared" ca="1" si="177"/>
        <v>0.89519214708090844</v>
      </c>
      <c r="X81" s="22">
        <f t="shared" ca="1" si="177"/>
        <v>0.87896134066379694</v>
      </c>
      <c r="Y81" s="22">
        <f t="shared" ca="1" si="177"/>
        <v>0.87698646343882281</v>
      </c>
      <c r="Z81" s="22">
        <f t="shared" ca="1" si="177"/>
        <v>0.85017695814149752</v>
      </c>
      <c r="AA81" s="22">
        <f t="shared" ca="1" si="177"/>
        <v>0.82456140350877194</v>
      </c>
      <c r="AB81" s="22">
        <f t="shared" ca="1" si="177"/>
        <v>0.82610084013597851</v>
      </c>
      <c r="AC81" s="22">
        <f t="shared" ca="1" si="177"/>
        <v>0.86254418478584416</v>
      </c>
      <c r="AD81" s="22">
        <f t="shared" ca="1" si="177"/>
        <v>0.83599783499907532</v>
      </c>
    </row>
    <row r="82" spans="17:69" x14ac:dyDescent="0.2">
      <c r="Q82" s="23">
        <f t="shared" si="175"/>
        <v>2</v>
      </c>
      <c r="R82" s="22">
        <f t="shared" ref="R82:AD82" ca="1" si="178">1*($Q82-R56*20/76*2/3)</f>
        <v>1.9273016139977093</v>
      </c>
      <c r="S82" s="22">
        <f t="shared" ca="1" si="178"/>
        <v>1.903409685556124</v>
      </c>
      <c r="T82" s="22">
        <f t="shared" ca="1" si="178"/>
        <v>1.9269790667788571</v>
      </c>
      <c r="U82" s="22">
        <f t="shared" ca="1" si="178"/>
        <v>1.8946635966586791</v>
      </c>
      <c r="V82" s="22">
        <f t="shared" ca="1" si="178"/>
        <v>1.8745172566272095</v>
      </c>
      <c r="W82" s="22">
        <f t="shared" ca="1" si="178"/>
        <v>1.8467724067010265</v>
      </c>
      <c r="X82" s="22">
        <f t="shared" ca="1" si="178"/>
        <v>1.8672675313373328</v>
      </c>
      <c r="Y82" s="22">
        <f t="shared" ca="1" si="178"/>
        <v>1.8596420209495503</v>
      </c>
      <c r="Z82" s="22">
        <f t="shared" ca="1" si="178"/>
        <v>1.8245614035087718</v>
      </c>
      <c r="AA82" s="22">
        <f t="shared" ca="1" si="178"/>
        <v>1.8259552833532244</v>
      </c>
      <c r="AB82" s="22">
        <f t="shared" ca="1" si="178"/>
        <v>1.8505918224918039</v>
      </c>
      <c r="AC82" s="22">
        <f t="shared" ca="1" si="178"/>
        <v>1.8451133344140722</v>
      </c>
      <c r="AD82" s="22">
        <f t="shared" ca="1" si="178"/>
        <v>1.8380535049993356</v>
      </c>
    </row>
    <row r="83" spans="17:69" x14ac:dyDescent="0.2">
      <c r="Q83" s="23">
        <f t="shared" si="175"/>
        <v>3</v>
      </c>
      <c r="R83" s="22">
        <f t="shared" ref="R83:AD83" ca="1" si="179">1*($Q83-R57*20/76*2/3)</f>
        <v>2.877193719077813</v>
      </c>
      <c r="S83" s="22">
        <f t="shared" ca="1" si="179"/>
        <v>2.8937600961933758</v>
      </c>
      <c r="T83" s="22">
        <f t="shared" ca="1" si="179"/>
        <v>2.8568873346696431</v>
      </c>
      <c r="U83" s="22">
        <f t="shared" ca="1" si="179"/>
        <v>2.8318289630525526</v>
      </c>
      <c r="V83" s="22">
        <f t="shared" ca="1" si="179"/>
        <v>2.8813537887761398</v>
      </c>
      <c r="W83" s="22">
        <f t="shared" ca="1" si="179"/>
        <v>2.8807272579795025</v>
      </c>
      <c r="X83" s="22">
        <f t="shared" ca="1" si="179"/>
        <v>2.8471488622112178</v>
      </c>
      <c r="Y83" s="22">
        <f t="shared" ca="1" si="179"/>
        <v>2.8287318213930566</v>
      </c>
      <c r="Z83" s="22">
        <f t="shared" ca="1" si="179"/>
        <v>2.8579581624101067</v>
      </c>
      <c r="AA83" s="22">
        <f t="shared" ca="1" si="179"/>
        <v>2.8245614035087718</v>
      </c>
      <c r="AB83" s="22">
        <f t="shared" ca="1" si="179"/>
        <v>2.8259295547857302</v>
      </c>
      <c r="AC83" s="22">
        <f t="shared" ca="1" si="179"/>
        <v>2.8496149807017908</v>
      </c>
      <c r="AD83" s="22">
        <f t="shared" ca="1" si="179"/>
        <v>2.9071537010709902</v>
      </c>
    </row>
    <row r="84" spans="17:69" x14ac:dyDescent="0.2">
      <c r="Q84" s="23">
        <f t="shared" si="175"/>
        <v>4</v>
      </c>
      <c r="R84" s="22">
        <f t="shared" ref="R84:AD84" ca="1" si="180">1*($Q84-R58*20/76*2/3)</f>
        <v>3.9219779987561325</v>
      </c>
      <c r="S84" s="22">
        <f t="shared" ca="1" si="180"/>
        <v>3.941630634442749</v>
      </c>
      <c r="T84" s="22">
        <f t="shared" ca="1" si="180"/>
        <v>3.9061904610210245</v>
      </c>
      <c r="U84" s="22">
        <f t="shared" ca="1" si="180"/>
        <v>3.8833691680221705</v>
      </c>
      <c r="V84" s="22">
        <f t="shared" ca="1" si="180"/>
        <v>3.8699202075967527</v>
      </c>
      <c r="W84" s="22">
        <f t="shared" ca="1" si="180"/>
        <v>3.8589897967529554</v>
      </c>
      <c r="X84" s="22">
        <f t="shared" ca="1" si="180"/>
        <v>3.8321390476196764</v>
      </c>
      <c r="Y84" s="22">
        <f t="shared" ca="1" si="180"/>
        <v>3.8332621059541396</v>
      </c>
      <c r="Z84" s="22">
        <f t="shared" ca="1" si="180"/>
        <v>3.842961902866977</v>
      </c>
      <c r="AA84" s="22">
        <f t="shared" ca="1" si="180"/>
        <v>3.838418912264864</v>
      </c>
      <c r="AB84" s="22">
        <f t="shared" ca="1" si="180"/>
        <v>3.8426035679224504</v>
      </c>
      <c r="AC84" s="22">
        <f t="shared" ca="1" si="180"/>
        <v>3.8470449461116836</v>
      </c>
      <c r="AD84" s="22">
        <f t="shared" ca="1" si="180"/>
        <v>3.8245614035087718</v>
      </c>
    </row>
    <row r="85" spans="17:69" x14ac:dyDescent="0.2">
      <c r="Q85" s="23">
        <f t="shared" si="175"/>
        <v>5</v>
      </c>
      <c r="R85" s="22">
        <f t="shared" ref="R85:AD85" ca="1" si="181">1*($Q85-R59*20/76*2/3)</f>
        <v>4.8988423324777086</v>
      </c>
      <c r="S85" s="22">
        <f t="shared" ca="1" si="181"/>
        <v>4.8511136893426734</v>
      </c>
      <c r="T85" s="22">
        <f t="shared" ca="1" si="181"/>
        <v>4.8245614035087723</v>
      </c>
      <c r="U85" s="22">
        <f t="shared" ca="1" si="181"/>
        <v>4.8660500313066564</v>
      </c>
      <c r="V85" s="22">
        <f t="shared" ca="1" si="181"/>
        <v>4.8787997417286189</v>
      </c>
      <c r="W85" s="22">
        <f t="shared" ca="1" si="181"/>
        <v>4.9173934668273667</v>
      </c>
      <c r="X85" s="22">
        <f t="shared" ca="1" si="181"/>
        <v>4.9671468483185084</v>
      </c>
      <c r="Y85" s="22">
        <f t="shared" ca="1" si="181"/>
        <v>4.9346644576921079</v>
      </c>
      <c r="Z85" s="22">
        <f t="shared" ca="1" si="181"/>
        <v>4.9416142867120056</v>
      </c>
      <c r="AA85" s="22">
        <f t="shared" ca="1" si="181"/>
        <v>4.8983847111002312</v>
      </c>
      <c r="AB85" s="22">
        <f t="shared" ca="1" si="181"/>
        <v>4.8635567932717905</v>
      </c>
      <c r="AC85" s="22">
        <f t="shared" ca="1" si="181"/>
        <v>4.9117861048685549</v>
      </c>
      <c r="AD85" s="22">
        <f t="shared" ca="1" si="181"/>
        <v>4.8716878673543462</v>
      </c>
    </row>
    <row r="86" spans="17:69" x14ac:dyDescent="0.2">
      <c r="Q86" s="23">
        <f t="shared" si="175"/>
        <v>6</v>
      </c>
      <c r="R86" s="22">
        <f t="shared" ref="R86:AD86" ca="1" si="182">1*($Q86-R60*20/76*2/3)</f>
        <v>5.8878214246464102</v>
      </c>
      <c r="S86" s="22">
        <f t="shared" ca="1" si="182"/>
        <v>5.9194689875979014</v>
      </c>
      <c r="T86" s="22">
        <f t="shared" ca="1" si="182"/>
        <v>5.8817990033733469</v>
      </c>
      <c r="U86" s="22">
        <f t="shared" ca="1" si="182"/>
        <v>5.8981384310033222</v>
      </c>
      <c r="V86" s="22">
        <f t="shared" ca="1" si="182"/>
        <v>5.8686967795720788</v>
      </c>
      <c r="W86" s="22">
        <f t="shared" ca="1" si="182"/>
        <v>5.8649918654827564</v>
      </c>
      <c r="X86" s="22">
        <f t="shared" ca="1" si="182"/>
        <v>5.9103806269654386</v>
      </c>
      <c r="Y86" s="22">
        <f t="shared" ca="1" si="182"/>
        <v>5.9380839206395484</v>
      </c>
      <c r="Z86" s="22">
        <f t="shared" ca="1" si="182"/>
        <v>5.8943081453133361</v>
      </c>
      <c r="AA86" s="22">
        <f t="shared" ca="1" si="182"/>
        <v>5.8845158164198299</v>
      </c>
      <c r="AB86" s="22">
        <f t="shared" ca="1" si="182"/>
        <v>5.8491710528017933</v>
      </c>
      <c r="AC86" s="22">
        <f t="shared" ca="1" si="182"/>
        <v>5.8245614035087723</v>
      </c>
      <c r="AD86" s="22">
        <f t="shared" ca="1" si="182"/>
        <v>5.8679554076968916</v>
      </c>
    </row>
    <row r="87" spans="17:69" x14ac:dyDescent="0.2">
      <c r="Q87" s="23">
        <f t="shared" si="175"/>
        <v>7</v>
      </c>
      <c r="R87" s="22">
        <f t="shared" ref="R87:AD87" ca="1" si="183">1*($Q87-R61*20/76*2/3)</f>
        <v>6.8992718504434585</v>
      </c>
      <c r="S87" s="22">
        <f t="shared" ca="1" si="183"/>
        <v>6.8767130755808363</v>
      </c>
      <c r="T87" s="22">
        <f t="shared" ca="1" si="183"/>
        <v>6.835922404148941</v>
      </c>
      <c r="U87" s="22">
        <f t="shared" ca="1" si="183"/>
        <v>6.8829666219322085</v>
      </c>
      <c r="V87" s="22">
        <f t="shared" ca="1" si="183"/>
        <v>6.8959146038962569</v>
      </c>
      <c r="W87" s="22">
        <f t="shared" ca="1" si="183"/>
        <v>6.9336015638018029</v>
      </c>
      <c r="X87" s="22">
        <f t="shared" ca="1" si="183"/>
        <v>6.914205969606301</v>
      </c>
      <c r="Y87" s="22">
        <f t="shared" ca="1" si="183"/>
        <v>6.9158734891849196</v>
      </c>
      <c r="Z87" s="22">
        <f t="shared" ca="1" si="183"/>
        <v>6.8734688682846627</v>
      </c>
      <c r="AA87" s="22">
        <f t="shared" ca="1" si="183"/>
        <v>6.9003918554892314</v>
      </c>
      <c r="AB87" s="22">
        <f t="shared" ca="1" si="183"/>
        <v>6.8550091541780276</v>
      </c>
      <c r="AC87" s="22">
        <f t="shared" ca="1" si="183"/>
        <v>6.8245614035087723</v>
      </c>
      <c r="AD87" s="22">
        <f t="shared" ca="1" si="183"/>
        <v>6.8728777946171657</v>
      </c>
    </row>
    <row r="88" spans="17:69" ht="15" x14ac:dyDescent="0.25">
      <c r="Q88" s="23">
        <f t="shared" si="175"/>
        <v>8</v>
      </c>
      <c r="R88" s="22">
        <f t="shared" ref="R88:AD88" ca="1" si="184">1*($Q88-R62*20/76*2/3)</f>
        <v>7.8245614035087723</v>
      </c>
      <c r="S88" s="22">
        <f t="shared" ca="1" si="184"/>
        <v>7.8302494265533058</v>
      </c>
      <c r="T88" s="22">
        <f t="shared" ca="1" si="184"/>
        <v>7.9074750307422255</v>
      </c>
      <c r="U88" s="22">
        <f t="shared" ca="1" si="184"/>
        <v>7.9215464977930319</v>
      </c>
      <c r="V88" s="22">
        <f t="shared" ca="1" si="184"/>
        <v>7.9567748747051059</v>
      </c>
      <c r="W88" s="22">
        <f t="shared" ca="1" si="184"/>
        <v>8.0418734977457191</v>
      </c>
      <c r="X88" s="22">
        <f t="shared" ca="1" si="184"/>
        <v>8.0457418730371657</v>
      </c>
      <c r="Y88" s="22">
        <f t="shared" ca="1" si="184"/>
        <v>8.0668533202044941</v>
      </c>
      <c r="Z88" s="22">
        <f t="shared" ca="1" si="184"/>
        <v>8.0559304191415428</v>
      </c>
      <c r="AA88" s="22">
        <f t="shared" ca="1" si="184"/>
        <v>8.0291510109787723</v>
      </c>
      <c r="AB88" s="22">
        <f t="shared" ca="1" si="184"/>
        <v>7.9839187530270355</v>
      </c>
      <c r="AC88" s="22">
        <f t="shared" ca="1" si="184"/>
        <v>8.0061440095858671</v>
      </c>
      <c r="AD88" s="22">
        <f t="shared" ca="1" si="184"/>
        <v>7.9483625501808328</v>
      </c>
      <c r="BE88"/>
      <c r="BF88"/>
      <c r="BG88"/>
      <c r="BH88"/>
      <c r="BI88"/>
      <c r="BJ88"/>
      <c r="BK88"/>
      <c r="BL88"/>
      <c r="BM88"/>
      <c r="BN88"/>
      <c r="BO88"/>
      <c r="BP88"/>
      <c r="BQ88"/>
    </row>
    <row r="89" spans="17:69" ht="15" x14ac:dyDescent="0.25">
      <c r="Q89" s="23">
        <f t="shared" si="175"/>
        <v>9</v>
      </c>
      <c r="R89" s="22">
        <f t="shared" ref="R89:AD89" ca="1" si="185">1*($Q89-R63*20/76*2/3)</f>
        <v>8.8245614035087723</v>
      </c>
      <c r="S89" s="22">
        <f t="shared" ca="1" si="185"/>
        <v>8.8697935835904271</v>
      </c>
      <c r="T89" s="22">
        <f t="shared" ca="1" si="185"/>
        <v>8.949057748407391</v>
      </c>
      <c r="U89" s="22">
        <f t="shared" ca="1" si="185"/>
        <v>8.8714944423206301</v>
      </c>
      <c r="V89" s="22">
        <f t="shared" ca="1" si="185"/>
        <v>8.8756477719247755</v>
      </c>
      <c r="W89" s="22">
        <f t="shared" ca="1" si="185"/>
        <v>8.9011084148811346</v>
      </c>
      <c r="X89" s="22">
        <f t="shared" ca="1" si="185"/>
        <v>8.9062668208394093</v>
      </c>
      <c r="Y89" s="22">
        <f t="shared" ca="1" si="185"/>
        <v>8.8991899217924626</v>
      </c>
      <c r="Z89" s="22">
        <f t="shared" ca="1" si="185"/>
        <v>8.8420669887092043</v>
      </c>
      <c r="AA89" s="22">
        <f t="shared" ca="1" si="185"/>
        <v>8.8650681262703248</v>
      </c>
      <c r="AB89" s="22">
        <f t="shared" ca="1" si="185"/>
        <v>8.8325340466911122</v>
      </c>
      <c r="AC89" s="22">
        <f t="shared" ca="1" si="185"/>
        <v>8.8789730953970611</v>
      </c>
      <c r="AD89" s="22">
        <f t="shared" ca="1" si="185"/>
        <v>8.8793181899911939</v>
      </c>
      <c r="BE89"/>
      <c r="BF89"/>
      <c r="BG89"/>
      <c r="BH89"/>
      <c r="BI89"/>
      <c r="BJ89"/>
      <c r="BK89"/>
      <c r="BL89"/>
      <c r="BM89"/>
      <c r="BN89"/>
      <c r="BO89"/>
      <c r="BP89"/>
      <c r="BQ89"/>
    </row>
    <row r="90" spans="17:69" ht="15" x14ac:dyDescent="0.25">
      <c r="BE90"/>
      <c r="BF90"/>
      <c r="BG90"/>
      <c r="BH90"/>
      <c r="BI90"/>
      <c r="BJ90"/>
      <c r="BK90"/>
      <c r="BL90"/>
      <c r="BM90"/>
      <c r="BN90"/>
      <c r="BO90"/>
      <c r="BP90"/>
      <c r="BQ90"/>
    </row>
    <row r="91" spans="17:69" ht="15" x14ac:dyDescent="0.25">
      <c r="Q91" s="20" t="s">
        <v>32</v>
      </c>
      <c r="BE91"/>
      <c r="BF91"/>
      <c r="BG91"/>
      <c r="BH91"/>
      <c r="BI91"/>
      <c r="BJ91"/>
      <c r="BK91"/>
      <c r="BL91"/>
      <c r="BM91"/>
      <c r="BN91"/>
      <c r="BO91"/>
      <c r="BP91"/>
      <c r="BQ91"/>
    </row>
    <row r="92" spans="17:69" ht="15" x14ac:dyDescent="0.25">
      <c r="Q92" s="23" t="str">
        <f>Q79</f>
        <v>Step</v>
      </c>
      <c r="R92" s="12">
        <f>R79</f>
        <v>0</v>
      </c>
      <c r="S92" s="12">
        <f>R79</f>
        <v>0</v>
      </c>
      <c r="T92" s="12">
        <f>R79</f>
        <v>0</v>
      </c>
      <c r="U92" s="12">
        <f>R92+1</f>
        <v>1</v>
      </c>
      <c r="V92" s="12">
        <f t="shared" ref="V92:BD92" si="186">S92+1</f>
        <v>1</v>
      </c>
      <c r="W92" s="12">
        <f t="shared" si="186"/>
        <v>1</v>
      </c>
      <c r="X92" s="12">
        <f t="shared" si="186"/>
        <v>2</v>
      </c>
      <c r="Y92" s="12">
        <f t="shared" si="186"/>
        <v>2</v>
      </c>
      <c r="Z92" s="12">
        <f t="shared" si="186"/>
        <v>2</v>
      </c>
      <c r="AA92" s="12">
        <f t="shared" si="186"/>
        <v>3</v>
      </c>
      <c r="AB92" s="12">
        <f t="shared" si="186"/>
        <v>3</v>
      </c>
      <c r="AC92" s="12">
        <f t="shared" si="186"/>
        <v>3</v>
      </c>
      <c r="AD92" s="12">
        <f t="shared" si="186"/>
        <v>4</v>
      </c>
      <c r="AE92" s="12">
        <f t="shared" si="186"/>
        <v>4</v>
      </c>
      <c r="AF92" s="12">
        <f t="shared" si="186"/>
        <v>4</v>
      </c>
      <c r="AG92" s="12">
        <f t="shared" si="186"/>
        <v>5</v>
      </c>
      <c r="AH92" s="12">
        <f t="shared" si="186"/>
        <v>5</v>
      </c>
      <c r="AI92" s="12">
        <f t="shared" si="186"/>
        <v>5</v>
      </c>
      <c r="AJ92" s="12">
        <f t="shared" si="186"/>
        <v>6</v>
      </c>
      <c r="AK92" s="12">
        <f t="shared" si="186"/>
        <v>6</v>
      </c>
      <c r="AL92" s="12">
        <f t="shared" si="186"/>
        <v>6</v>
      </c>
      <c r="AM92" s="12">
        <f t="shared" si="186"/>
        <v>7</v>
      </c>
      <c r="AN92" s="12">
        <f t="shared" si="186"/>
        <v>7</v>
      </c>
      <c r="AO92" s="12">
        <f t="shared" si="186"/>
        <v>7</v>
      </c>
      <c r="AP92" s="12">
        <f t="shared" si="186"/>
        <v>8</v>
      </c>
      <c r="AQ92" s="12">
        <f t="shared" si="186"/>
        <v>8</v>
      </c>
      <c r="AR92" s="12">
        <f t="shared" si="186"/>
        <v>8</v>
      </c>
      <c r="AS92" s="12">
        <f t="shared" si="186"/>
        <v>9</v>
      </c>
      <c r="AT92" s="12">
        <f t="shared" si="186"/>
        <v>9</v>
      </c>
      <c r="AU92" s="12">
        <f t="shared" si="186"/>
        <v>9</v>
      </c>
      <c r="AV92" s="12">
        <f t="shared" si="186"/>
        <v>10</v>
      </c>
      <c r="AW92" s="12">
        <f t="shared" si="186"/>
        <v>10</v>
      </c>
      <c r="AX92" s="12">
        <f t="shared" si="186"/>
        <v>10</v>
      </c>
      <c r="AY92" s="12">
        <f t="shared" si="186"/>
        <v>11</v>
      </c>
      <c r="AZ92" s="12">
        <f t="shared" si="186"/>
        <v>11</v>
      </c>
      <c r="BA92" s="12">
        <f t="shared" si="186"/>
        <v>11</v>
      </c>
      <c r="BB92" s="12">
        <f t="shared" si="186"/>
        <v>12</v>
      </c>
      <c r="BC92" s="12">
        <f t="shared" si="186"/>
        <v>12</v>
      </c>
      <c r="BD92" s="12">
        <f t="shared" si="186"/>
        <v>12</v>
      </c>
      <c r="BE92"/>
      <c r="BF92"/>
      <c r="BG92"/>
      <c r="BH92"/>
      <c r="BI92"/>
      <c r="BJ92"/>
      <c r="BK92"/>
      <c r="BL92"/>
      <c r="BM92"/>
      <c r="BN92"/>
      <c r="BO92"/>
      <c r="BP92"/>
      <c r="BQ92"/>
    </row>
    <row r="93" spans="17:69" ht="15" x14ac:dyDescent="0.25">
      <c r="Q93" s="23">
        <f t="shared" ref="Q93:Q102" si="187">Q80</f>
        <v>0</v>
      </c>
      <c r="R93" s="22">
        <f>-20/76*1/3</f>
        <v>-8.771929824561403E-2</v>
      </c>
      <c r="S93" s="22">
        <f>20/76*1/3</f>
        <v>8.771929824561403E-2</v>
      </c>
      <c r="T93" s="22">
        <f>20/76*2/3</f>
        <v>0.17543859649122806</v>
      </c>
      <c r="U93" s="22">
        <f>R93+1</f>
        <v>0.91228070175438591</v>
      </c>
      <c r="V93" s="22">
        <f t="shared" ref="V93:V102" si="188">S93+1</f>
        <v>1.0877192982456141</v>
      </c>
      <c r="W93" s="22">
        <f t="shared" ref="W93:W102" si="189">T93+1</f>
        <v>1.1754385964912282</v>
      </c>
      <c r="X93" s="22">
        <f t="shared" ref="X93:X102" si="190">U93+1</f>
        <v>1.9122807017543859</v>
      </c>
      <c r="Y93" s="22">
        <f t="shared" ref="Y93:Y102" si="191">V93+1</f>
        <v>2.0877192982456139</v>
      </c>
      <c r="Z93" s="22">
        <f t="shared" ref="Z93:Z102" si="192">W93+1</f>
        <v>2.1754385964912282</v>
      </c>
      <c r="AA93" s="22">
        <f t="shared" ref="AA93:AA102" si="193">X93+1</f>
        <v>2.9122807017543861</v>
      </c>
      <c r="AB93" s="22">
        <f t="shared" ref="AB93:AB102" si="194">Y93+1</f>
        <v>3.0877192982456139</v>
      </c>
      <c r="AC93" s="22">
        <f t="shared" ref="AC93:AD102" si="195">Z93+1</f>
        <v>3.1754385964912282</v>
      </c>
      <c r="AD93" s="22">
        <f t="shared" si="195"/>
        <v>3.9122807017543861</v>
      </c>
      <c r="AE93" s="22">
        <f t="shared" ref="AE93:AE102" si="196">AB93+1</f>
        <v>4.0877192982456139</v>
      </c>
      <c r="AF93" s="22">
        <f t="shared" ref="AF93:AF102" si="197">AC93+1</f>
        <v>4.1754385964912277</v>
      </c>
      <c r="AG93" s="22">
        <f t="shared" ref="AG93:AG102" si="198">AD93+1</f>
        <v>4.9122807017543861</v>
      </c>
      <c r="AH93" s="22">
        <f t="shared" ref="AH93:AH102" si="199">AE93+1</f>
        <v>5.0877192982456139</v>
      </c>
      <c r="AI93" s="22">
        <f t="shared" ref="AI93:AI102" si="200">AF93+1</f>
        <v>5.1754385964912277</v>
      </c>
      <c r="AJ93" s="22">
        <f t="shared" ref="AJ93:AJ102" si="201">AG93+1</f>
        <v>5.9122807017543861</v>
      </c>
      <c r="AK93" s="22">
        <f t="shared" ref="AK93:AK102" si="202">AH93+1</f>
        <v>6.0877192982456139</v>
      </c>
      <c r="AL93" s="22">
        <f t="shared" ref="AL93:AL102" si="203">AI93+1</f>
        <v>6.1754385964912277</v>
      </c>
      <c r="AM93" s="22">
        <f t="shared" ref="AM93:AM102" si="204">AJ93+1</f>
        <v>6.9122807017543861</v>
      </c>
      <c r="AN93" s="22">
        <f t="shared" ref="AN93:AN102" si="205">AK93+1</f>
        <v>7.0877192982456139</v>
      </c>
      <c r="AO93" s="22">
        <f t="shared" ref="AO93:AO102" si="206">AL93+1</f>
        <v>7.1754385964912277</v>
      </c>
      <c r="AP93" s="22">
        <f t="shared" ref="AP93:AP102" si="207">AM93+1</f>
        <v>7.9122807017543861</v>
      </c>
      <c r="AQ93" s="22">
        <f t="shared" ref="AQ93:AQ102" si="208">AN93+1</f>
        <v>8.087719298245613</v>
      </c>
      <c r="AR93" s="22">
        <f t="shared" ref="AR93:AR102" si="209">AO93+1</f>
        <v>8.1754385964912277</v>
      </c>
      <c r="AS93" s="22">
        <f t="shared" ref="AS93:AS102" si="210">AP93+1</f>
        <v>8.912280701754387</v>
      </c>
      <c r="AT93" s="22">
        <f t="shared" ref="AT93:AT102" si="211">AQ93+1</f>
        <v>9.087719298245613</v>
      </c>
      <c r="AU93" s="22">
        <f t="shared" ref="AU93:AU102" si="212">AR93+1</f>
        <v>9.1754385964912277</v>
      </c>
      <c r="AV93" s="22">
        <f t="shared" ref="AV93:AV102" si="213">AS93+1</f>
        <v>9.912280701754387</v>
      </c>
      <c r="AW93" s="22">
        <f t="shared" ref="AW93:AW102" si="214">AT93+1</f>
        <v>10.087719298245613</v>
      </c>
      <c r="AX93" s="22">
        <f t="shared" ref="AX93:AX102" si="215">AU93+1</f>
        <v>10.175438596491228</v>
      </c>
      <c r="AY93" s="22">
        <f t="shared" ref="AY93:AY102" si="216">AV93+1</f>
        <v>10.912280701754387</v>
      </c>
      <c r="AZ93" s="22">
        <f t="shared" ref="AZ93:AZ102" si="217">AW93+1</f>
        <v>11.087719298245613</v>
      </c>
      <c r="BA93" s="22">
        <f t="shared" ref="BA93:BA102" si="218">AX93+1</f>
        <v>11.175438596491228</v>
      </c>
      <c r="BB93" s="22">
        <f t="shared" ref="BB93:BB102" si="219">AY93+1</f>
        <v>11.912280701754387</v>
      </c>
      <c r="BC93" s="22">
        <f t="shared" ref="BC93:BC102" si="220">AZ93+1</f>
        <v>12.087719298245613</v>
      </c>
      <c r="BD93" s="22">
        <f t="shared" ref="BD93:BD102" si="221">BA93+1</f>
        <v>12.175438596491228</v>
      </c>
      <c r="BE93"/>
      <c r="BF93"/>
      <c r="BG93"/>
      <c r="BH93"/>
      <c r="BI93"/>
      <c r="BJ93"/>
      <c r="BK93"/>
      <c r="BL93"/>
      <c r="BM93"/>
      <c r="BN93"/>
      <c r="BO93"/>
      <c r="BP93"/>
      <c r="BQ93"/>
    </row>
    <row r="94" spans="17:69" ht="15" x14ac:dyDescent="0.25">
      <c r="Q94" s="23">
        <f t="shared" si="187"/>
        <v>1</v>
      </c>
      <c r="R94" s="22">
        <f t="shared" ref="R94:R102" si="222">-20/76*1/3</f>
        <v>-8.771929824561403E-2</v>
      </c>
      <c r="S94" s="22">
        <f t="shared" ref="S94:S102" si="223">20/76*1/3</f>
        <v>8.771929824561403E-2</v>
      </c>
      <c r="T94" s="22">
        <f t="shared" ref="T94:T102" si="224">20/76*2/3</f>
        <v>0.17543859649122806</v>
      </c>
      <c r="U94" s="22">
        <f t="shared" ref="U94:U102" si="225">R94+1</f>
        <v>0.91228070175438591</v>
      </c>
      <c r="V94" s="22">
        <f t="shared" si="188"/>
        <v>1.0877192982456141</v>
      </c>
      <c r="W94" s="22">
        <f t="shared" si="189"/>
        <v>1.1754385964912282</v>
      </c>
      <c r="X94" s="22">
        <f t="shared" si="190"/>
        <v>1.9122807017543859</v>
      </c>
      <c r="Y94" s="22">
        <f t="shared" si="191"/>
        <v>2.0877192982456139</v>
      </c>
      <c r="Z94" s="22">
        <f t="shared" si="192"/>
        <v>2.1754385964912282</v>
      </c>
      <c r="AA94" s="22">
        <f t="shared" si="193"/>
        <v>2.9122807017543861</v>
      </c>
      <c r="AB94" s="22">
        <f t="shared" si="194"/>
        <v>3.0877192982456139</v>
      </c>
      <c r="AC94" s="22">
        <f t="shared" si="195"/>
        <v>3.1754385964912282</v>
      </c>
      <c r="AD94" s="22">
        <f t="shared" si="195"/>
        <v>3.9122807017543861</v>
      </c>
      <c r="AE94" s="22">
        <f t="shared" si="196"/>
        <v>4.0877192982456139</v>
      </c>
      <c r="AF94" s="22">
        <f t="shared" si="197"/>
        <v>4.1754385964912277</v>
      </c>
      <c r="AG94" s="22">
        <f t="shared" si="198"/>
        <v>4.9122807017543861</v>
      </c>
      <c r="AH94" s="22">
        <f t="shared" si="199"/>
        <v>5.0877192982456139</v>
      </c>
      <c r="AI94" s="22">
        <f t="shared" si="200"/>
        <v>5.1754385964912277</v>
      </c>
      <c r="AJ94" s="22">
        <f t="shared" si="201"/>
        <v>5.9122807017543861</v>
      </c>
      <c r="AK94" s="22">
        <f t="shared" si="202"/>
        <v>6.0877192982456139</v>
      </c>
      <c r="AL94" s="22">
        <f t="shared" si="203"/>
        <v>6.1754385964912277</v>
      </c>
      <c r="AM94" s="22">
        <f t="shared" si="204"/>
        <v>6.9122807017543861</v>
      </c>
      <c r="AN94" s="22">
        <f t="shared" si="205"/>
        <v>7.0877192982456139</v>
      </c>
      <c r="AO94" s="22">
        <f t="shared" si="206"/>
        <v>7.1754385964912277</v>
      </c>
      <c r="AP94" s="22">
        <f t="shared" si="207"/>
        <v>7.9122807017543861</v>
      </c>
      <c r="AQ94" s="22">
        <f t="shared" si="208"/>
        <v>8.087719298245613</v>
      </c>
      <c r="AR94" s="22">
        <f t="shared" si="209"/>
        <v>8.1754385964912277</v>
      </c>
      <c r="AS94" s="22">
        <f t="shared" si="210"/>
        <v>8.912280701754387</v>
      </c>
      <c r="AT94" s="22">
        <f t="shared" si="211"/>
        <v>9.087719298245613</v>
      </c>
      <c r="AU94" s="22">
        <f t="shared" si="212"/>
        <v>9.1754385964912277</v>
      </c>
      <c r="AV94" s="22">
        <f t="shared" si="213"/>
        <v>9.912280701754387</v>
      </c>
      <c r="AW94" s="22">
        <f t="shared" si="214"/>
        <v>10.087719298245613</v>
      </c>
      <c r="AX94" s="22">
        <f t="shared" si="215"/>
        <v>10.175438596491228</v>
      </c>
      <c r="AY94" s="22">
        <f t="shared" si="216"/>
        <v>10.912280701754387</v>
      </c>
      <c r="AZ94" s="22">
        <f t="shared" si="217"/>
        <v>11.087719298245613</v>
      </c>
      <c r="BA94" s="22">
        <f t="shared" si="218"/>
        <v>11.175438596491228</v>
      </c>
      <c r="BB94" s="22">
        <f t="shared" si="219"/>
        <v>11.912280701754387</v>
      </c>
      <c r="BC94" s="22">
        <f t="shared" si="220"/>
        <v>12.087719298245613</v>
      </c>
      <c r="BD94" s="22">
        <f t="shared" si="221"/>
        <v>12.175438596491228</v>
      </c>
      <c r="BE94"/>
      <c r="BF94"/>
      <c r="BG94"/>
      <c r="BH94"/>
      <c r="BI94"/>
      <c r="BJ94"/>
      <c r="BK94"/>
      <c r="BL94"/>
      <c r="BM94"/>
      <c r="BN94"/>
      <c r="BO94"/>
      <c r="BP94"/>
      <c r="BQ94"/>
    </row>
    <row r="95" spans="17:69" ht="15" x14ac:dyDescent="0.25">
      <c r="Q95" s="23">
        <f t="shared" si="187"/>
        <v>2</v>
      </c>
      <c r="R95" s="22">
        <f t="shared" si="222"/>
        <v>-8.771929824561403E-2</v>
      </c>
      <c r="S95" s="22">
        <f t="shared" si="223"/>
        <v>8.771929824561403E-2</v>
      </c>
      <c r="T95" s="22">
        <f t="shared" si="224"/>
        <v>0.17543859649122806</v>
      </c>
      <c r="U95" s="22">
        <f t="shared" si="225"/>
        <v>0.91228070175438591</v>
      </c>
      <c r="V95" s="22">
        <f t="shared" si="188"/>
        <v>1.0877192982456141</v>
      </c>
      <c r="W95" s="22">
        <f t="shared" si="189"/>
        <v>1.1754385964912282</v>
      </c>
      <c r="X95" s="22">
        <f t="shared" si="190"/>
        <v>1.9122807017543859</v>
      </c>
      <c r="Y95" s="22">
        <f t="shared" si="191"/>
        <v>2.0877192982456139</v>
      </c>
      <c r="Z95" s="22">
        <f t="shared" si="192"/>
        <v>2.1754385964912282</v>
      </c>
      <c r="AA95" s="22">
        <f t="shared" si="193"/>
        <v>2.9122807017543861</v>
      </c>
      <c r="AB95" s="22">
        <f t="shared" si="194"/>
        <v>3.0877192982456139</v>
      </c>
      <c r="AC95" s="22">
        <f t="shared" si="195"/>
        <v>3.1754385964912282</v>
      </c>
      <c r="AD95" s="22">
        <f t="shared" si="195"/>
        <v>3.9122807017543861</v>
      </c>
      <c r="AE95" s="22">
        <f t="shared" si="196"/>
        <v>4.0877192982456139</v>
      </c>
      <c r="AF95" s="22">
        <f t="shared" si="197"/>
        <v>4.1754385964912277</v>
      </c>
      <c r="AG95" s="22">
        <f t="shared" si="198"/>
        <v>4.9122807017543861</v>
      </c>
      <c r="AH95" s="22">
        <f t="shared" si="199"/>
        <v>5.0877192982456139</v>
      </c>
      <c r="AI95" s="22">
        <f t="shared" si="200"/>
        <v>5.1754385964912277</v>
      </c>
      <c r="AJ95" s="22">
        <f t="shared" si="201"/>
        <v>5.9122807017543861</v>
      </c>
      <c r="AK95" s="22">
        <f t="shared" si="202"/>
        <v>6.0877192982456139</v>
      </c>
      <c r="AL95" s="22">
        <f t="shared" si="203"/>
        <v>6.1754385964912277</v>
      </c>
      <c r="AM95" s="22">
        <f t="shared" si="204"/>
        <v>6.9122807017543861</v>
      </c>
      <c r="AN95" s="22">
        <f t="shared" si="205"/>
        <v>7.0877192982456139</v>
      </c>
      <c r="AO95" s="22">
        <f t="shared" si="206"/>
        <v>7.1754385964912277</v>
      </c>
      <c r="AP95" s="22">
        <f t="shared" si="207"/>
        <v>7.9122807017543861</v>
      </c>
      <c r="AQ95" s="22">
        <f t="shared" si="208"/>
        <v>8.087719298245613</v>
      </c>
      <c r="AR95" s="22">
        <f t="shared" si="209"/>
        <v>8.1754385964912277</v>
      </c>
      <c r="AS95" s="22">
        <f t="shared" si="210"/>
        <v>8.912280701754387</v>
      </c>
      <c r="AT95" s="22">
        <f t="shared" si="211"/>
        <v>9.087719298245613</v>
      </c>
      <c r="AU95" s="22">
        <f t="shared" si="212"/>
        <v>9.1754385964912277</v>
      </c>
      <c r="AV95" s="22">
        <f t="shared" si="213"/>
        <v>9.912280701754387</v>
      </c>
      <c r="AW95" s="22">
        <f t="shared" si="214"/>
        <v>10.087719298245613</v>
      </c>
      <c r="AX95" s="22">
        <f t="shared" si="215"/>
        <v>10.175438596491228</v>
      </c>
      <c r="AY95" s="22">
        <f t="shared" si="216"/>
        <v>10.912280701754387</v>
      </c>
      <c r="AZ95" s="22">
        <f t="shared" si="217"/>
        <v>11.087719298245613</v>
      </c>
      <c r="BA95" s="22">
        <f t="shared" si="218"/>
        <v>11.175438596491228</v>
      </c>
      <c r="BB95" s="22">
        <f t="shared" si="219"/>
        <v>11.912280701754387</v>
      </c>
      <c r="BC95" s="22">
        <f t="shared" si="220"/>
        <v>12.087719298245613</v>
      </c>
      <c r="BD95" s="22">
        <f t="shared" si="221"/>
        <v>12.175438596491228</v>
      </c>
      <c r="BE95"/>
      <c r="BF95"/>
      <c r="BG95"/>
      <c r="BH95"/>
      <c r="BI95"/>
      <c r="BJ95"/>
      <c r="BK95"/>
      <c r="BL95"/>
      <c r="BM95"/>
      <c r="BN95"/>
      <c r="BO95"/>
      <c r="BP95"/>
      <c r="BQ95"/>
    </row>
    <row r="96" spans="17:69" ht="15" x14ac:dyDescent="0.25">
      <c r="Q96" s="23">
        <f t="shared" si="187"/>
        <v>3</v>
      </c>
      <c r="R96" s="22">
        <f t="shared" si="222"/>
        <v>-8.771929824561403E-2</v>
      </c>
      <c r="S96" s="22">
        <f t="shared" si="223"/>
        <v>8.771929824561403E-2</v>
      </c>
      <c r="T96" s="22">
        <f t="shared" si="224"/>
        <v>0.17543859649122806</v>
      </c>
      <c r="U96" s="22">
        <f t="shared" si="225"/>
        <v>0.91228070175438591</v>
      </c>
      <c r="V96" s="22">
        <f t="shared" si="188"/>
        <v>1.0877192982456141</v>
      </c>
      <c r="W96" s="22">
        <f t="shared" si="189"/>
        <v>1.1754385964912282</v>
      </c>
      <c r="X96" s="22">
        <f t="shared" si="190"/>
        <v>1.9122807017543859</v>
      </c>
      <c r="Y96" s="22">
        <f t="shared" si="191"/>
        <v>2.0877192982456139</v>
      </c>
      <c r="Z96" s="22">
        <f t="shared" si="192"/>
        <v>2.1754385964912282</v>
      </c>
      <c r="AA96" s="22">
        <f t="shared" si="193"/>
        <v>2.9122807017543861</v>
      </c>
      <c r="AB96" s="22">
        <f t="shared" si="194"/>
        <v>3.0877192982456139</v>
      </c>
      <c r="AC96" s="22">
        <f t="shared" si="195"/>
        <v>3.1754385964912282</v>
      </c>
      <c r="AD96" s="22">
        <f t="shared" si="195"/>
        <v>3.9122807017543861</v>
      </c>
      <c r="AE96" s="22">
        <f t="shared" si="196"/>
        <v>4.0877192982456139</v>
      </c>
      <c r="AF96" s="22">
        <f t="shared" si="197"/>
        <v>4.1754385964912277</v>
      </c>
      <c r="AG96" s="22">
        <f t="shared" si="198"/>
        <v>4.9122807017543861</v>
      </c>
      <c r="AH96" s="22">
        <f t="shared" si="199"/>
        <v>5.0877192982456139</v>
      </c>
      <c r="AI96" s="22">
        <f t="shared" si="200"/>
        <v>5.1754385964912277</v>
      </c>
      <c r="AJ96" s="22">
        <f t="shared" si="201"/>
        <v>5.9122807017543861</v>
      </c>
      <c r="AK96" s="22">
        <f t="shared" si="202"/>
        <v>6.0877192982456139</v>
      </c>
      <c r="AL96" s="22">
        <f t="shared" si="203"/>
        <v>6.1754385964912277</v>
      </c>
      <c r="AM96" s="22">
        <f t="shared" si="204"/>
        <v>6.9122807017543861</v>
      </c>
      <c r="AN96" s="22">
        <f t="shared" si="205"/>
        <v>7.0877192982456139</v>
      </c>
      <c r="AO96" s="22">
        <f t="shared" si="206"/>
        <v>7.1754385964912277</v>
      </c>
      <c r="AP96" s="22">
        <f t="shared" si="207"/>
        <v>7.9122807017543861</v>
      </c>
      <c r="AQ96" s="22">
        <f t="shared" si="208"/>
        <v>8.087719298245613</v>
      </c>
      <c r="AR96" s="22">
        <f t="shared" si="209"/>
        <v>8.1754385964912277</v>
      </c>
      <c r="AS96" s="22">
        <f t="shared" si="210"/>
        <v>8.912280701754387</v>
      </c>
      <c r="AT96" s="22">
        <f t="shared" si="211"/>
        <v>9.087719298245613</v>
      </c>
      <c r="AU96" s="22">
        <f t="shared" si="212"/>
        <v>9.1754385964912277</v>
      </c>
      <c r="AV96" s="22">
        <f t="shared" si="213"/>
        <v>9.912280701754387</v>
      </c>
      <c r="AW96" s="22">
        <f t="shared" si="214"/>
        <v>10.087719298245613</v>
      </c>
      <c r="AX96" s="22">
        <f t="shared" si="215"/>
        <v>10.175438596491228</v>
      </c>
      <c r="AY96" s="22">
        <f t="shared" si="216"/>
        <v>10.912280701754387</v>
      </c>
      <c r="AZ96" s="22">
        <f t="shared" si="217"/>
        <v>11.087719298245613</v>
      </c>
      <c r="BA96" s="22">
        <f t="shared" si="218"/>
        <v>11.175438596491228</v>
      </c>
      <c r="BB96" s="22">
        <f t="shared" si="219"/>
        <v>11.912280701754387</v>
      </c>
      <c r="BC96" s="22">
        <f t="shared" si="220"/>
        <v>12.087719298245613</v>
      </c>
      <c r="BD96" s="22">
        <f t="shared" si="221"/>
        <v>12.175438596491228</v>
      </c>
      <c r="BE96"/>
      <c r="BF96"/>
      <c r="BG96"/>
      <c r="BH96"/>
      <c r="BI96"/>
      <c r="BJ96"/>
      <c r="BK96"/>
      <c r="BL96"/>
      <c r="BM96"/>
      <c r="BN96"/>
      <c r="BO96"/>
      <c r="BP96"/>
      <c r="BQ96"/>
    </row>
    <row r="97" spans="17:69" ht="15" x14ac:dyDescent="0.25">
      <c r="Q97" s="23">
        <f t="shared" si="187"/>
        <v>4</v>
      </c>
      <c r="R97" s="22">
        <f t="shared" si="222"/>
        <v>-8.771929824561403E-2</v>
      </c>
      <c r="S97" s="22">
        <f t="shared" si="223"/>
        <v>8.771929824561403E-2</v>
      </c>
      <c r="T97" s="22">
        <f t="shared" si="224"/>
        <v>0.17543859649122806</v>
      </c>
      <c r="U97" s="22">
        <f t="shared" si="225"/>
        <v>0.91228070175438591</v>
      </c>
      <c r="V97" s="22">
        <f t="shared" si="188"/>
        <v>1.0877192982456141</v>
      </c>
      <c r="W97" s="22">
        <f t="shared" si="189"/>
        <v>1.1754385964912282</v>
      </c>
      <c r="X97" s="22">
        <f t="shared" si="190"/>
        <v>1.9122807017543859</v>
      </c>
      <c r="Y97" s="22">
        <f t="shared" si="191"/>
        <v>2.0877192982456139</v>
      </c>
      <c r="Z97" s="22">
        <f t="shared" si="192"/>
        <v>2.1754385964912282</v>
      </c>
      <c r="AA97" s="22">
        <f t="shared" si="193"/>
        <v>2.9122807017543861</v>
      </c>
      <c r="AB97" s="22">
        <f t="shared" si="194"/>
        <v>3.0877192982456139</v>
      </c>
      <c r="AC97" s="22">
        <f t="shared" si="195"/>
        <v>3.1754385964912282</v>
      </c>
      <c r="AD97" s="22">
        <f t="shared" si="195"/>
        <v>3.9122807017543861</v>
      </c>
      <c r="AE97" s="22">
        <f t="shared" si="196"/>
        <v>4.0877192982456139</v>
      </c>
      <c r="AF97" s="22">
        <f t="shared" si="197"/>
        <v>4.1754385964912277</v>
      </c>
      <c r="AG97" s="22">
        <f t="shared" si="198"/>
        <v>4.9122807017543861</v>
      </c>
      <c r="AH97" s="22">
        <f t="shared" si="199"/>
        <v>5.0877192982456139</v>
      </c>
      <c r="AI97" s="22">
        <f t="shared" si="200"/>
        <v>5.1754385964912277</v>
      </c>
      <c r="AJ97" s="22">
        <f t="shared" si="201"/>
        <v>5.9122807017543861</v>
      </c>
      <c r="AK97" s="22">
        <f t="shared" si="202"/>
        <v>6.0877192982456139</v>
      </c>
      <c r="AL97" s="22">
        <f t="shared" si="203"/>
        <v>6.1754385964912277</v>
      </c>
      <c r="AM97" s="22">
        <f t="shared" si="204"/>
        <v>6.9122807017543861</v>
      </c>
      <c r="AN97" s="22">
        <f t="shared" si="205"/>
        <v>7.0877192982456139</v>
      </c>
      <c r="AO97" s="22">
        <f t="shared" si="206"/>
        <v>7.1754385964912277</v>
      </c>
      <c r="AP97" s="22">
        <f t="shared" si="207"/>
        <v>7.9122807017543861</v>
      </c>
      <c r="AQ97" s="22">
        <f t="shared" si="208"/>
        <v>8.087719298245613</v>
      </c>
      <c r="AR97" s="22">
        <f t="shared" si="209"/>
        <v>8.1754385964912277</v>
      </c>
      <c r="AS97" s="22">
        <f t="shared" si="210"/>
        <v>8.912280701754387</v>
      </c>
      <c r="AT97" s="22">
        <f t="shared" si="211"/>
        <v>9.087719298245613</v>
      </c>
      <c r="AU97" s="22">
        <f t="shared" si="212"/>
        <v>9.1754385964912277</v>
      </c>
      <c r="AV97" s="22">
        <f t="shared" si="213"/>
        <v>9.912280701754387</v>
      </c>
      <c r="AW97" s="22">
        <f t="shared" si="214"/>
        <v>10.087719298245613</v>
      </c>
      <c r="AX97" s="22">
        <f t="shared" si="215"/>
        <v>10.175438596491228</v>
      </c>
      <c r="AY97" s="22">
        <f t="shared" si="216"/>
        <v>10.912280701754387</v>
      </c>
      <c r="AZ97" s="22">
        <f t="shared" si="217"/>
        <v>11.087719298245613</v>
      </c>
      <c r="BA97" s="22">
        <f t="shared" si="218"/>
        <v>11.175438596491228</v>
      </c>
      <c r="BB97" s="22">
        <f t="shared" si="219"/>
        <v>11.912280701754387</v>
      </c>
      <c r="BC97" s="22">
        <f t="shared" si="220"/>
        <v>12.087719298245613</v>
      </c>
      <c r="BD97" s="22">
        <f t="shared" si="221"/>
        <v>12.175438596491228</v>
      </c>
      <c r="BE97"/>
      <c r="BF97"/>
      <c r="BG97"/>
      <c r="BH97"/>
      <c r="BI97"/>
      <c r="BJ97"/>
      <c r="BK97"/>
      <c r="BL97"/>
      <c r="BM97"/>
      <c r="BN97"/>
      <c r="BO97"/>
      <c r="BP97"/>
      <c r="BQ97"/>
    </row>
    <row r="98" spans="17:69" ht="15" x14ac:dyDescent="0.25">
      <c r="Q98" s="23">
        <f t="shared" si="187"/>
        <v>5</v>
      </c>
      <c r="R98" s="22">
        <f t="shared" si="222"/>
        <v>-8.771929824561403E-2</v>
      </c>
      <c r="S98" s="22">
        <f t="shared" si="223"/>
        <v>8.771929824561403E-2</v>
      </c>
      <c r="T98" s="22">
        <f t="shared" si="224"/>
        <v>0.17543859649122806</v>
      </c>
      <c r="U98" s="22">
        <f t="shared" si="225"/>
        <v>0.91228070175438591</v>
      </c>
      <c r="V98" s="22">
        <f t="shared" si="188"/>
        <v>1.0877192982456141</v>
      </c>
      <c r="W98" s="22">
        <f t="shared" si="189"/>
        <v>1.1754385964912282</v>
      </c>
      <c r="X98" s="22">
        <f t="shared" si="190"/>
        <v>1.9122807017543859</v>
      </c>
      <c r="Y98" s="22">
        <f t="shared" si="191"/>
        <v>2.0877192982456139</v>
      </c>
      <c r="Z98" s="22">
        <f t="shared" si="192"/>
        <v>2.1754385964912282</v>
      </c>
      <c r="AA98" s="22">
        <f t="shared" si="193"/>
        <v>2.9122807017543861</v>
      </c>
      <c r="AB98" s="22">
        <f t="shared" si="194"/>
        <v>3.0877192982456139</v>
      </c>
      <c r="AC98" s="22">
        <f t="shared" si="195"/>
        <v>3.1754385964912282</v>
      </c>
      <c r="AD98" s="22">
        <f t="shared" si="195"/>
        <v>3.9122807017543861</v>
      </c>
      <c r="AE98" s="22">
        <f t="shared" si="196"/>
        <v>4.0877192982456139</v>
      </c>
      <c r="AF98" s="22">
        <f t="shared" si="197"/>
        <v>4.1754385964912277</v>
      </c>
      <c r="AG98" s="22">
        <f t="shared" si="198"/>
        <v>4.9122807017543861</v>
      </c>
      <c r="AH98" s="22">
        <f t="shared" si="199"/>
        <v>5.0877192982456139</v>
      </c>
      <c r="AI98" s="22">
        <f t="shared" si="200"/>
        <v>5.1754385964912277</v>
      </c>
      <c r="AJ98" s="22">
        <f t="shared" si="201"/>
        <v>5.9122807017543861</v>
      </c>
      <c r="AK98" s="22">
        <f t="shared" si="202"/>
        <v>6.0877192982456139</v>
      </c>
      <c r="AL98" s="22">
        <f t="shared" si="203"/>
        <v>6.1754385964912277</v>
      </c>
      <c r="AM98" s="22">
        <f t="shared" si="204"/>
        <v>6.9122807017543861</v>
      </c>
      <c r="AN98" s="22">
        <f t="shared" si="205"/>
        <v>7.0877192982456139</v>
      </c>
      <c r="AO98" s="22">
        <f t="shared" si="206"/>
        <v>7.1754385964912277</v>
      </c>
      <c r="AP98" s="22">
        <f t="shared" si="207"/>
        <v>7.9122807017543861</v>
      </c>
      <c r="AQ98" s="22">
        <f t="shared" si="208"/>
        <v>8.087719298245613</v>
      </c>
      <c r="AR98" s="22">
        <f t="shared" si="209"/>
        <v>8.1754385964912277</v>
      </c>
      <c r="AS98" s="22">
        <f t="shared" si="210"/>
        <v>8.912280701754387</v>
      </c>
      <c r="AT98" s="22">
        <f t="shared" si="211"/>
        <v>9.087719298245613</v>
      </c>
      <c r="AU98" s="22">
        <f t="shared" si="212"/>
        <v>9.1754385964912277</v>
      </c>
      <c r="AV98" s="22">
        <f t="shared" si="213"/>
        <v>9.912280701754387</v>
      </c>
      <c r="AW98" s="22">
        <f t="shared" si="214"/>
        <v>10.087719298245613</v>
      </c>
      <c r="AX98" s="22">
        <f t="shared" si="215"/>
        <v>10.175438596491228</v>
      </c>
      <c r="AY98" s="22">
        <f t="shared" si="216"/>
        <v>10.912280701754387</v>
      </c>
      <c r="AZ98" s="22">
        <f t="shared" si="217"/>
        <v>11.087719298245613</v>
      </c>
      <c r="BA98" s="22">
        <f t="shared" si="218"/>
        <v>11.175438596491228</v>
      </c>
      <c r="BB98" s="22">
        <f t="shared" si="219"/>
        <v>11.912280701754387</v>
      </c>
      <c r="BC98" s="22">
        <f t="shared" si="220"/>
        <v>12.087719298245613</v>
      </c>
      <c r="BD98" s="22">
        <f t="shared" si="221"/>
        <v>12.175438596491228</v>
      </c>
      <c r="BE98"/>
      <c r="BF98"/>
      <c r="BG98"/>
      <c r="BH98"/>
      <c r="BI98"/>
      <c r="BJ98"/>
      <c r="BK98"/>
      <c r="BL98"/>
      <c r="BM98"/>
      <c r="BN98"/>
      <c r="BO98"/>
      <c r="BP98"/>
      <c r="BQ98"/>
    </row>
    <row r="99" spans="17:69" ht="15" x14ac:dyDescent="0.25">
      <c r="Q99" s="23">
        <f t="shared" si="187"/>
        <v>6</v>
      </c>
      <c r="R99" s="22">
        <f t="shared" si="222"/>
        <v>-8.771929824561403E-2</v>
      </c>
      <c r="S99" s="22">
        <f t="shared" si="223"/>
        <v>8.771929824561403E-2</v>
      </c>
      <c r="T99" s="22">
        <f t="shared" si="224"/>
        <v>0.17543859649122806</v>
      </c>
      <c r="U99" s="22">
        <f t="shared" si="225"/>
        <v>0.91228070175438591</v>
      </c>
      <c r="V99" s="22">
        <f t="shared" si="188"/>
        <v>1.0877192982456141</v>
      </c>
      <c r="W99" s="22">
        <f t="shared" si="189"/>
        <v>1.1754385964912282</v>
      </c>
      <c r="X99" s="22">
        <f t="shared" si="190"/>
        <v>1.9122807017543859</v>
      </c>
      <c r="Y99" s="22">
        <f t="shared" si="191"/>
        <v>2.0877192982456139</v>
      </c>
      <c r="Z99" s="22">
        <f t="shared" si="192"/>
        <v>2.1754385964912282</v>
      </c>
      <c r="AA99" s="22">
        <f t="shared" si="193"/>
        <v>2.9122807017543861</v>
      </c>
      <c r="AB99" s="22">
        <f t="shared" si="194"/>
        <v>3.0877192982456139</v>
      </c>
      <c r="AC99" s="22">
        <f t="shared" si="195"/>
        <v>3.1754385964912282</v>
      </c>
      <c r="AD99" s="22">
        <f t="shared" si="195"/>
        <v>3.9122807017543861</v>
      </c>
      <c r="AE99" s="22">
        <f t="shared" si="196"/>
        <v>4.0877192982456139</v>
      </c>
      <c r="AF99" s="22">
        <f t="shared" si="197"/>
        <v>4.1754385964912277</v>
      </c>
      <c r="AG99" s="22">
        <f t="shared" si="198"/>
        <v>4.9122807017543861</v>
      </c>
      <c r="AH99" s="22">
        <f t="shared" si="199"/>
        <v>5.0877192982456139</v>
      </c>
      <c r="AI99" s="22">
        <f t="shared" si="200"/>
        <v>5.1754385964912277</v>
      </c>
      <c r="AJ99" s="22">
        <f t="shared" si="201"/>
        <v>5.9122807017543861</v>
      </c>
      <c r="AK99" s="22">
        <f t="shared" si="202"/>
        <v>6.0877192982456139</v>
      </c>
      <c r="AL99" s="22">
        <f t="shared" si="203"/>
        <v>6.1754385964912277</v>
      </c>
      <c r="AM99" s="22">
        <f t="shared" si="204"/>
        <v>6.9122807017543861</v>
      </c>
      <c r="AN99" s="22">
        <f t="shared" si="205"/>
        <v>7.0877192982456139</v>
      </c>
      <c r="AO99" s="22">
        <f t="shared" si="206"/>
        <v>7.1754385964912277</v>
      </c>
      <c r="AP99" s="22">
        <f t="shared" si="207"/>
        <v>7.9122807017543861</v>
      </c>
      <c r="AQ99" s="22">
        <f t="shared" si="208"/>
        <v>8.087719298245613</v>
      </c>
      <c r="AR99" s="22">
        <f t="shared" si="209"/>
        <v>8.1754385964912277</v>
      </c>
      <c r="AS99" s="22">
        <f t="shared" si="210"/>
        <v>8.912280701754387</v>
      </c>
      <c r="AT99" s="22">
        <f t="shared" si="211"/>
        <v>9.087719298245613</v>
      </c>
      <c r="AU99" s="22">
        <f t="shared" si="212"/>
        <v>9.1754385964912277</v>
      </c>
      <c r="AV99" s="22">
        <f t="shared" si="213"/>
        <v>9.912280701754387</v>
      </c>
      <c r="AW99" s="22">
        <f t="shared" si="214"/>
        <v>10.087719298245613</v>
      </c>
      <c r="AX99" s="22">
        <f t="shared" si="215"/>
        <v>10.175438596491228</v>
      </c>
      <c r="AY99" s="22">
        <f t="shared" si="216"/>
        <v>10.912280701754387</v>
      </c>
      <c r="AZ99" s="22">
        <f t="shared" si="217"/>
        <v>11.087719298245613</v>
      </c>
      <c r="BA99" s="22">
        <f t="shared" si="218"/>
        <v>11.175438596491228</v>
      </c>
      <c r="BB99" s="22">
        <f t="shared" si="219"/>
        <v>11.912280701754387</v>
      </c>
      <c r="BC99" s="22">
        <f t="shared" si="220"/>
        <v>12.087719298245613</v>
      </c>
      <c r="BD99" s="22">
        <f t="shared" si="221"/>
        <v>12.175438596491228</v>
      </c>
      <c r="BE99"/>
      <c r="BF99"/>
      <c r="BG99"/>
      <c r="BH99"/>
      <c r="BI99"/>
      <c r="BJ99"/>
      <c r="BK99"/>
      <c r="BL99"/>
      <c r="BM99"/>
      <c r="BN99"/>
      <c r="BO99"/>
      <c r="BP99"/>
      <c r="BQ99"/>
    </row>
    <row r="100" spans="17:69" ht="15" x14ac:dyDescent="0.25">
      <c r="Q100" s="23">
        <f t="shared" si="187"/>
        <v>7</v>
      </c>
      <c r="R100" s="22">
        <f t="shared" si="222"/>
        <v>-8.771929824561403E-2</v>
      </c>
      <c r="S100" s="22">
        <f t="shared" si="223"/>
        <v>8.771929824561403E-2</v>
      </c>
      <c r="T100" s="22">
        <f t="shared" si="224"/>
        <v>0.17543859649122806</v>
      </c>
      <c r="U100" s="22">
        <f t="shared" si="225"/>
        <v>0.91228070175438591</v>
      </c>
      <c r="V100" s="22">
        <f t="shared" si="188"/>
        <v>1.0877192982456141</v>
      </c>
      <c r="W100" s="22">
        <f t="shared" si="189"/>
        <v>1.1754385964912282</v>
      </c>
      <c r="X100" s="22">
        <f t="shared" si="190"/>
        <v>1.9122807017543859</v>
      </c>
      <c r="Y100" s="22">
        <f t="shared" si="191"/>
        <v>2.0877192982456139</v>
      </c>
      <c r="Z100" s="22">
        <f t="shared" si="192"/>
        <v>2.1754385964912282</v>
      </c>
      <c r="AA100" s="22">
        <f t="shared" si="193"/>
        <v>2.9122807017543861</v>
      </c>
      <c r="AB100" s="22">
        <f t="shared" si="194"/>
        <v>3.0877192982456139</v>
      </c>
      <c r="AC100" s="22">
        <f t="shared" si="195"/>
        <v>3.1754385964912282</v>
      </c>
      <c r="AD100" s="22">
        <f t="shared" si="195"/>
        <v>3.9122807017543861</v>
      </c>
      <c r="AE100" s="22">
        <f t="shared" si="196"/>
        <v>4.0877192982456139</v>
      </c>
      <c r="AF100" s="22">
        <f t="shared" si="197"/>
        <v>4.1754385964912277</v>
      </c>
      <c r="AG100" s="22">
        <f t="shared" si="198"/>
        <v>4.9122807017543861</v>
      </c>
      <c r="AH100" s="22">
        <f t="shared" si="199"/>
        <v>5.0877192982456139</v>
      </c>
      <c r="AI100" s="22">
        <f t="shared" si="200"/>
        <v>5.1754385964912277</v>
      </c>
      <c r="AJ100" s="22">
        <f t="shared" si="201"/>
        <v>5.9122807017543861</v>
      </c>
      <c r="AK100" s="22">
        <f t="shared" si="202"/>
        <v>6.0877192982456139</v>
      </c>
      <c r="AL100" s="22">
        <f t="shared" si="203"/>
        <v>6.1754385964912277</v>
      </c>
      <c r="AM100" s="22">
        <f t="shared" si="204"/>
        <v>6.9122807017543861</v>
      </c>
      <c r="AN100" s="22">
        <f t="shared" si="205"/>
        <v>7.0877192982456139</v>
      </c>
      <c r="AO100" s="22">
        <f t="shared" si="206"/>
        <v>7.1754385964912277</v>
      </c>
      <c r="AP100" s="22">
        <f t="shared" si="207"/>
        <v>7.9122807017543861</v>
      </c>
      <c r="AQ100" s="22">
        <f t="shared" si="208"/>
        <v>8.087719298245613</v>
      </c>
      <c r="AR100" s="22">
        <f t="shared" si="209"/>
        <v>8.1754385964912277</v>
      </c>
      <c r="AS100" s="22">
        <f t="shared" si="210"/>
        <v>8.912280701754387</v>
      </c>
      <c r="AT100" s="22">
        <f t="shared" si="211"/>
        <v>9.087719298245613</v>
      </c>
      <c r="AU100" s="22">
        <f t="shared" si="212"/>
        <v>9.1754385964912277</v>
      </c>
      <c r="AV100" s="22">
        <f t="shared" si="213"/>
        <v>9.912280701754387</v>
      </c>
      <c r="AW100" s="22">
        <f t="shared" si="214"/>
        <v>10.087719298245613</v>
      </c>
      <c r="AX100" s="22">
        <f t="shared" si="215"/>
        <v>10.175438596491228</v>
      </c>
      <c r="AY100" s="22">
        <f t="shared" si="216"/>
        <v>10.912280701754387</v>
      </c>
      <c r="AZ100" s="22">
        <f t="shared" si="217"/>
        <v>11.087719298245613</v>
      </c>
      <c r="BA100" s="22">
        <f t="shared" si="218"/>
        <v>11.175438596491228</v>
      </c>
      <c r="BB100" s="22">
        <f t="shared" si="219"/>
        <v>11.912280701754387</v>
      </c>
      <c r="BC100" s="22">
        <f t="shared" si="220"/>
        <v>12.087719298245613</v>
      </c>
      <c r="BD100" s="22">
        <f t="shared" si="221"/>
        <v>12.175438596491228</v>
      </c>
      <c r="BE100"/>
      <c r="BF100"/>
      <c r="BG100"/>
      <c r="BH100"/>
      <c r="BI100"/>
      <c r="BJ100"/>
      <c r="BK100"/>
      <c r="BL100"/>
      <c r="BM100"/>
      <c r="BN100"/>
      <c r="BO100"/>
      <c r="BP100"/>
      <c r="BQ100"/>
    </row>
    <row r="101" spans="17:69" ht="15" x14ac:dyDescent="0.25">
      <c r="Q101" s="23">
        <f t="shared" si="187"/>
        <v>8</v>
      </c>
      <c r="R101" s="22">
        <f t="shared" si="222"/>
        <v>-8.771929824561403E-2</v>
      </c>
      <c r="S101" s="22">
        <f t="shared" si="223"/>
        <v>8.771929824561403E-2</v>
      </c>
      <c r="T101" s="22">
        <f t="shared" si="224"/>
        <v>0.17543859649122806</v>
      </c>
      <c r="U101" s="22">
        <f t="shared" si="225"/>
        <v>0.91228070175438591</v>
      </c>
      <c r="V101" s="22">
        <f t="shared" si="188"/>
        <v>1.0877192982456141</v>
      </c>
      <c r="W101" s="22">
        <f t="shared" si="189"/>
        <v>1.1754385964912282</v>
      </c>
      <c r="X101" s="22">
        <f t="shared" si="190"/>
        <v>1.9122807017543859</v>
      </c>
      <c r="Y101" s="22">
        <f t="shared" si="191"/>
        <v>2.0877192982456139</v>
      </c>
      <c r="Z101" s="22">
        <f t="shared" si="192"/>
        <v>2.1754385964912282</v>
      </c>
      <c r="AA101" s="22">
        <f t="shared" si="193"/>
        <v>2.9122807017543861</v>
      </c>
      <c r="AB101" s="22">
        <f t="shared" si="194"/>
        <v>3.0877192982456139</v>
      </c>
      <c r="AC101" s="22">
        <f t="shared" si="195"/>
        <v>3.1754385964912282</v>
      </c>
      <c r="AD101" s="22">
        <f t="shared" si="195"/>
        <v>3.9122807017543861</v>
      </c>
      <c r="AE101" s="22">
        <f t="shared" si="196"/>
        <v>4.0877192982456139</v>
      </c>
      <c r="AF101" s="22">
        <f t="shared" si="197"/>
        <v>4.1754385964912277</v>
      </c>
      <c r="AG101" s="22">
        <f t="shared" si="198"/>
        <v>4.9122807017543861</v>
      </c>
      <c r="AH101" s="22">
        <f t="shared" si="199"/>
        <v>5.0877192982456139</v>
      </c>
      <c r="AI101" s="22">
        <f t="shared" si="200"/>
        <v>5.1754385964912277</v>
      </c>
      <c r="AJ101" s="22">
        <f t="shared" si="201"/>
        <v>5.9122807017543861</v>
      </c>
      <c r="AK101" s="22">
        <f t="shared" si="202"/>
        <v>6.0877192982456139</v>
      </c>
      <c r="AL101" s="22">
        <f t="shared" si="203"/>
        <v>6.1754385964912277</v>
      </c>
      <c r="AM101" s="22">
        <f t="shared" si="204"/>
        <v>6.9122807017543861</v>
      </c>
      <c r="AN101" s="22">
        <f t="shared" si="205"/>
        <v>7.0877192982456139</v>
      </c>
      <c r="AO101" s="22">
        <f t="shared" si="206"/>
        <v>7.1754385964912277</v>
      </c>
      <c r="AP101" s="22">
        <f t="shared" si="207"/>
        <v>7.9122807017543861</v>
      </c>
      <c r="AQ101" s="22">
        <f t="shared" si="208"/>
        <v>8.087719298245613</v>
      </c>
      <c r="AR101" s="22">
        <f t="shared" si="209"/>
        <v>8.1754385964912277</v>
      </c>
      <c r="AS101" s="22">
        <f t="shared" si="210"/>
        <v>8.912280701754387</v>
      </c>
      <c r="AT101" s="22">
        <f t="shared" si="211"/>
        <v>9.087719298245613</v>
      </c>
      <c r="AU101" s="22">
        <f t="shared" si="212"/>
        <v>9.1754385964912277</v>
      </c>
      <c r="AV101" s="22">
        <f t="shared" si="213"/>
        <v>9.912280701754387</v>
      </c>
      <c r="AW101" s="22">
        <f t="shared" si="214"/>
        <v>10.087719298245613</v>
      </c>
      <c r="AX101" s="22">
        <f t="shared" si="215"/>
        <v>10.175438596491228</v>
      </c>
      <c r="AY101" s="22">
        <f t="shared" si="216"/>
        <v>10.912280701754387</v>
      </c>
      <c r="AZ101" s="22">
        <f t="shared" si="217"/>
        <v>11.087719298245613</v>
      </c>
      <c r="BA101" s="22">
        <f t="shared" si="218"/>
        <v>11.175438596491228</v>
      </c>
      <c r="BB101" s="22">
        <f t="shared" si="219"/>
        <v>11.912280701754387</v>
      </c>
      <c r="BC101" s="22">
        <f t="shared" si="220"/>
        <v>12.087719298245613</v>
      </c>
      <c r="BD101" s="22">
        <f t="shared" si="221"/>
        <v>12.175438596491228</v>
      </c>
      <c r="BE101"/>
      <c r="BF101"/>
      <c r="BG101"/>
      <c r="BH101"/>
      <c r="BI101"/>
      <c r="BJ101"/>
      <c r="BK101"/>
      <c r="BL101"/>
      <c r="BM101"/>
      <c r="BN101"/>
      <c r="BO101"/>
      <c r="BP101"/>
      <c r="BQ101"/>
    </row>
    <row r="102" spans="17:69" ht="15" x14ac:dyDescent="0.25">
      <c r="Q102" s="23">
        <f t="shared" si="187"/>
        <v>9</v>
      </c>
      <c r="R102" s="22">
        <f t="shared" si="222"/>
        <v>-8.771929824561403E-2</v>
      </c>
      <c r="S102" s="22">
        <f t="shared" si="223"/>
        <v>8.771929824561403E-2</v>
      </c>
      <c r="T102" s="22">
        <f t="shared" si="224"/>
        <v>0.17543859649122806</v>
      </c>
      <c r="U102" s="22">
        <f t="shared" si="225"/>
        <v>0.91228070175438591</v>
      </c>
      <c r="V102" s="22">
        <f t="shared" si="188"/>
        <v>1.0877192982456141</v>
      </c>
      <c r="W102" s="22">
        <f t="shared" si="189"/>
        <v>1.1754385964912282</v>
      </c>
      <c r="X102" s="22">
        <f t="shared" si="190"/>
        <v>1.9122807017543859</v>
      </c>
      <c r="Y102" s="22">
        <f t="shared" si="191"/>
        <v>2.0877192982456139</v>
      </c>
      <c r="Z102" s="22">
        <f t="shared" si="192"/>
        <v>2.1754385964912282</v>
      </c>
      <c r="AA102" s="22">
        <f t="shared" si="193"/>
        <v>2.9122807017543861</v>
      </c>
      <c r="AB102" s="22">
        <f t="shared" si="194"/>
        <v>3.0877192982456139</v>
      </c>
      <c r="AC102" s="22">
        <f t="shared" si="195"/>
        <v>3.1754385964912282</v>
      </c>
      <c r="AD102" s="22">
        <f t="shared" si="195"/>
        <v>3.9122807017543861</v>
      </c>
      <c r="AE102" s="22">
        <f t="shared" si="196"/>
        <v>4.0877192982456139</v>
      </c>
      <c r="AF102" s="22">
        <f t="shared" si="197"/>
        <v>4.1754385964912277</v>
      </c>
      <c r="AG102" s="22">
        <f t="shared" si="198"/>
        <v>4.9122807017543861</v>
      </c>
      <c r="AH102" s="22">
        <f t="shared" si="199"/>
        <v>5.0877192982456139</v>
      </c>
      <c r="AI102" s="22">
        <f t="shared" si="200"/>
        <v>5.1754385964912277</v>
      </c>
      <c r="AJ102" s="22">
        <f t="shared" si="201"/>
        <v>5.9122807017543861</v>
      </c>
      <c r="AK102" s="22">
        <f t="shared" si="202"/>
        <v>6.0877192982456139</v>
      </c>
      <c r="AL102" s="22">
        <f t="shared" si="203"/>
        <v>6.1754385964912277</v>
      </c>
      <c r="AM102" s="22">
        <f t="shared" si="204"/>
        <v>6.9122807017543861</v>
      </c>
      <c r="AN102" s="22">
        <f t="shared" si="205"/>
        <v>7.0877192982456139</v>
      </c>
      <c r="AO102" s="22">
        <f t="shared" si="206"/>
        <v>7.1754385964912277</v>
      </c>
      <c r="AP102" s="22">
        <f t="shared" si="207"/>
        <v>7.9122807017543861</v>
      </c>
      <c r="AQ102" s="22">
        <f t="shared" si="208"/>
        <v>8.087719298245613</v>
      </c>
      <c r="AR102" s="22">
        <f t="shared" si="209"/>
        <v>8.1754385964912277</v>
      </c>
      <c r="AS102" s="22">
        <f t="shared" si="210"/>
        <v>8.912280701754387</v>
      </c>
      <c r="AT102" s="22">
        <f t="shared" si="211"/>
        <v>9.087719298245613</v>
      </c>
      <c r="AU102" s="22">
        <f t="shared" si="212"/>
        <v>9.1754385964912277</v>
      </c>
      <c r="AV102" s="22">
        <f t="shared" si="213"/>
        <v>9.912280701754387</v>
      </c>
      <c r="AW102" s="22">
        <f t="shared" si="214"/>
        <v>10.087719298245613</v>
      </c>
      <c r="AX102" s="22">
        <f t="shared" si="215"/>
        <v>10.175438596491228</v>
      </c>
      <c r="AY102" s="22">
        <f t="shared" si="216"/>
        <v>10.912280701754387</v>
      </c>
      <c r="AZ102" s="22">
        <f t="shared" si="217"/>
        <v>11.087719298245613</v>
      </c>
      <c r="BA102" s="22">
        <f t="shared" si="218"/>
        <v>11.175438596491228</v>
      </c>
      <c r="BB102" s="22">
        <f t="shared" si="219"/>
        <v>11.912280701754387</v>
      </c>
      <c r="BC102" s="22">
        <f t="shared" si="220"/>
        <v>12.087719298245613</v>
      </c>
      <c r="BD102" s="22">
        <f t="shared" si="221"/>
        <v>12.175438596491228</v>
      </c>
      <c r="BE102"/>
      <c r="BF102"/>
      <c r="BG102"/>
      <c r="BH102"/>
      <c r="BI102"/>
      <c r="BJ102"/>
      <c r="BK102"/>
      <c r="BL102"/>
      <c r="BM102"/>
      <c r="BN102"/>
      <c r="BO102"/>
      <c r="BP102"/>
      <c r="BQ102"/>
    </row>
    <row r="104" spans="17:69" x14ac:dyDescent="0.2">
      <c r="Q104" s="20" t="s">
        <v>33</v>
      </c>
    </row>
    <row r="105" spans="17:69" x14ac:dyDescent="0.2">
      <c r="Q105" s="23" t="str">
        <f>Q92</f>
        <v>Step</v>
      </c>
      <c r="R105" s="12">
        <f t="shared" ref="R105:BD105" si="226">R92</f>
        <v>0</v>
      </c>
      <c r="S105" s="12">
        <f t="shared" si="226"/>
        <v>0</v>
      </c>
      <c r="T105" s="12">
        <f t="shared" si="226"/>
        <v>0</v>
      </c>
      <c r="U105" s="12">
        <f t="shared" si="226"/>
        <v>1</v>
      </c>
      <c r="V105" s="12">
        <f t="shared" si="226"/>
        <v>1</v>
      </c>
      <c r="W105" s="12">
        <f t="shared" si="226"/>
        <v>1</v>
      </c>
      <c r="X105" s="12">
        <f t="shared" si="226"/>
        <v>2</v>
      </c>
      <c r="Y105" s="12">
        <f t="shared" si="226"/>
        <v>2</v>
      </c>
      <c r="Z105" s="12">
        <f t="shared" si="226"/>
        <v>2</v>
      </c>
      <c r="AA105" s="12">
        <f t="shared" si="226"/>
        <v>3</v>
      </c>
      <c r="AB105" s="12">
        <f t="shared" si="226"/>
        <v>3</v>
      </c>
      <c r="AC105" s="12">
        <f t="shared" si="226"/>
        <v>3</v>
      </c>
      <c r="AD105" s="12">
        <f t="shared" si="226"/>
        <v>4</v>
      </c>
      <c r="AE105" s="12">
        <f t="shared" si="226"/>
        <v>4</v>
      </c>
      <c r="AF105" s="12">
        <f t="shared" si="226"/>
        <v>4</v>
      </c>
      <c r="AG105" s="12">
        <f t="shared" si="226"/>
        <v>5</v>
      </c>
      <c r="AH105" s="12">
        <f t="shared" si="226"/>
        <v>5</v>
      </c>
      <c r="AI105" s="12">
        <f t="shared" si="226"/>
        <v>5</v>
      </c>
      <c r="AJ105" s="12">
        <f t="shared" si="226"/>
        <v>6</v>
      </c>
      <c r="AK105" s="12">
        <f t="shared" si="226"/>
        <v>6</v>
      </c>
      <c r="AL105" s="12">
        <f t="shared" si="226"/>
        <v>6</v>
      </c>
      <c r="AM105" s="12">
        <f t="shared" si="226"/>
        <v>7</v>
      </c>
      <c r="AN105" s="12">
        <f t="shared" si="226"/>
        <v>7</v>
      </c>
      <c r="AO105" s="12">
        <f t="shared" si="226"/>
        <v>7</v>
      </c>
      <c r="AP105" s="12">
        <f t="shared" si="226"/>
        <v>8</v>
      </c>
      <c r="AQ105" s="12">
        <f t="shared" si="226"/>
        <v>8</v>
      </c>
      <c r="AR105" s="12">
        <f t="shared" si="226"/>
        <v>8</v>
      </c>
      <c r="AS105" s="12">
        <f t="shared" si="226"/>
        <v>9</v>
      </c>
      <c r="AT105" s="12">
        <f t="shared" si="226"/>
        <v>9</v>
      </c>
      <c r="AU105" s="12">
        <f t="shared" si="226"/>
        <v>9</v>
      </c>
      <c r="AV105" s="12">
        <f t="shared" si="226"/>
        <v>10</v>
      </c>
      <c r="AW105" s="12">
        <f t="shared" si="226"/>
        <v>10</v>
      </c>
      <c r="AX105" s="12">
        <f t="shared" si="226"/>
        <v>10</v>
      </c>
      <c r="AY105" s="12">
        <f t="shared" si="226"/>
        <v>11</v>
      </c>
      <c r="AZ105" s="12">
        <f t="shared" si="226"/>
        <v>11</v>
      </c>
      <c r="BA105" s="12">
        <f t="shared" si="226"/>
        <v>11</v>
      </c>
      <c r="BB105" s="12">
        <f t="shared" si="226"/>
        <v>12</v>
      </c>
      <c r="BC105" s="12">
        <f t="shared" si="226"/>
        <v>12</v>
      </c>
      <c r="BD105" s="12">
        <f t="shared" si="226"/>
        <v>12</v>
      </c>
    </row>
    <row r="106" spans="17:69" x14ac:dyDescent="0.2">
      <c r="Q106" s="23">
        <f t="shared" ref="Q106:Q115" si="227">Q93</f>
        <v>0</v>
      </c>
      <c r="R106" s="22">
        <v>-1</v>
      </c>
      <c r="S106" s="22">
        <v>-1</v>
      </c>
      <c r="T106" s="22">
        <v>-1</v>
      </c>
      <c r="U106" s="22">
        <v>-1</v>
      </c>
      <c r="V106" s="22">
        <v>-1</v>
      </c>
      <c r="W106" s="22">
        <v>-1</v>
      </c>
      <c r="X106" s="22">
        <v>-1</v>
      </c>
      <c r="Y106" s="22">
        <v>-1</v>
      </c>
      <c r="Z106" s="22">
        <v>-1</v>
      </c>
      <c r="AA106" s="22">
        <v>-1</v>
      </c>
      <c r="AB106" s="22">
        <v>-1</v>
      </c>
      <c r="AC106" s="22">
        <v>-1</v>
      </c>
      <c r="AD106" s="22">
        <v>-1</v>
      </c>
      <c r="AE106" s="22">
        <v>-1</v>
      </c>
      <c r="AF106" s="22">
        <v>-1</v>
      </c>
      <c r="AG106" s="22">
        <v>-1</v>
      </c>
      <c r="AH106" s="22">
        <v>-1</v>
      </c>
      <c r="AI106" s="22">
        <v>-1</v>
      </c>
      <c r="AJ106" s="22">
        <v>-1</v>
      </c>
      <c r="AK106" s="22">
        <v>-1</v>
      </c>
      <c r="AL106" s="22">
        <v>-1</v>
      </c>
      <c r="AM106" s="22">
        <v>-1</v>
      </c>
      <c r="AN106" s="22">
        <v>-1</v>
      </c>
      <c r="AO106" s="22">
        <v>-1</v>
      </c>
      <c r="AP106" s="22">
        <v>-1</v>
      </c>
      <c r="AQ106" s="22">
        <v>-1</v>
      </c>
      <c r="AR106" s="22">
        <v>-1</v>
      </c>
      <c r="AS106" s="22">
        <v>-1</v>
      </c>
      <c r="AT106" s="22">
        <v>-1</v>
      </c>
      <c r="AU106" s="22">
        <v>-1</v>
      </c>
      <c r="AV106" s="22">
        <v>-1</v>
      </c>
      <c r="AW106" s="22">
        <v>-1</v>
      </c>
      <c r="AX106" s="22">
        <v>-1</v>
      </c>
      <c r="AY106" s="22">
        <v>-1</v>
      </c>
      <c r="AZ106" s="22">
        <v>-1</v>
      </c>
      <c r="BA106" s="22">
        <v>-1</v>
      </c>
      <c r="BB106" s="22">
        <v>-1</v>
      </c>
      <c r="BC106" s="22">
        <v>-1</v>
      </c>
      <c r="BD106" s="22">
        <v>-1</v>
      </c>
    </row>
    <row r="107" spans="17:69" x14ac:dyDescent="0.2">
      <c r="Q107" s="23">
        <f t="shared" si="227"/>
        <v>1</v>
      </c>
      <c r="R107" s="22">
        <v>1</v>
      </c>
      <c r="S107" s="22">
        <v>1</v>
      </c>
      <c r="T107" s="22">
        <v>1</v>
      </c>
      <c r="U107" s="22">
        <v>1</v>
      </c>
      <c r="V107" s="22">
        <v>1</v>
      </c>
      <c r="W107" s="22">
        <v>1</v>
      </c>
      <c r="X107" s="22">
        <v>1</v>
      </c>
      <c r="Y107" s="22">
        <v>1</v>
      </c>
      <c r="Z107" s="22">
        <v>1</v>
      </c>
      <c r="AA107" s="22">
        <v>1</v>
      </c>
      <c r="AB107" s="22">
        <v>1</v>
      </c>
      <c r="AC107" s="22">
        <v>1</v>
      </c>
      <c r="AD107" s="22">
        <v>1</v>
      </c>
      <c r="AE107" s="22">
        <v>1</v>
      </c>
      <c r="AF107" s="22">
        <v>1</v>
      </c>
      <c r="AG107" s="22">
        <v>1</v>
      </c>
      <c r="AH107" s="22">
        <v>1</v>
      </c>
      <c r="AI107" s="22">
        <v>1</v>
      </c>
      <c r="AJ107" s="22">
        <v>1</v>
      </c>
      <c r="AK107" s="22">
        <v>1</v>
      </c>
      <c r="AL107" s="22">
        <v>1</v>
      </c>
      <c r="AM107" s="22">
        <v>1</v>
      </c>
      <c r="AN107" s="22">
        <v>1</v>
      </c>
      <c r="AO107" s="22">
        <v>1</v>
      </c>
      <c r="AP107" s="22">
        <v>1</v>
      </c>
      <c r="AQ107" s="22">
        <v>1</v>
      </c>
      <c r="AR107" s="22">
        <v>1</v>
      </c>
      <c r="AS107" s="22">
        <v>1</v>
      </c>
      <c r="AT107" s="22">
        <v>1</v>
      </c>
      <c r="AU107" s="22">
        <v>1</v>
      </c>
      <c r="AV107" s="22">
        <v>1</v>
      </c>
      <c r="AW107" s="22">
        <v>1</v>
      </c>
      <c r="AX107" s="22">
        <v>1</v>
      </c>
      <c r="AY107" s="22">
        <v>1</v>
      </c>
      <c r="AZ107" s="22">
        <v>1</v>
      </c>
      <c r="BA107" s="22">
        <v>1</v>
      </c>
      <c r="BB107" s="22">
        <v>1</v>
      </c>
      <c r="BC107" s="22">
        <v>1</v>
      </c>
      <c r="BD107" s="22">
        <v>1</v>
      </c>
    </row>
    <row r="108" spans="17:69" x14ac:dyDescent="0.2">
      <c r="Q108" s="23">
        <f t="shared" si="227"/>
        <v>2</v>
      </c>
      <c r="R108" s="22">
        <v>2</v>
      </c>
      <c r="S108" s="22">
        <v>2</v>
      </c>
      <c r="T108" s="22">
        <v>2</v>
      </c>
      <c r="U108" s="22">
        <v>2</v>
      </c>
      <c r="V108" s="22">
        <v>2</v>
      </c>
      <c r="W108" s="22">
        <v>2</v>
      </c>
      <c r="X108" s="22">
        <v>2</v>
      </c>
      <c r="Y108" s="22">
        <v>2</v>
      </c>
      <c r="Z108" s="22">
        <v>2</v>
      </c>
      <c r="AA108" s="22">
        <v>2</v>
      </c>
      <c r="AB108" s="22">
        <v>2</v>
      </c>
      <c r="AC108" s="22">
        <v>2</v>
      </c>
      <c r="AD108" s="22">
        <v>2</v>
      </c>
      <c r="AE108" s="22">
        <v>2</v>
      </c>
      <c r="AF108" s="22">
        <v>2</v>
      </c>
      <c r="AG108" s="22">
        <v>2</v>
      </c>
      <c r="AH108" s="22">
        <v>2</v>
      </c>
      <c r="AI108" s="22">
        <v>2</v>
      </c>
      <c r="AJ108" s="22">
        <v>2</v>
      </c>
      <c r="AK108" s="22">
        <v>2</v>
      </c>
      <c r="AL108" s="22">
        <v>2</v>
      </c>
      <c r="AM108" s="22">
        <v>2</v>
      </c>
      <c r="AN108" s="22">
        <v>2</v>
      </c>
      <c r="AO108" s="22">
        <v>2</v>
      </c>
      <c r="AP108" s="22">
        <v>2</v>
      </c>
      <c r="AQ108" s="22">
        <v>2</v>
      </c>
      <c r="AR108" s="22">
        <v>2</v>
      </c>
      <c r="AS108" s="22">
        <v>2</v>
      </c>
      <c r="AT108" s="22">
        <v>2</v>
      </c>
      <c r="AU108" s="22">
        <v>2</v>
      </c>
      <c r="AV108" s="22">
        <v>2</v>
      </c>
      <c r="AW108" s="22">
        <v>2</v>
      </c>
      <c r="AX108" s="22">
        <v>2</v>
      </c>
      <c r="AY108" s="22">
        <v>2</v>
      </c>
      <c r="AZ108" s="22">
        <v>2</v>
      </c>
      <c r="BA108" s="22">
        <v>2</v>
      </c>
      <c r="BB108" s="22">
        <v>2</v>
      </c>
      <c r="BC108" s="22">
        <v>2</v>
      </c>
      <c r="BD108" s="22">
        <v>2</v>
      </c>
    </row>
    <row r="109" spans="17:69" x14ac:dyDescent="0.2">
      <c r="Q109" s="23">
        <f t="shared" si="227"/>
        <v>3</v>
      </c>
      <c r="R109" s="22">
        <v>3</v>
      </c>
      <c r="S109" s="22">
        <v>3</v>
      </c>
      <c r="T109" s="22">
        <v>3</v>
      </c>
      <c r="U109" s="22">
        <v>3</v>
      </c>
      <c r="V109" s="22">
        <v>3</v>
      </c>
      <c r="W109" s="22">
        <v>3</v>
      </c>
      <c r="X109" s="22">
        <v>3</v>
      </c>
      <c r="Y109" s="22">
        <v>3</v>
      </c>
      <c r="Z109" s="22">
        <v>3</v>
      </c>
      <c r="AA109" s="22">
        <v>3</v>
      </c>
      <c r="AB109" s="22">
        <v>3</v>
      </c>
      <c r="AC109" s="22">
        <v>3</v>
      </c>
      <c r="AD109" s="22">
        <v>3</v>
      </c>
      <c r="AE109" s="22">
        <v>3</v>
      </c>
      <c r="AF109" s="22">
        <v>3</v>
      </c>
      <c r="AG109" s="22">
        <v>3</v>
      </c>
      <c r="AH109" s="22">
        <v>3</v>
      </c>
      <c r="AI109" s="22">
        <v>3</v>
      </c>
      <c r="AJ109" s="22">
        <v>3</v>
      </c>
      <c r="AK109" s="22">
        <v>3</v>
      </c>
      <c r="AL109" s="22">
        <v>3</v>
      </c>
      <c r="AM109" s="22">
        <v>3</v>
      </c>
      <c r="AN109" s="22">
        <v>3</v>
      </c>
      <c r="AO109" s="22">
        <v>3</v>
      </c>
      <c r="AP109" s="22">
        <v>3</v>
      </c>
      <c r="AQ109" s="22">
        <v>3</v>
      </c>
      <c r="AR109" s="22">
        <v>3</v>
      </c>
      <c r="AS109" s="22">
        <v>3</v>
      </c>
      <c r="AT109" s="22">
        <v>3</v>
      </c>
      <c r="AU109" s="22">
        <v>3</v>
      </c>
      <c r="AV109" s="22">
        <v>3</v>
      </c>
      <c r="AW109" s="22">
        <v>3</v>
      </c>
      <c r="AX109" s="22">
        <v>3</v>
      </c>
      <c r="AY109" s="22">
        <v>3</v>
      </c>
      <c r="AZ109" s="22">
        <v>3</v>
      </c>
      <c r="BA109" s="22">
        <v>3</v>
      </c>
      <c r="BB109" s="22">
        <v>3</v>
      </c>
      <c r="BC109" s="22">
        <v>3</v>
      </c>
      <c r="BD109" s="22">
        <v>3</v>
      </c>
    </row>
    <row r="110" spans="17:69" x14ac:dyDescent="0.2">
      <c r="Q110" s="23">
        <f t="shared" si="227"/>
        <v>4</v>
      </c>
      <c r="R110" s="22">
        <v>4</v>
      </c>
      <c r="S110" s="22">
        <v>4</v>
      </c>
      <c r="T110" s="22">
        <v>4</v>
      </c>
      <c r="U110" s="22">
        <v>4</v>
      </c>
      <c r="V110" s="22">
        <v>4</v>
      </c>
      <c r="W110" s="22">
        <v>4</v>
      </c>
      <c r="X110" s="22">
        <v>4</v>
      </c>
      <c r="Y110" s="22">
        <v>4</v>
      </c>
      <c r="Z110" s="22">
        <v>4</v>
      </c>
      <c r="AA110" s="22">
        <v>4</v>
      </c>
      <c r="AB110" s="22">
        <v>4</v>
      </c>
      <c r="AC110" s="22">
        <v>4</v>
      </c>
      <c r="AD110" s="22">
        <v>4</v>
      </c>
      <c r="AE110" s="22">
        <v>4</v>
      </c>
      <c r="AF110" s="22">
        <v>4</v>
      </c>
      <c r="AG110" s="22">
        <v>4</v>
      </c>
      <c r="AH110" s="22">
        <v>4</v>
      </c>
      <c r="AI110" s="22">
        <v>4</v>
      </c>
      <c r="AJ110" s="22">
        <v>4</v>
      </c>
      <c r="AK110" s="22">
        <v>4</v>
      </c>
      <c r="AL110" s="22">
        <v>4</v>
      </c>
      <c r="AM110" s="22">
        <v>4</v>
      </c>
      <c r="AN110" s="22">
        <v>4</v>
      </c>
      <c r="AO110" s="22">
        <v>4</v>
      </c>
      <c r="AP110" s="22">
        <v>4</v>
      </c>
      <c r="AQ110" s="22">
        <v>4</v>
      </c>
      <c r="AR110" s="22">
        <v>4</v>
      </c>
      <c r="AS110" s="22">
        <v>4</v>
      </c>
      <c r="AT110" s="22">
        <v>4</v>
      </c>
      <c r="AU110" s="22">
        <v>4</v>
      </c>
      <c r="AV110" s="22">
        <v>4</v>
      </c>
      <c r="AW110" s="22">
        <v>4</v>
      </c>
      <c r="AX110" s="22">
        <v>4</v>
      </c>
      <c r="AY110" s="22">
        <v>4</v>
      </c>
      <c r="AZ110" s="22">
        <v>4</v>
      </c>
      <c r="BA110" s="22">
        <v>4</v>
      </c>
      <c r="BB110" s="22">
        <v>4</v>
      </c>
      <c r="BC110" s="22">
        <v>4</v>
      </c>
      <c r="BD110" s="22">
        <v>4</v>
      </c>
    </row>
    <row r="111" spans="17:69" x14ac:dyDescent="0.2">
      <c r="Q111" s="23">
        <f t="shared" si="227"/>
        <v>5</v>
      </c>
      <c r="R111" s="22">
        <v>5</v>
      </c>
      <c r="S111" s="22">
        <v>5</v>
      </c>
      <c r="T111" s="22">
        <v>5</v>
      </c>
      <c r="U111" s="22">
        <v>5</v>
      </c>
      <c r="V111" s="22">
        <v>5</v>
      </c>
      <c r="W111" s="22">
        <v>5</v>
      </c>
      <c r="X111" s="22">
        <v>5</v>
      </c>
      <c r="Y111" s="22">
        <v>5</v>
      </c>
      <c r="Z111" s="22">
        <v>5</v>
      </c>
      <c r="AA111" s="22">
        <v>5</v>
      </c>
      <c r="AB111" s="22">
        <v>5</v>
      </c>
      <c r="AC111" s="22">
        <v>5</v>
      </c>
      <c r="AD111" s="22">
        <v>5</v>
      </c>
      <c r="AE111" s="22">
        <v>5</v>
      </c>
      <c r="AF111" s="22">
        <v>5</v>
      </c>
      <c r="AG111" s="22">
        <v>5</v>
      </c>
      <c r="AH111" s="22">
        <v>5</v>
      </c>
      <c r="AI111" s="22">
        <v>5</v>
      </c>
      <c r="AJ111" s="22">
        <v>5</v>
      </c>
      <c r="AK111" s="22">
        <v>5</v>
      </c>
      <c r="AL111" s="22">
        <v>5</v>
      </c>
      <c r="AM111" s="22">
        <v>5</v>
      </c>
      <c r="AN111" s="22">
        <v>5</v>
      </c>
      <c r="AO111" s="22">
        <v>5</v>
      </c>
      <c r="AP111" s="22">
        <v>5</v>
      </c>
      <c r="AQ111" s="22">
        <v>5</v>
      </c>
      <c r="AR111" s="22">
        <v>5</v>
      </c>
      <c r="AS111" s="22">
        <v>5</v>
      </c>
      <c r="AT111" s="22">
        <v>5</v>
      </c>
      <c r="AU111" s="22">
        <v>5</v>
      </c>
      <c r="AV111" s="22">
        <v>5</v>
      </c>
      <c r="AW111" s="22">
        <v>5</v>
      </c>
      <c r="AX111" s="22">
        <v>5</v>
      </c>
      <c r="AY111" s="22">
        <v>5</v>
      </c>
      <c r="AZ111" s="22">
        <v>5</v>
      </c>
      <c r="BA111" s="22">
        <v>5</v>
      </c>
      <c r="BB111" s="22">
        <v>5</v>
      </c>
      <c r="BC111" s="22">
        <v>5</v>
      </c>
      <c r="BD111" s="22">
        <v>5</v>
      </c>
    </row>
    <row r="112" spans="17:69" x14ac:dyDescent="0.2">
      <c r="Q112" s="23">
        <f t="shared" si="227"/>
        <v>6</v>
      </c>
      <c r="R112" s="22">
        <v>6</v>
      </c>
      <c r="S112" s="22">
        <v>6</v>
      </c>
      <c r="T112" s="22">
        <v>6</v>
      </c>
      <c r="U112" s="22">
        <v>6</v>
      </c>
      <c r="V112" s="22">
        <v>6</v>
      </c>
      <c r="W112" s="22">
        <v>6</v>
      </c>
      <c r="X112" s="22">
        <v>6</v>
      </c>
      <c r="Y112" s="22">
        <v>6</v>
      </c>
      <c r="Z112" s="22">
        <v>6</v>
      </c>
      <c r="AA112" s="22">
        <v>6</v>
      </c>
      <c r="AB112" s="22">
        <v>6</v>
      </c>
      <c r="AC112" s="22">
        <v>6</v>
      </c>
      <c r="AD112" s="22">
        <v>6</v>
      </c>
      <c r="AE112" s="22">
        <v>6</v>
      </c>
      <c r="AF112" s="22">
        <v>6</v>
      </c>
      <c r="AG112" s="22">
        <v>6</v>
      </c>
      <c r="AH112" s="22">
        <v>6</v>
      </c>
      <c r="AI112" s="22">
        <v>6</v>
      </c>
      <c r="AJ112" s="22">
        <v>6</v>
      </c>
      <c r="AK112" s="22">
        <v>6</v>
      </c>
      <c r="AL112" s="22">
        <v>6</v>
      </c>
      <c r="AM112" s="22">
        <v>6</v>
      </c>
      <c r="AN112" s="22">
        <v>6</v>
      </c>
      <c r="AO112" s="22">
        <v>6</v>
      </c>
      <c r="AP112" s="22">
        <v>6</v>
      </c>
      <c r="AQ112" s="22">
        <v>6</v>
      </c>
      <c r="AR112" s="22">
        <v>6</v>
      </c>
      <c r="AS112" s="22">
        <v>6</v>
      </c>
      <c r="AT112" s="22">
        <v>6</v>
      </c>
      <c r="AU112" s="22">
        <v>6</v>
      </c>
      <c r="AV112" s="22">
        <v>6</v>
      </c>
      <c r="AW112" s="22">
        <v>6</v>
      </c>
      <c r="AX112" s="22">
        <v>6</v>
      </c>
      <c r="AY112" s="22">
        <v>6</v>
      </c>
      <c r="AZ112" s="22">
        <v>6</v>
      </c>
      <c r="BA112" s="22">
        <v>6</v>
      </c>
      <c r="BB112" s="22">
        <v>6</v>
      </c>
      <c r="BC112" s="22">
        <v>6</v>
      </c>
      <c r="BD112" s="22">
        <v>6</v>
      </c>
    </row>
    <row r="113" spans="17:56" x14ac:dyDescent="0.2">
      <c r="Q113" s="23">
        <f t="shared" si="227"/>
        <v>7</v>
      </c>
      <c r="R113" s="22">
        <v>7</v>
      </c>
      <c r="S113" s="22">
        <v>7</v>
      </c>
      <c r="T113" s="22">
        <v>7</v>
      </c>
      <c r="U113" s="22">
        <v>7</v>
      </c>
      <c r="V113" s="22">
        <v>7</v>
      </c>
      <c r="W113" s="22">
        <v>7</v>
      </c>
      <c r="X113" s="22">
        <v>7</v>
      </c>
      <c r="Y113" s="22">
        <v>7</v>
      </c>
      <c r="Z113" s="22">
        <v>7</v>
      </c>
      <c r="AA113" s="22">
        <v>7</v>
      </c>
      <c r="AB113" s="22">
        <v>7</v>
      </c>
      <c r="AC113" s="22">
        <v>7</v>
      </c>
      <c r="AD113" s="22">
        <v>7</v>
      </c>
      <c r="AE113" s="22">
        <v>7</v>
      </c>
      <c r="AF113" s="22">
        <v>7</v>
      </c>
      <c r="AG113" s="22">
        <v>7</v>
      </c>
      <c r="AH113" s="22">
        <v>7</v>
      </c>
      <c r="AI113" s="22">
        <v>7</v>
      </c>
      <c r="AJ113" s="22">
        <v>7</v>
      </c>
      <c r="AK113" s="22">
        <v>7</v>
      </c>
      <c r="AL113" s="22">
        <v>7</v>
      </c>
      <c r="AM113" s="22">
        <v>7</v>
      </c>
      <c r="AN113" s="22">
        <v>7</v>
      </c>
      <c r="AO113" s="22">
        <v>7</v>
      </c>
      <c r="AP113" s="22">
        <v>7</v>
      </c>
      <c r="AQ113" s="22">
        <v>7</v>
      </c>
      <c r="AR113" s="22">
        <v>7</v>
      </c>
      <c r="AS113" s="22">
        <v>7</v>
      </c>
      <c r="AT113" s="22">
        <v>7</v>
      </c>
      <c r="AU113" s="22">
        <v>7</v>
      </c>
      <c r="AV113" s="22">
        <v>7</v>
      </c>
      <c r="AW113" s="22">
        <v>7</v>
      </c>
      <c r="AX113" s="22">
        <v>7</v>
      </c>
      <c r="AY113" s="22">
        <v>7</v>
      </c>
      <c r="AZ113" s="22">
        <v>7</v>
      </c>
      <c r="BA113" s="22">
        <v>7</v>
      </c>
      <c r="BB113" s="22">
        <v>7</v>
      </c>
      <c r="BC113" s="22">
        <v>7</v>
      </c>
      <c r="BD113" s="22">
        <v>7</v>
      </c>
    </row>
    <row r="114" spans="17:56" x14ac:dyDescent="0.2">
      <c r="Q114" s="23">
        <f t="shared" si="227"/>
        <v>8</v>
      </c>
      <c r="R114" s="22">
        <v>8</v>
      </c>
      <c r="S114" s="22">
        <v>8</v>
      </c>
      <c r="T114" s="22">
        <v>8</v>
      </c>
      <c r="U114" s="22">
        <v>8</v>
      </c>
      <c r="V114" s="22">
        <v>8</v>
      </c>
      <c r="W114" s="22">
        <v>8</v>
      </c>
      <c r="X114" s="22">
        <v>8</v>
      </c>
      <c r="Y114" s="22">
        <v>8</v>
      </c>
      <c r="Z114" s="22">
        <v>8</v>
      </c>
      <c r="AA114" s="22">
        <v>8</v>
      </c>
      <c r="AB114" s="22">
        <v>8</v>
      </c>
      <c r="AC114" s="22">
        <v>8</v>
      </c>
      <c r="AD114" s="22">
        <v>8</v>
      </c>
      <c r="AE114" s="22">
        <v>8</v>
      </c>
      <c r="AF114" s="22">
        <v>8</v>
      </c>
      <c r="AG114" s="22">
        <v>8</v>
      </c>
      <c r="AH114" s="22">
        <v>8</v>
      </c>
      <c r="AI114" s="22">
        <v>8</v>
      </c>
      <c r="AJ114" s="22">
        <v>8</v>
      </c>
      <c r="AK114" s="22">
        <v>8</v>
      </c>
      <c r="AL114" s="22">
        <v>8</v>
      </c>
      <c r="AM114" s="22">
        <v>8</v>
      </c>
      <c r="AN114" s="22">
        <v>8</v>
      </c>
      <c r="AO114" s="22">
        <v>8</v>
      </c>
      <c r="AP114" s="22">
        <v>8</v>
      </c>
      <c r="AQ114" s="22">
        <v>8</v>
      </c>
      <c r="AR114" s="22">
        <v>8</v>
      </c>
      <c r="AS114" s="22">
        <v>8</v>
      </c>
      <c r="AT114" s="22">
        <v>8</v>
      </c>
      <c r="AU114" s="22">
        <v>8</v>
      </c>
      <c r="AV114" s="22">
        <v>8</v>
      </c>
      <c r="AW114" s="22">
        <v>8</v>
      </c>
      <c r="AX114" s="22">
        <v>8</v>
      </c>
      <c r="AY114" s="22">
        <v>8</v>
      </c>
      <c r="AZ114" s="22">
        <v>8</v>
      </c>
      <c r="BA114" s="22">
        <v>8</v>
      </c>
      <c r="BB114" s="22">
        <v>8</v>
      </c>
      <c r="BC114" s="22">
        <v>8</v>
      </c>
      <c r="BD114" s="22">
        <v>8</v>
      </c>
    </row>
    <row r="115" spans="17:56" x14ac:dyDescent="0.2">
      <c r="Q115" s="23">
        <f t="shared" si="227"/>
        <v>9</v>
      </c>
      <c r="R115" s="22">
        <v>10</v>
      </c>
      <c r="S115" s="22">
        <v>10</v>
      </c>
      <c r="T115" s="22">
        <v>10</v>
      </c>
      <c r="U115" s="22">
        <v>10</v>
      </c>
      <c r="V115" s="22">
        <v>10</v>
      </c>
      <c r="W115" s="22">
        <v>10</v>
      </c>
      <c r="X115" s="22">
        <v>10</v>
      </c>
      <c r="Y115" s="22">
        <v>10</v>
      </c>
      <c r="Z115" s="22">
        <v>10</v>
      </c>
      <c r="AA115" s="22">
        <v>10</v>
      </c>
      <c r="AB115" s="22">
        <v>10</v>
      </c>
      <c r="AC115" s="22">
        <v>10</v>
      </c>
      <c r="AD115" s="22">
        <v>10</v>
      </c>
      <c r="AE115" s="22">
        <v>10</v>
      </c>
      <c r="AF115" s="22">
        <v>10</v>
      </c>
      <c r="AG115" s="22">
        <v>10</v>
      </c>
      <c r="AH115" s="22">
        <v>10</v>
      </c>
      <c r="AI115" s="22">
        <v>10</v>
      </c>
      <c r="AJ115" s="22">
        <v>10</v>
      </c>
      <c r="AK115" s="22">
        <v>10</v>
      </c>
      <c r="AL115" s="22">
        <v>10</v>
      </c>
      <c r="AM115" s="22">
        <v>10</v>
      </c>
      <c r="AN115" s="22">
        <v>10</v>
      </c>
      <c r="AO115" s="22">
        <v>10</v>
      </c>
      <c r="AP115" s="22">
        <v>10</v>
      </c>
      <c r="AQ115" s="22">
        <v>10</v>
      </c>
      <c r="AR115" s="22">
        <v>10</v>
      </c>
      <c r="AS115" s="22">
        <v>10</v>
      </c>
      <c r="AT115" s="22">
        <v>10</v>
      </c>
      <c r="AU115" s="22">
        <v>10</v>
      </c>
      <c r="AV115" s="22">
        <v>10</v>
      </c>
      <c r="AW115" s="22">
        <v>10</v>
      </c>
      <c r="AX115" s="22">
        <v>10</v>
      </c>
      <c r="AY115" s="22">
        <v>10</v>
      </c>
      <c r="AZ115" s="22">
        <v>10</v>
      </c>
      <c r="BA115" s="22">
        <v>10</v>
      </c>
      <c r="BB115" s="22">
        <v>10</v>
      </c>
      <c r="BC115" s="22">
        <v>10</v>
      </c>
      <c r="BD115" s="22">
        <v>10</v>
      </c>
    </row>
    <row r="117" spans="17:56" x14ac:dyDescent="0.2">
      <c r="Q117" s="20" t="s">
        <v>34</v>
      </c>
    </row>
    <row r="118" spans="17:56" x14ac:dyDescent="0.2">
      <c r="Q118" s="23" t="str">
        <f>Q92</f>
        <v>Step</v>
      </c>
      <c r="R118" s="12" t="str">
        <f>R26</f>
        <v>0</v>
      </c>
      <c r="S118" s="12">
        <f>R118+1</f>
        <v>1</v>
      </c>
      <c r="T118" s="12">
        <f t="shared" ref="T118:AD118" si="228">S118+1</f>
        <v>2</v>
      </c>
      <c r="U118" s="12">
        <f t="shared" si="228"/>
        <v>3</v>
      </c>
      <c r="V118" s="12">
        <f t="shared" si="228"/>
        <v>4</v>
      </c>
      <c r="W118" s="12">
        <f t="shared" si="228"/>
        <v>5</v>
      </c>
      <c r="X118" s="12">
        <f t="shared" si="228"/>
        <v>6</v>
      </c>
      <c r="Y118" s="12">
        <f t="shared" si="228"/>
        <v>7</v>
      </c>
      <c r="Z118" s="12">
        <f t="shared" si="228"/>
        <v>8</v>
      </c>
      <c r="AA118" s="12">
        <f t="shared" si="228"/>
        <v>9</v>
      </c>
      <c r="AB118" s="12">
        <f t="shared" si="228"/>
        <v>10</v>
      </c>
      <c r="AC118" s="12">
        <f t="shared" si="228"/>
        <v>11</v>
      </c>
      <c r="AD118" s="12">
        <f t="shared" si="228"/>
        <v>12</v>
      </c>
    </row>
    <row r="119" spans="17:56" x14ac:dyDescent="0.2">
      <c r="Q119" s="23">
        <f t="shared" ref="Q119:Q148" si="229">Q152</f>
        <v>0</v>
      </c>
      <c r="R119" s="22">
        <v>-1</v>
      </c>
      <c r="S119" s="22">
        <v>1</v>
      </c>
      <c r="T119" s="22">
        <v>2</v>
      </c>
      <c r="U119" s="22">
        <v>3</v>
      </c>
      <c r="V119" s="22">
        <v>4</v>
      </c>
      <c r="W119" s="22">
        <v>5</v>
      </c>
      <c r="X119" s="22">
        <v>6</v>
      </c>
      <c r="Y119" s="22">
        <v>7</v>
      </c>
      <c r="Z119" s="22">
        <v>8</v>
      </c>
      <c r="AA119" s="22">
        <v>9</v>
      </c>
      <c r="AB119" s="22">
        <v>10</v>
      </c>
      <c r="AC119" s="22">
        <v>11</v>
      </c>
      <c r="AD119" s="22">
        <v>13</v>
      </c>
    </row>
    <row r="120" spans="17:56" x14ac:dyDescent="0.2">
      <c r="Q120" s="23">
        <f t="shared" si="229"/>
        <v>0</v>
      </c>
      <c r="R120" s="22">
        <v>-1</v>
      </c>
      <c r="S120" s="22">
        <v>1</v>
      </c>
      <c r="T120" s="22">
        <v>2</v>
      </c>
      <c r="U120" s="22">
        <v>3</v>
      </c>
      <c r="V120" s="22">
        <v>4</v>
      </c>
      <c r="W120" s="22">
        <v>5</v>
      </c>
      <c r="X120" s="22">
        <v>6</v>
      </c>
      <c r="Y120" s="22">
        <v>7</v>
      </c>
      <c r="Z120" s="22">
        <v>8</v>
      </c>
      <c r="AA120" s="22">
        <v>9</v>
      </c>
      <c r="AB120" s="22">
        <v>10</v>
      </c>
      <c r="AC120" s="22">
        <v>11</v>
      </c>
      <c r="AD120" s="22">
        <v>13</v>
      </c>
    </row>
    <row r="121" spans="17:56" x14ac:dyDescent="0.2">
      <c r="Q121" s="23">
        <f t="shared" si="229"/>
        <v>0</v>
      </c>
      <c r="R121" s="22">
        <v>-1</v>
      </c>
      <c r="S121" s="22">
        <v>1</v>
      </c>
      <c r="T121" s="22">
        <v>2</v>
      </c>
      <c r="U121" s="22">
        <v>3</v>
      </c>
      <c r="V121" s="22">
        <v>4</v>
      </c>
      <c r="W121" s="22">
        <v>5</v>
      </c>
      <c r="X121" s="22">
        <v>6</v>
      </c>
      <c r="Y121" s="22">
        <v>7</v>
      </c>
      <c r="Z121" s="22">
        <v>8</v>
      </c>
      <c r="AA121" s="22">
        <v>9</v>
      </c>
      <c r="AB121" s="22">
        <v>10</v>
      </c>
      <c r="AC121" s="22">
        <v>11</v>
      </c>
      <c r="AD121" s="22">
        <v>13</v>
      </c>
    </row>
    <row r="122" spans="17:56" x14ac:dyDescent="0.2">
      <c r="Q122" s="23">
        <f t="shared" si="229"/>
        <v>1</v>
      </c>
      <c r="R122" s="22">
        <v>-1</v>
      </c>
      <c r="S122" s="22">
        <v>1</v>
      </c>
      <c r="T122" s="22">
        <v>2</v>
      </c>
      <c r="U122" s="22">
        <v>3</v>
      </c>
      <c r="V122" s="22">
        <v>4</v>
      </c>
      <c r="W122" s="22">
        <v>5</v>
      </c>
      <c r="X122" s="22">
        <v>6</v>
      </c>
      <c r="Y122" s="22">
        <v>7</v>
      </c>
      <c r="Z122" s="22">
        <v>8</v>
      </c>
      <c r="AA122" s="22">
        <v>9</v>
      </c>
      <c r="AB122" s="22">
        <v>10</v>
      </c>
      <c r="AC122" s="22">
        <v>11</v>
      </c>
      <c r="AD122" s="22">
        <v>13</v>
      </c>
    </row>
    <row r="123" spans="17:56" x14ac:dyDescent="0.2">
      <c r="Q123" s="23">
        <f t="shared" si="229"/>
        <v>1</v>
      </c>
      <c r="R123" s="22">
        <v>-1</v>
      </c>
      <c r="S123" s="22">
        <v>1</v>
      </c>
      <c r="T123" s="22">
        <v>2</v>
      </c>
      <c r="U123" s="22">
        <v>3</v>
      </c>
      <c r="V123" s="22">
        <v>4</v>
      </c>
      <c r="W123" s="22">
        <v>5</v>
      </c>
      <c r="X123" s="22">
        <v>6</v>
      </c>
      <c r="Y123" s="22">
        <v>7</v>
      </c>
      <c r="Z123" s="22">
        <v>8</v>
      </c>
      <c r="AA123" s="22">
        <v>9</v>
      </c>
      <c r="AB123" s="22">
        <v>10</v>
      </c>
      <c r="AC123" s="22">
        <v>11</v>
      </c>
      <c r="AD123" s="22">
        <v>13</v>
      </c>
    </row>
    <row r="124" spans="17:56" x14ac:dyDescent="0.2">
      <c r="Q124" s="23">
        <f t="shared" si="229"/>
        <v>1</v>
      </c>
      <c r="R124" s="22">
        <v>-1</v>
      </c>
      <c r="S124" s="22">
        <v>1</v>
      </c>
      <c r="T124" s="22">
        <v>2</v>
      </c>
      <c r="U124" s="22">
        <v>3</v>
      </c>
      <c r="V124" s="22">
        <v>4</v>
      </c>
      <c r="W124" s="22">
        <v>5</v>
      </c>
      <c r="X124" s="22">
        <v>6</v>
      </c>
      <c r="Y124" s="22">
        <v>7</v>
      </c>
      <c r="Z124" s="22">
        <v>8</v>
      </c>
      <c r="AA124" s="22">
        <v>9</v>
      </c>
      <c r="AB124" s="22">
        <v>10</v>
      </c>
      <c r="AC124" s="22">
        <v>11</v>
      </c>
      <c r="AD124" s="22">
        <v>13</v>
      </c>
    </row>
    <row r="125" spans="17:56" x14ac:dyDescent="0.2">
      <c r="Q125" s="23">
        <f t="shared" si="229"/>
        <v>2</v>
      </c>
      <c r="R125" s="22">
        <v>-1</v>
      </c>
      <c r="S125" s="22">
        <v>1</v>
      </c>
      <c r="T125" s="22">
        <v>2</v>
      </c>
      <c r="U125" s="22">
        <v>3</v>
      </c>
      <c r="V125" s="22">
        <v>4</v>
      </c>
      <c r="W125" s="22">
        <v>5</v>
      </c>
      <c r="X125" s="22">
        <v>6</v>
      </c>
      <c r="Y125" s="22">
        <v>7</v>
      </c>
      <c r="Z125" s="22">
        <v>8</v>
      </c>
      <c r="AA125" s="22">
        <v>9</v>
      </c>
      <c r="AB125" s="22">
        <v>10</v>
      </c>
      <c r="AC125" s="22">
        <v>11</v>
      </c>
      <c r="AD125" s="22">
        <v>13</v>
      </c>
    </row>
    <row r="126" spans="17:56" x14ac:dyDescent="0.2">
      <c r="Q126" s="23">
        <f t="shared" si="229"/>
        <v>2</v>
      </c>
      <c r="R126" s="22">
        <v>-1</v>
      </c>
      <c r="S126" s="22">
        <v>1</v>
      </c>
      <c r="T126" s="22">
        <v>2</v>
      </c>
      <c r="U126" s="22">
        <v>3</v>
      </c>
      <c r="V126" s="22">
        <v>4</v>
      </c>
      <c r="W126" s="22">
        <v>5</v>
      </c>
      <c r="X126" s="22">
        <v>6</v>
      </c>
      <c r="Y126" s="22">
        <v>7</v>
      </c>
      <c r="Z126" s="22">
        <v>8</v>
      </c>
      <c r="AA126" s="22">
        <v>9</v>
      </c>
      <c r="AB126" s="22">
        <v>10</v>
      </c>
      <c r="AC126" s="22">
        <v>11</v>
      </c>
      <c r="AD126" s="22">
        <v>13</v>
      </c>
    </row>
    <row r="127" spans="17:56" x14ac:dyDescent="0.2">
      <c r="Q127" s="23">
        <f t="shared" si="229"/>
        <v>2</v>
      </c>
      <c r="R127" s="22">
        <v>-1</v>
      </c>
      <c r="S127" s="22">
        <v>1</v>
      </c>
      <c r="T127" s="22">
        <v>2</v>
      </c>
      <c r="U127" s="22">
        <v>3</v>
      </c>
      <c r="V127" s="22">
        <v>4</v>
      </c>
      <c r="W127" s="22">
        <v>5</v>
      </c>
      <c r="X127" s="22">
        <v>6</v>
      </c>
      <c r="Y127" s="22">
        <v>7</v>
      </c>
      <c r="Z127" s="22">
        <v>8</v>
      </c>
      <c r="AA127" s="22">
        <v>9</v>
      </c>
      <c r="AB127" s="22">
        <v>10</v>
      </c>
      <c r="AC127" s="22">
        <v>11</v>
      </c>
      <c r="AD127" s="22">
        <v>13</v>
      </c>
    </row>
    <row r="128" spans="17:56" x14ac:dyDescent="0.2">
      <c r="Q128" s="23">
        <f t="shared" si="229"/>
        <v>3</v>
      </c>
      <c r="R128" s="22">
        <v>-1</v>
      </c>
      <c r="S128" s="22">
        <v>1</v>
      </c>
      <c r="T128" s="22">
        <v>2</v>
      </c>
      <c r="U128" s="22">
        <v>3</v>
      </c>
      <c r="V128" s="22">
        <v>4</v>
      </c>
      <c r="W128" s="22">
        <v>5</v>
      </c>
      <c r="X128" s="22">
        <v>6</v>
      </c>
      <c r="Y128" s="22">
        <v>7</v>
      </c>
      <c r="Z128" s="22">
        <v>8</v>
      </c>
      <c r="AA128" s="22">
        <v>9</v>
      </c>
      <c r="AB128" s="22">
        <v>10</v>
      </c>
      <c r="AC128" s="22">
        <v>11</v>
      </c>
      <c r="AD128" s="22">
        <v>13</v>
      </c>
    </row>
    <row r="129" spans="17:30" x14ac:dyDescent="0.2">
      <c r="Q129" s="23">
        <f t="shared" si="229"/>
        <v>3</v>
      </c>
      <c r="R129" s="22">
        <v>-1</v>
      </c>
      <c r="S129" s="22">
        <v>1</v>
      </c>
      <c r="T129" s="22">
        <v>2</v>
      </c>
      <c r="U129" s="22">
        <v>3</v>
      </c>
      <c r="V129" s="22">
        <v>4</v>
      </c>
      <c r="W129" s="22">
        <v>5</v>
      </c>
      <c r="X129" s="22">
        <v>6</v>
      </c>
      <c r="Y129" s="22">
        <v>7</v>
      </c>
      <c r="Z129" s="22">
        <v>8</v>
      </c>
      <c r="AA129" s="22">
        <v>9</v>
      </c>
      <c r="AB129" s="22">
        <v>10</v>
      </c>
      <c r="AC129" s="22">
        <v>11</v>
      </c>
      <c r="AD129" s="22">
        <v>13</v>
      </c>
    </row>
    <row r="130" spans="17:30" x14ac:dyDescent="0.2">
      <c r="Q130" s="23">
        <f t="shared" si="229"/>
        <v>3</v>
      </c>
      <c r="R130" s="22">
        <v>-1</v>
      </c>
      <c r="S130" s="22">
        <v>1</v>
      </c>
      <c r="T130" s="22">
        <v>2</v>
      </c>
      <c r="U130" s="22">
        <v>3</v>
      </c>
      <c r="V130" s="22">
        <v>4</v>
      </c>
      <c r="W130" s="22">
        <v>5</v>
      </c>
      <c r="X130" s="22">
        <v>6</v>
      </c>
      <c r="Y130" s="22">
        <v>7</v>
      </c>
      <c r="Z130" s="22">
        <v>8</v>
      </c>
      <c r="AA130" s="22">
        <v>9</v>
      </c>
      <c r="AB130" s="22">
        <v>10</v>
      </c>
      <c r="AC130" s="22">
        <v>11</v>
      </c>
      <c r="AD130" s="22">
        <v>13</v>
      </c>
    </row>
    <row r="131" spans="17:30" x14ac:dyDescent="0.2">
      <c r="Q131" s="23">
        <f t="shared" si="229"/>
        <v>4</v>
      </c>
      <c r="R131" s="22">
        <v>-1</v>
      </c>
      <c r="S131" s="22">
        <v>1</v>
      </c>
      <c r="T131" s="22">
        <v>2</v>
      </c>
      <c r="U131" s="22">
        <v>3</v>
      </c>
      <c r="V131" s="22">
        <v>4</v>
      </c>
      <c r="W131" s="22">
        <v>5</v>
      </c>
      <c r="X131" s="22">
        <v>6</v>
      </c>
      <c r="Y131" s="22">
        <v>7</v>
      </c>
      <c r="Z131" s="22">
        <v>8</v>
      </c>
      <c r="AA131" s="22">
        <v>9</v>
      </c>
      <c r="AB131" s="22">
        <v>10</v>
      </c>
      <c r="AC131" s="22">
        <v>11</v>
      </c>
      <c r="AD131" s="22">
        <v>13</v>
      </c>
    </row>
    <row r="132" spans="17:30" x14ac:dyDescent="0.2">
      <c r="Q132" s="23">
        <f t="shared" si="229"/>
        <v>4</v>
      </c>
      <c r="R132" s="22">
        <v>-1</v>
      </c>
      <c r="S132" s="22">
        <v>1</v>
      </c>
      <c r="T132" s="22">
        <v>2</v>
      </c>
      <c r="U132" s="22">
        <v>3</v>
      </c>
      <c r="V132" s="22">
        <v>4</v>
      </c>
      <c r="W132" s="22">
        <v>5</v>
      </c>
      <c r="X132" s="22">
        <v>6</v>
      </c>
      <c r="Y132" s="22">
        <v>7</v>
      </c>
      <c r="Z132" s="22">
        <v>8</v>
      </c>
      <c r="AA132" s="22">
        <v>9</v>
      </c>
      <c r="AB132" s="22">
        <v>10</v>
      </c>
      <c r="AC132" s="22">
        <v>11</v>
      </c>
      <c r="AD132" s="22">
        <v>13</v>
      </c>
    </row>
    <row r="133" spans="17:30" x14ac:dyDescent="0.2">
      <c r="Q133" s="23">
        <f t="shared" si="229"/>
        <v>4</v>
      </c>
      <c r="R133" s="22">
        <v>-1</v>
      </c>
      <c r="S133" s="22">
        <v>1</v>
      </c>
      <c r="T133" s="22">
        <v>2</v>
      </c>
      <c r="U133" s="22">
        <v>3</v>
      </c>
      <c r="V133" s="22">
        <v>4</v>
      </c>
      <c r="W133" s="22">
        <v>5</v>
      </c>
      <c r="X133" s="22">
        <v>6</v>
      </c>
      <c r="Y133" s="22">
        <v>7</v>
      </c>
      <c r="Z133" s="22">
        <v>8</v>
      </c>
      <c r="AA133" s="22">
        <v>9</v>
      </c>
      <c r="AB133" s="22">
        <v>10</v>
      </c>
      <c r="AC133" s="22">
        <v>11</v>
      </c>
      <c r="AD133" s="22">
        <v>13</v>
      </c>
    </row>
    <row r="134" spans="17:30" x14ac:dyDescent="0.2">
      <c r="Q134" s="23">
        <f t="shared" si="229"/>
        <v>5</v>
      </c>
      <c r="R134" s="22">
        <v>-1</v>
      </c>
      <c r="S134" s="22">
        <v>1</v>
      </c>
      <c r="T134" s="22">
        <v>2</v>
      </c>
      <c r="U134" s="22">
        <v>3</v>
      </c>
      <c r="V134" s="22">
        <v>4</v>
      </c>
      <c r="W134" s="22">
        <v>5</v>
      </c>
      <c r="X134" s="22">
        <v>6</v>
      </c>
      <c r="Y134" s="22">
        <v>7</v>
      </c>
      <c r="Z134" s="22">
        <v>8</v>
      </c>
      <c r="AA134" s="22">
        <v>9</v>
      </c>
      <c r="AB134" s="22">
        <v>10</v>
      </c>
      <c r="AC134" s="22">
        <v>11</v>
      </c>
      <c r="AD134" s="22">
        <v>13</v>
      </c>
    </row>
    <row r="135" spans="17:30" x14ac:dyDescent="0.2">
      <c r="Q135" s="23">
        <f t="shared" si="229"/>
        <v>5</v>
      </c>
      <c r="R135" s="22">
        <v>-1</v>
      </c>
      <c r="S135" s="22">
        <v>1</v>
      </c>
      <c r="T135" s="22">
        <v>2</v>
      </c>
      <c r="U135" s="22">
        <v>3</v>
      </c>
      <c r="V135" s="22">
        <v>4</v>
      </c>
      <c r="W135" s="22">
        <v>5</v>
      </c>
      <c r="X135" s="22">
        <v>6</v>
      </c>
      <c r="Y135" s="22">
        <v>7</v>
      </c>
      <c r="Z135" s="22">
        <v>8</v>
      </c>
      <c r="AA135" s="22">
        <v>9</v>
      </c>
      <c r="AB135" s="22">
        <v>10</v>
      </c>
      <c r="AC135" s="22">
        <v>11</v>
      </c>
      <c r="AD135" s="22">
        <v>13</v>
      </c>
    </row>
    <row r="136" spans="17:30" x14ac:dyDescent="0.2">
      <c r="Q136" s="23">
        <f t="shared" si="229"/>
        <v>5</v>
      </c>
      <c r="R136" s="22">
        <v>-1</v>
      </c>
      <c r="S136" s="22">
        <v>1</v>
      </c>
      <c r="T136" s="22">
        <v>2</v>
      </c>
      <c r="U136" s="22">
        <v>3</v>
      </c>
      <c r="V136" s="22">
        <v>4</v>
      </c>
      <c r="W136" s="22">
        <v>5</v>
      </c>
      <c r="X136" s="22">
        <v>6</v>
      </c>
      <c r="Y136" s="22">
        <v>7</v>
      </c>
      <c r="Z136" s="22">
        <v>8</v>
      </c>
      <c r="AA136" s="22">
        <v>9</v>
      </c>
      <c r="AB136" s="22">
        <v>10</v>
      </c>
      <c r="AC136" s="22">
        <v>11</v>
      </c>
      <c r="AD136" s="22">
        <v>13</v>
      </c>
    </row>
    <row r="137" spans="17:30" x14ac:dyDescent="0.2">
      <c r="Q137" s="23">
        <f t="shared" si="229"/>
        <v>6</v>
      </c>
      <c r="R137" s="22">
        <v>-1</v>
      </c>
      <c r="S137" s="22">
        <v>1</v>
      </c>
      <c r="T137" s="22">
        <v>2</v>
      </c>
      <c r="U137" s="22">
        <v>3</v>
      </c>
      <c r="V137" s="22">
        <v>4</v>
      </c>
      <c r="W137" s="22">
        <v>5</v>
      </c>
      <c r="X137" s="22">
        <v>6</v>
      </c>
      <c r="Y137" s="22">
        <v>7</v>
      </c>
      <c r="Z137" s="22">
        <v>8</v>
      </c>
      <c r="AA137" s="22">
        <v>9</v>
      </c>
      <c r="AB137" s="22">
        <v>10</v>
      </c>
      <c r="AC137" s="22">
        <v>11</v>
      </c>
      <c r="AD137" s="22">
        <v>13</v>
      </c>
    </row>
    <row r="138" spans="17:30" x14ac:dyDescent="0.2">
      <c r="Q138" s="23">
        <f t="shared" si="229"/>
        <v>6</v>
      </c>
      <c r="R138" s="22">
        <v>-1</v>
      </c>
      <c r="S138" s="22">
        <v>1</v>
      </c>
      <c r="T138" s="22">
        <v>2</v>
      </c>
      <c r="U138" s="22">
        <v>3</v>
      </c>
      <c r="V138" s="22">
        <v>4</v>
      </c>
      <c r="W138" s="22">
        <v>5</v>
      </c>
      <c r="X138" s="22">
        <v>6</v>
      </c>
      <c r="Y138" s="22">
        <v>7</v>
      </c>
      <c r="Z138" s="22">
        <v>8</v>
      </c>
      <c r="AA138" s="22">
        <v>9</v>
      </c>
      <c r="AB138" s="22">
        <v>10</v>
      </c>
      <c r="AC138" s="22">
        <v>11</v>
      </c>
      <c r="AD138" s="22">
        <v>13</v>
      </c>
    </row>
    <row r="139" spans="17:30" x14ac:dyDescent="0.2">
      <c r="Q139" s="23">
        <f t="shared" si="229"/>
        <v>6</v>
      </c>
      <c r="R139" s="22">
        <v>-1</v>
      </c>
      <c r="S139" s="22">
        <v>1</v>
      </c>
      <c r="T139" s="22">
        <v>2</v>
      </c>
      <c r="U139" s="22">
        <v>3</v>
      </c>
      <c r="V139" s="22">
        <v>4</v>
      </c>
      <c r="W139" s="22">
        <v>5</v>
      </c>
      <c r="X139" s="22">
        <v>6</v>
      </c>
      <c r="Y139" s="22">
        <v>7</v>
      </c>
      <c r="Z139" s="22">
        <v>8</v>
      </c>
      <c r="AA139" s="22">
        <v>9</v>
      </c>
      <c r="AB139" s="22">
        <v>10</v>
      </c>
      <c r="AC139" s="22">
        <v>11</v>
      </c>
      <c r="AD139" s="22">
        <v>13</v>
      </c>
    </row>
    <row r="140" spans="17:30" x14ac:dyDescent="0.2">
      <c r="Q140" s="23">
        <f t="shared" si="229"/>
        <v>7</v>
      </c>
      <c r="R140" s="22">
        <v>-1</v>
      </c>
      <c r="S140" s="22">
        <v>1</v>
      </c>
      <c r="T140" s="22">
        <v>2</v>
      </c>
      <c r="U140" s="22">
        <v>3</v>
      </c>
      <c r="V140" s="22">
        <v>4</v>
      </c>
      <c r="W140" s="22">
        <v>5</v>
      </c>
      <c r="X140" s="22">
        <v>6</v>
      </c>
      <c r="Y140" s="22">
        <v>7</v>
      </c>
      <c r="Z140" s="22">
        <v>8</v>
      </c>
      <c r="AA140" s="22">
        <v>9</v>
      </c>
      <c r="AB140" s="22">
        <v>10</v>
      </c>
      <c r="AC140" s="22">
        <v>11</v>
      </c>
      <c r="AD140" s="22">
        <v>13</v>
      </c>
    </row>
    <row r="141" spans="17:30" x14ac:dyDescent="0.2">
      <c r="Q141" s="23">
        <f t="shared" si="229"/>
        <v>7</v>
      </c>
      <c r="R141" s="22">
        <v>-1</v>
      </c>
      <c r="S141" s="22">
        <v>1</v>
      </c>
      <c r="T141" s="22">
        <v>2</v>
      </c>
      <c r="U141" s="22">
        <v>3</v>
      </c>
      <c r="V141" s="22">
        <v>4</v>
      </c>
      <c r="W141" s="22">
        <v>5</v>
      </c>
      <c r="X141" s="22">
        <v>6</v>
      </c>
      <c r="Y141" s="22">
        <v>7</v>
      </c>
      <c r="Z141" s="22">
        <v>8</v>
      </c>
      <c r="AA141" s="22">
        <v>9</v>
      </c>
      <c r="AB141" s="22">
        <v>10</v>
      </c>
      <c r="AC141" s="22">
        <v>11</v>
      </c>
      <c r="AD141" s="22">
        <v>13</v>
      </c>
    </row>
    <row r="142" spans="17:30" x14ac:dyDescent="0.2">
      <c r="Q142" s="23">
        <f t="shared" si="229"/>
        <v>7</v>
      </c>
      <c r="R142" s="22">
        <v>-1</v>
      </c>
      <c r="S142" s="22">
        <v>1</v>
      </c>
      <c r="T142" s="22">
        <v>2</v>
      </c>
      <c r="U142" s="22">
        <v>3</v>
      </c>
      <c r="V142" s="22">
        <v>4</v>
      </c>
      <c r="W142" s="22">
        <v>5</v>
      </c>
      <c r="X142" s="22">
        <v>6</v>
      </c>
      <c r="Y142" s="22">
        <v>7</v>
      </c>
      <c r="Z142" s="22">
        <v>8</v>
      </c>
      <c r="AA142" s="22">
        <v>9</v>
      </c>
      <c r="AB142" s="22">
        <v>10</v>
      </c>
      <c r="AC142" s="22">
        <v>11</v>
      </c>
      <c r="AD142" s="22">
        <v>13</v>
      </c>
    </row>
    <row r="143" spans="17:30" x14ac:dyDescent="0.2">
      <c r="Q143" s="23">
        <f t="shared" si="229"/>
        <v>8</v>
      </c>
      <c r="R143" s="22">
        <v>-1</v>
      </c>
      <c r="S143" s="22">
        <v>1</v>
      </c>
      <c r="T143" s="22">
        <v>2</v>
      </c>
      <c r="U143" s="22">
        <v>3</v>
      </c>
      <c r="V143" s="22">
        <v>4</v>
      </c>
      <c r="W143" s="22">
        <v>5</v>
      </c>
      <c r="X143" s="22">
        <v>6</v>
      </c>
      <c r="Y143" s="22">
        <v>7</v>
      </c>
      <c r="Z143" s="22">
        <v>8</v>
      </c>
      <c r="AA143" s="22">
        <v>9</v>
      </c>
      <c r="AB143" s="22">
        <v>10</v>
      </c>
      <c r="AC143" s="22">
        <v>11</v>
      </c>
      <c r="AD143" s="22">
        <v>13</v>
      </c>
    </row>
    <row r="144" spans="17:30" x14ac:dyDescent="0.2">
      <c r="Q144" s="23">
        <f t="shared" si="229"/>
        <v>8</v>
      </c>
      <c r="R144" s="22">
        <v>-1</v>
      </c>
      <c r="S144" s="22">
        <v>1</v>
      </c>
      <c r="T144" s="22">
        <v>2</v>
      </c>
      <c r="U144" s="22">
        <v>3</v>
      </c>
      <c r="V144" s="22">
        <v>4</v>
      </c>
      <c r="W144" s="22">
        <v>5</v>
      </c>
      <c r="X144" s="22">
        <v>6</v>
      </c>
      <c r="Y144" s="22">
        <v>7</v>
      </c>
      <c r="Z144" s="22">
        <v>8</v>
      </c>
      <c r="AA144" s="22">
        <v>9</v>
      </c>
      <c r="AB144" s="22">
        <v>10</v>
      </c>
      <c r="AC144" s="22">
        <v>11</v>
      </c>
      <c r="AD144" s="22">
        <v>13</v>
      </c>
    </row>
    <row r="145" spans="17:30" x14ac:dyDescent="0.2">
      <c r="Q145" s="23">
        <f t="shared" si="229"/>
        <v>8</v>
      </c>
      <c r="R145" s="22">
        <v>-1</v>
      </c>
      <c r="S145" s="22">
        <v>1</v>
      </c>
      <c r="T145" s="22">
        <v>2</v>
      </c>
      <c r="U145" s="22">
        <v>3</v>
      </c>
      <c r="V145" s="22">
        <v>4</v>
      </c>
      <c r="W145" s="22">
        <v>5</v>
      </c>
      <c r="X145" s="22">
        <v>6</v>
      </c>
      <c r="Y145" s="22">
        <v>7</v>
      </c>
      <c r="Z145" s="22">
        <v>8</v>
      </c>
      <c r="AA145" s="22">
        <v>9</v>
      </c>
      <c r="AB145" s="22">
        <v>10</v>
      </c>
      <c r="AC145" s="22">
        <v>11</v>
      </c>
      <c r="AD145" s="22">
        <v>13</v>
      </c>
    </row>
    <row r="146" spans="17:30" x14ac:dyDescent="0.2">
      <c r="Q146" s="23">
        <f t="shared" si="229"/>
        <v>9</v>
      </c>
      <c r="R146" s="22">
        <v>-1</v>
      </c>
      <c r="S146" s="22">
        <v>1</v>
      </c>
      <c r="T146" s="22">
        <v>2</v>
      </c>
      <c r="U146" s="22">
        <v>3</v>
      </c>
      <c r="V146" s="22">
        <v>4</v>
      </c>
      <c r="W146" s="22">
        <v>5</v>
      </c>
      <c r="X146" s="22">
        <v>6</v>
      </c>
      <c r="Y146" s="22">
        <v>7</v>
      </c>
      <c r="Z146" s="22">
        <v>8</v>
      </c>
      <c r="AA146" s="22">
        <v>9</v>
      </c>
      <c r="AB146" s="22">
        <v>10</v>
      </c>
      <c r="AC146" s="22">
        <v>11</v>
      </c>
      <c r="AD146" s="22">
        <v>13</v>
      </c>
    </row>
    <row r="147" spans="17:30" x14ac:dyDescent="0.2">
      <c r="Q147" s="23">
        <f t="shared" si="229"/>
        <v>9</v>
      </c>
      <c r="R147" s="22">
        <v>-1</v>
      </c>
      <c r="S147" s="22">
        <v>1</v>
      </c>
      <c r="T147" s="22">
        <v>2</v>
      </c>
      <c r="U147" s="22">
        <v>3</v>
      </c>
      <c r="V147" s="22">
        <v>4</v>
      </c>
      <c r="W147" s="22">
        <v>5</v>
      </c>
      <c r="X147" s="22">
        <v>6</v>
      </c>
      <c r="Y147" s="22">
        <v>7</v>
      </c>
      <c r="Z147" s="22">
        <v>8</v>
      </c>
      <c r="AA147" s="22">
        <v>9</v>
      </c>
      <c r="AB147" s="22">
        <v>10</v>
      </c>
      <c r="AC147" s="22">
        <v>11</v>
      </c>
      <c r="AD147" s="22">
        <v>13</v>
      </c>
    </row>
    <row r="148" spans="17:30" x14ac:dyDescent="0.2">
      <c r="Q148" s="23">
        <f t="shared" si="229"/>
        <v>9</v>
      </c>
      <c r="R148" s="22">
        <v>-1</v>
      </c>
      <c r="S148" s="22">
        <v>1</v>
      </c>
      <c r="T148" s="22">
        <v>2</v>
      </c>
      <c r="U148" s="22">
        <v>3</v>
      </c>
      <c r="V148" s="22">
        <v>4</v>
      </c>
      <c r="W148" s="22">
        <v>5</v>
      </c>
      <c r="X148" s="22">
        <v>6</v>
      </c>
      <c r="Y148" s="22">
        <v>7</v>
      </c>
      <c r="Z148" s="22">
        <v>8</v>
      </c>
      <c r="AA148" s="22">
        <v>9</v>
      </c>
      <c r="AB148" s="22">
        <v>10</v>
      </c>
      <c r="AC148" s="22">
        <v>11</v>
      </c>
      <c r="AD148" s="22">
        <v>13</v>
      </c>
    </row>
    <row r="150" spans="17:30" x14ac:dyDescent="0.2">
      <c r="Q150" s="20" t="s">
        <v>35</v>
      </c>
    </row>
    <row r="151" spans="17:30" x14ac:dyDescent="0.2">
      <c r="Q151" s="23" t="str">
        <f t="shared" ref="Q151" si="230">Q105</f>
        <v>Step</v>
      </c>
      <c r="R151" s="12" t="str">
        <f>R118</f>
        <v>0</v>
      </c>
      <c r="S151" s="12">
        <f t="shared" ref="S151:AD151" si="231">S118</f>
        <v>1</v>
      </c>
      <c r="T151" s="12">
        <f t="shared" si="231"/>
        <v>2</v>
      </c>
      <c r="U151" s="12">
        <f t="shared" si="231"/>
        <v>3</v>
      </c>
      <c r="V151" s="12">
        <f t="shared" si="231"/>
        <v>4</v>
      </c>
      <c r="W151" s="12">
        <f t="shared" si="231"/>
        <v>5</v>
      </c>
      <c r="X151" s="12">
        <f t="shared" si="231"/>
        <v>6</v>
      </c>
      <c r="Y151" s="12">
        <f t="shared" si="231"/>
        <v>7</v>
      </c>
      <c r="Z151" s="12">
        <f t="shared" si="231"/>
        <v>8</v>
      </c>
      <c r="AA151" s="12">
        <f t="shared" si="231"/>
        <v>9</v>
      </c>
      <c r="AB151" s="12">
        <f t="shared" si="231"/>
        <v>10</v>
      </c>
      <c r="AC151" s="12">
        <f t="shared" si="231"/>
        <v>11</v>
      </c>
      <c r="AD151" s="12">
        <f t="shared" si="231"/>
        <v>12</v>
      </c>
    </row>
    <row r="152" spans="17:30" x14ac:dyDescent="0.2">
      <c r="Q152" s="23">
        <f>Q106</f>
        <v>0</v>
      </c>
      <c r="R152" s="22">
        <f>-20/76*1/3</f>
        <v>-8.771929824561403E-2</v>
      </c>
      <c r="S152" s="22">
        <f t="shared" ref="S152:AD152" si="232">-20/76*1/3</f>
        <v>-8.771929824561403E-2</v>
      </c>
      <c r="T152" s="22">
        <f t="shared" si="232"/>
        <v>-8.771929824561403E-2</v>
      </c>
      <c r="U152" s="22">
        <f t="shared" si="232"/>
        <v>-8.771929824561403E-2</v>
      </c>
      <c r="V152" s="22">
        <f t="shared" si="232"/>
        <v>-8.771929824561403E-2</v>
      </c>
      <c r="W152" s="22">
        <f t="shared" si="232"/>
        <v>-8.771929824561403E-2</v>
      </c>
      <c r="X152" s="22">
        <f t="shared" si="232"/>
        <v>-8.771929824561403E-2</v>
      </c>
      <c r="Y152" s="22">
        <f t="shared" si="232"/>
        <v>-8.771929824561403E-2</v>
      </c>
      <c r="Z152" s="22">
        <f t="shared" si="232"/>
        <v>-8.771929824561403E-2</v>
      </c>
      <c r="AA152" s="22">
        <f t="shared" si="232"/>
        <v>-8.771929824561403E-2</v>
      </c>
      <c r="AB152" s="22">
        <f t="shared" si="232"/>
        <v>-8.771929824561403E-2</v>
      </c>
      <c r="AC152" s="22">
        <f t="shared" si="232"/>
        <v>-8.771929824561403E-2</v>
      </c>
      <c r="AD152" s="22">
        <f t="shared" si="232"/>
        <v>-8.771929824561403E-2</v>
      </c>
    </row>
    <row r="153" spans="17:30" x14ac:dyDescent="0.2">
      <c r="Q153" s="23">
        <f>Q152</f>
        <v>0</v>
      </c>
      <c r="R153" s="22">
        <f>20/76*1/3</f>
        <v>8.771929824561403E-2</v>
      </c>
      <c r="S153" s="22">
        <f t="shared" ref="S153:AD153" si="233">20/76*1/3</f>
        <v>8.771929824561403E-2</v>
      </c>
      <c r="T153" s="22">
        <f t="shared" si="233"/>
        <v>8.771929824561403E-2</v>
      </c>
      <c r="U153" s="22">
        <f t="shared" si="233"/>
        <v>8.771929824561403E-2</v>
      </c>
      <c r="V153" s="22">
        <f t="shared" si="233"/>
        <v>8.771929824561403E-2</v>
      </c>
      <c r="W153" s="22">
        <f t="shared" si="233"/>
        <v>8.771929824561403E-2</v>
      </c>
      <c r="X153" s="22">
        <f t="shared" si="233"/>
        <v>8.771929824561403E-2</v>
      </c>
      <c r="Y153" s="22">
        <f t="shared" si="233"/>
        <v>8.771929824561403E-2</v>
      </c>
      <c r="Z153" s="22">
        <f t="shared" si="233"/>
        <v>8.771929824561403E-2</v>
      </c>
      <c r="AA153" s="22">
        <f t="shared" si="233"/>
        <v>8.771929824561403E-2</v>
      </c>
      <c r="AB153" s="22">
        <f t="shared" si="233"/>
        <v>8.771929824561403E-2</v>
      </c>
      <c r="AC153" s="22">
        <f t="shared" si="233"/>
        <v>8.771929824561403E-2</v>
      </c>
      <c r="AD153" s="22">
        <f t="shared" si="233"/>
        <v>8.771929824561403E-2</v>
      </c>
    </row>
    <row r="154" spans="17:30" x14ac:dyDescent="0.2">
      <c r="Q154" s="23">
        <f>Q152</f>
        <v>0</v>
      </c>
      <c r="R154" s="22">
        <f>20/76*2/3</f>
        <v>0.17543859649122806</v>
      </c>
      <c r="S154" s="22">
        <f t="shared" ref="S154:AD154" si="234">20/76*2/3</f>
        <v>0.17543859649122806</v>
      </c>
      <c r="T154" s="22">
        <f t="shared" si="234"/>
        <v>0.17543859649122806</v>
      </c>
      <c r="U154" s="22">
        <f t="shared" si="234"/>
        <v>0.17543859649122806</v>
      </c>
      <c r="V154" s="22">
        <f t="shared" si="234"/>
        <v>0.17543859649122806</v>
      </c>
      <c r="W154" s="22">
        <f t="shared" si="234"/>
        <v>0.17543859649122806</v>
      </c>
      <c r="X154" s="22">
        <f t="shared" si="234"/>
        <v>0.17543859649122806</v>
      </c>
      <c r="Y154" s="22">
        <f t="shared" si="234"/>
        <v>0.17543859649122806</v>
      </c>
      <c r="Z154" s="22">
        <f t="shared" si="234"/>
        <v>0.17543859649122806</v>
      </c>
      <c r="AA154" s="22">
        <f t="shared" si="234"/>
        <v>0.17543859649122806</v>
      </c>
      <c r="AB154" s="22">
        <f t="shared" si="234"/>
        <v>0.17543859649122806</v>
      </c>
      <c r="AC154" s="22">
        <f t="shared" si="234"/>
        <v>0.17543859649122806</v>
      </c>
      <c r="AD154" s="22">
        <f t="shared" si="234"/>
        <v>0.17543859649122806</v>
      </c>
    </row>
    <row r="155" spans="17:30" x14ac:dyDescent="0.2">
      <c r="Q155" s="23">
        <f>Q152+1</f>
        <v>1</v>
      </c>
      <c r="R155" s="22">
        <f>R152+1</f>
        <v>0.91228070175438591</v>
      </c>
      <c r="S155" s="22">
        <f t="shared" ref="S155:AD155" si="235">S152+1</f>
        <v>0.91228070175438591</v>
      </c>
      <c r="T155" s="22">
        <f t="shared" si="235"/>
        <v>0.91228070175438591</v>
      </c>
      <c r="U155" s="22">
        <f t="shared" si="235"/>
        <v>0.91228070175438591</v>
      </c>
      <c r="V155" s="22">
        <f t="shared" si="235"/>
        <v>0.91228070175438591</v>
      </c>
      <c r="W155" s="22">
        <f t="shared" si="235"/>
        <v>0.91228070175438591</v>
      </c>
      <c r="X155" s="22">
        <f t="shared" si="235"/>
        <v>0.91228070175438591</v>
      </c>
      <c r="Y155" s="22">
        <f t="shared" si="235"/>
        <v>0.91228070175438591</v>
      </c>
      <c r="Z155" s="22">
        <f t="shared" si="235"/>
        <v>0.91228070175438591</v>
      </c>
      <c r="AA155" s="22">
        <f t="shared" si="235"/>
        <v>0.91228070175438591</v>
      </c>
      <c r="AB155" s="22">
        <f t="shared" si="235"/>
        <v>0.91228070175438591</v>
      </c>
      <c r="AC155" s="22">
        <f t="shared" si="235"/>
        <v>0.91228070175438591</v>
      </c>
      <c r="AD155" s="22">
        <f t="shared" si="235"/>
        <v>0.91228070175438591</v>
      </c>
    </row>
    <row r="156" spans="17:30" x14ac:dyDescent="0.2">
      <c r="Q156" s="23">
        <f t="shared" ref="Q156:Q181" si="236">Q153+1</f>
        <v>1</v>
      </c>
      <c r="R156" s="22">
        <f t="shared" ref="R156:AD156" si="237">R153+1</f>
        <v>1.0877192982456141</v>
      </c>
      <c r="S156" s="22">
        <f t="shared" si="237"/>
        <v>1.0877192982456141</v>
      </c>
      <c r="T156" s="22">
        <f t="shared" si="237"/>
        <v>1.0877192982456141</v>
      </c>
      <c r="U156" s="22">
        <f t="shared" si="237"/>
        <v>1.0877192982456141</v>
      </c>
      <c r="V156" s="22">
        <f t="shared" si="237"/>
        <v>1.0877192982456141</v>
      </c>
      <c r="W156" s="22">
        <f t="shared" si="237"/>
        <v>1.0877192982456141</v>
      </c>
      <c r="X156" s="22">
        <f t="shared" si="237"/>
        <v>1.0877192982456141</v>
      </c>
      <c r="Y156" s="22">
        <f t="shared" si="237"/>
        <v>1.0877192982456141</v>
      </c>
      <c r="Z156" s="22">
        <f t="shared" si="237"/>
        <v>1.0877192982456141</v>
      </c>
      <c r="AA156" s="22">
        <f t="shared" si="237"/>
        <v>1.0877192982456141</v>
      </c>
      <c r="AB156" s="22">
        <f t="shared" si="237"/>
        <v>1.0877192982456141</v>
      </c>
      <c r="AC156" s="22">
        <f t="shared" si="237"/>
        <v>1.0877192982456141</v>
      </c>
      <c r="AD156" s="22">
        <f t="shared" si="237"/>
        <v>1.0877192982456141</v>
      </c>
    </row>
    <row r="157" spans="17:30" x14ac:dyDescent="0.2">
      <c r="Q157" s="23">
        <f t="shared" si="236"/>
        <v>1</v>
      </c>
      <c r="R157" s="22">
        <f t="shared" ref="R157:AD157" si="238">R154+1</f>
        <v>1.1754385964912282</v>
      </c>
      <c r="S157" s="22">
        <f t="shared" si="238"/>
        <v>1.1754385964912282</v>
      </c>
      <c r="T157" s="22">
        <f t="shared" si="238"/>
        <v>1.1754385964912282</v>
      </c>
      <c r="U157" s="22">
        <f t="shared" si="238"/>
        <v>1.1754385964912282</v>
      </c>
      <c r="V157" s="22">
        <f t="shared" si="238"/>
        <v>1.1754385964912282</v>
      </c>
      <c r="W157" s="22">
        <f t="shared" si="238"/>
        <v>1.1754385964912282</v>
      </c>
      <c r="X157" s="22">
        <f t="shared" si="238"/>
        <v>1.1754385964912282</v>
      </c>
      <c r="Y157" s="22">
        <f t="shared" si="238"/>
        <v>1.1754385964912282</v>
      </c>
      <c r="Z157" s="22">
        <f t="shared" si="238"/>
        <v>1.1754385964912282</v>
      </c>
      <c r="AA157" s="22">
        <f t="shared" si="238"/>
        <v>1.1754385964912282</v>
      </c>
      <c r="AB157" s="22">
        <f t="shared" si="238"/>
        <v>1.1754385964912282</v>
      </c>
      <c r="AC157" s="22">
        <f t="shared" si="238"/>
        <v>1.1754385964912282</v>
      </c>
      <c r="AD157" s="22">
        <f t="shared" si="238"/>
        <v>1.1754385964912282</v>
      </c>
    </row>
    <row r="158" spans="17:30" x14ac:dyDescent="0.2">
      <c r="Q158" s="23">
        <f t="shared" si="236"/>
        <v>2</v>
      </c>
      <c r="R158" s="22">
        <f t="shared" ref="R158:AD158" si="239">R155+1</f>
        <v>1.9122807017543859</v>
      </c>
      <c r="S158" s="22">
        <f t="shared" si="239"/>
        <v>1.9122807017543859</v>
      </c>
      <c r="T158" s="22">
        <f t="shared" si="239"/>
        <v>1.9122807017543859</v>
      </c>
      <c r="U158" s="22">
        <f t="shared" si="239"/>
        <v>1.9122807017543859</v>
      </c>
      <c r="V158" s="22">
        <f t="shared" si="239"/>
        <v>1.9122807017543859</v>
      </c>
      <c r="W158" s="22">
        <f t="shared" si="239"/>
        <v>1.9122807017543859</v>
      </c>
      <c r="X158" s="22">
        <f t="shared" si="239"/>
        <v>1.9122807017543859</v>
      </c>
      <c r="Y158" s="22">
        <f t="shared" si="239"/>
        <v>1.9122807017543859</v>
      </c>
      <c r="Z158" s="22">
        <f t="shared" si="239"/>
        <v>1.9122807017543859</v>
      </c>
      <c r="AA158" s="22">
        <f t="shared" si="239"/>
        <v>1.9122807017543859</v>
      </c>
      <c r="AB158" s="22">
        <f t="shared" si="239"/>
        <v>1.9122807017543859</v>
      </c>
      <c r="AC158" s="22">
        <f t="shared" si="239"/>
        <v>1.9122807017543859</v>
      </c>
      <c r="AD158" s="22">
        <f t="shared" si="239"/>
        <v>1.9122807017543859</v>
      </c>
    </row>
    <row r="159" spans="17:30" x14ac:dyDescent="0.2">
      <c r="Q159" s="23">
        <f t="shared" si="236"/>
        <v>2</v>
      </c>
      <c r="R159" s="22">
        <f t="shared" ref="R159:AD159" si="240">R156+1</f>
        <v>2.0877192982456139</v>
      </c>
      <c r="S159" s="22">
        <f t="shared" si="240"/>
        <v>2.0877192982456139</v>
      </c>
      <c r="T159" s="22">
        <f t="shared" si="240"/>
        <v>2.0877192982456139</v>
      </c>
      <c r="U159" s="22">
        <f t="shared" si="240"/>
        <v>2.0877192982456139</v>
      </c>
      <c r="V159" s="22">
        <f t="shared" si="240"/>
        <v>2.0877192982456139</v>
      </c>
      <c r="W159" s="22">
        <f t="shared" si="240"/>
        <v>2.0877192982456139</v>
      </c>
      <c r="X159" s="22">
        <f t="shared" si="240"/>
        <v>2.0877192982456139</v>
      </c>
      <c r="Y159" s="22">
        <f t="shared" si="240"/>
        <v>2.0877192982456139</v>
      </c>
      <c r="Z159" s="22">
        <f t="shared" si="240"/>
        <v>2.0877192982456139</v>
      </c>
      <c r="AA159" s="22">
        <f t="shared" si="240"/>
        <v>2.0877192982456139</v>
      </c>
      <c r="AB159" s="22">
        <f t="shared" si="240"/>
        <v>2.0877192982456139</v>
      </c>
      <c r="AC159" s="22">
        <f t="shared" si="240"/>
        <v>2.0877192982456139</v>
      </c>
      <c r="AD159" s="22">
        <f t="shared" si="240"/>
        <v>2.0877192982456139</v>
      </c>
    </row>
    <row r="160" spans="17:30" x14ac:dyDescent="0.2">
      <c r="Q160" s="23">
        <f t="shared" si="236"/>
        <v>2</v>
      </c>
      <c r="R160" s="22">
        <f t="shared" ref="R160:AD160" si="241">R157+1</f>
        <v>2.1754385964912282</v>
      </c>
      <c r="S160" s="22">
        <f t="shared" si="241"/>
        <v>2.1754385964912282</v>
      </c>
      <c r="T160" s="22">
        <f t="shared" si="241"/>
        <v>2.1754385964912282</v>
      </c>
      <c r="U160" s="22">
        <f t="shared" si="241"/>
        <v>2.1754385964912282</v>
      </c>
      <c r="V160" s="22">
        <f t="shared" si="241"/>
        <v>2.1754385964912282</v>
      </c>
      <c r="W160" s="22">
        <f t="shared" si="241"/>
        <v>2.1754385964912282</v>
      </c>
      <c r="X160" s="22">
        <f t="shared" si="241"/>
        <v>2.1754385964912282</v>
      </c>
      <c r="Y160" s="22">
        <f t="shared" si="241"/>
        <v>2.1754385964912282</v>
      </c>
      <c r="Z160" s="22">
        <f t="shared" si="241"/>
        <v>2.1754385964912282</v>
      </c>
      <c r="AA160" s="22">
        <f t="shared" si="241"/>
        <v>2.1754385964912282</v>
      </c>
      <c r="AB160" s="22">
        <f t="shared" si="241"/>
        <v>2.1754385964912282</v>
      </c>
      <c r="AC160" s="22">
        <f t="shared" si="241"/>
        <v>2.1754385964912282</v>
      </c>
      <c r="AD160" s="22">
        <f t="shared" si="241"/>
        <v>2.1754385964912282</v>
      </c>
    </row>
    <row r="161" spans="17:30" x14ac:dyDescent="0.2">
      <c r="Q161" s="23">
        <f t="shared" si="236"/>
        <v>3</v>
      </c>
      <c r="R161" s="22">
        <f t="shared" ref="R161:AD161" si="242">R158+1</f>
        <v>2.9122807017543861</v>
      </c>
      <c r="S161" s="22">
        <f t="shared" si="242"/>
        <v>2.9122807017543861</v>
      </c>
      <c r="T161" s="22">
        <f t="shared" si="242"/>
        <v>2.9122807017543861</v>
      </c>
      <c r="U161" s="22">
        <f t="shared" si="242"/>
        <v>2.9122807017543861</v>
      </c>
      <c r="V161" s="22">
        <f t="shared" si="242"/>
        <v>2.9122807017543861</v>
      </c>
      <c r="W161" s="22">
        <f t="shared" si="242"/>
        <v>2.9122807017543861</v>
      </c>
      <c r="X161" s="22">
        <f t="shared" si="242"/>
        <v>2.9122807017543861</v>
      </c>
      <c r="Y161" s="22">
        <f t="shared" si="242"/>
        <v>2.9122807017543861</v>
      </c>
      <c r="Z161" s="22">
        <f t="shared" si="242"/>
        <v>2.9122807017543861</v>
      </c>
      <c r="AA161" s="22">
        <f t="shared" si="242"/>
        <v>2.9122807017543861</v>
      </c>
      <c r="AB161" s="22">
        <f t="shared" si="242"/>
        <v>2.9122807017543861</v>
      </c>
      <c r="AC161" s="22">
        <f t="shared" si="242"/>
        <v>2.9122807017543861</v>
      </c>
      <c r="AD161" s="22">
        <f t="shared" si="242"/>
        <v>2.9122807017543861</v>
      </c>
    </row>
    <row r="162" spans="17:30" x14ac:dyDescent="0.2">
      <c r="Q162" s="23">
        <f t="shared" si="236"/>
        <v>3</v>
      </c>
      <c r="R162" s="22">
        <f t="shared" ref="R162:AD162" si="243">R159+1</f>
        <v>3.0877192982456139</v>
      </c>
      <c r="S162" s="22">
        <f t="shared" si="243"/>
        <v>3.0877192982456139</v>
      </c>
      <c r="T162" s="22">
        <f t="shared" si="243"/>
        <v>3.0877192982456139</v>
      </c>
      <c r="U162" s="22">
        <f t="shared" si="243"/>
        <v>3.0877192982456139</v>
      </c>
      <c r="V162" s="22">
        <f t="shared" si="243"/>
        <v>3.0877192982456139</v>
      </c>
      <c r="W162" s="22">
        <f t="shared" si="243"/>
        <v>3.0877192982456139</v>
      </c>
      <c r="X162" s="22">
        <f t="shared" si="243"/>
        <v>3.0877192982456139</v>
      </c>
      <c r="Y162" s="22">
        <f t="shared" si="243"/>
        <v>3.0877192982456139</v>
      </c>
      <c r="Z162" s="22">
        <f t="shared" si="243"/>
        <v>3.0877192982456139</v>
      </c>
      <c r="AA162" s="22">
        <f t="shared" si="243"/>
        <v>3.0877192982456139</v>
      </c>
      <c r="AB162" s="22">
        <f t="shared" si="243"/>
        <v>3.0877192982456139</v>
      </c>
      <c r="AC162" s="22">
        <f t="shared" si="243"/>
        <v>3.0877192982456139</v>
      </c>
      <c r="AD162" s="22">
        <f t="shared" si="243"/>
        <v>3.0877192982456139</v>
      </c>
    </row>
    <row r="163" spans="17:30" x14ac:dyDescent="0.2">
      <c r="Q163" s="23">
        <f t="shared" si="236"/>
        <v>3</v>
      </c>
      <c r="R163" s="22">
        <f t="shared" ref="R163:AD163" si="244">R160+1</f>
        <v>3.1754385964912282</v>
      </c>
      <c r="S163" s="22">
        <f t="shared" si="244"/>
        <v>3.1754385964912282</v>
      </c>
      <c r="T163" s="22">
        <f t="shared" si="244"/>
        <v>3.1754385964912282</v>
      </c>
      <c r="U163" s="22">
        <f t="shared" si="244"/>
        <v>3.1754385964912282</v>
      </c>
      <c r="V163" s="22">
        <f t="shared" si="244"/>
        <v>3.1754385964912282</v>
      </c>
      <c r="W163" s="22">
        <f t="shared" si="244"/>
        <v>3.1754385964912282</v>
      </c>
      <c r="X163" s="22">
        <f t="shared" si="244"/>
        <v>3.1754385964912282</v>
      </c>
      <c r="Y163" s="22">
        <f t="shared" si="244"/>
        <v>3.1754385964912282</v>
      </c>
      <c r="Z163" s="22">
        <f t="shared" si="244"/>
        <v>3.1754385964912282</v>
      </c>
      <c r="AA163" s="22">
        <f t="shared" si="244"/>
        <v>3.1754385964912282</v>
      </c>
      <c r="AB163" s="22">
        <f t="shared" si="244"/>
        <v>3.1754385964912282</v>
      </c>
      <c r="AC163" s="22">
        <f t="shared" si="244"/>
        <v>3.1754385964912282</v>
      </c>
      <c r="AD163" s="22">
        <f t="shared" si="244"/>
        <v>3.1754385964912282</v>
      </c>
    </row>
    <row r="164" spans="17:30" x14ac:dyDescent="0.2">
      <c r="Q164" s="23">
        <f t="shared" si="236"/>
        <v>4</v>
      </c>
      <c r="R164" s="22">
        <f t="shared" ref="R164:AD164" si="245">R161+1</f>
        <v>3.9122807017543861</v>
      </c>
      <c r="S164" s="22">
        <f t="shared" si="245"/>
        <v>3.9122807017543861</v>
      </c>
      <c r="T164" s="22">
        <f t="shared" si="245"/>
        <v>3.9122807017543861</v>
      </c>
      <c r="U164" s="22">
        <f t="shared" si="245"/>
        <v>3.9122807017543861</v>
      </c>
      <c r="V164" s="22">
        <f t="shared" si="245"/>
        <v>3.9122807017543861</v>
      </c>
      <c r="W164" s="22">
        <f t="shared" si="245"/>
        <v>3.9122807017543861</v>
      </c>
      <c r="X164" s="22">
        <f t="shared" si="245"/>
        <v>3.9122807017543861</v>
      </c>
      <c r="Y164" s="22">
        <f t="shared" si="245"/>
        <v>3.9122807017543861</v>
      </c>
      <c r="Z164" s="22">
        <f t="shared" si="245"/>
        <v>3.9122807017543861</v>
      </c>
      <c r="AA164" s="22">
        <f t="shared" si="245"/>
        <v>3.9122807017543861</v>
      </c>
      <c r="AB164" s="22">
        <f t="shared" si="245"/>
        <v>3.9122807017543861</v>
      </c>
      <c r="AC164" s="22">
        <f t="shared" si="245"/>
        <v>3.9122807017543861</v>
      </c>
      <c r="AD164" s="22">
        <f t="shared" si="245"/>
        <v>3.9122807017543861</v>
      </c>
    </row>
    <row r="165" spans="17:30" x14ac:dyDescent="0.2">
      <c r="Q165" s="23">
        <f t="shared" si="236"/>
        <v>4</v>
      </c>
      <c r="R165" s="22">
        <f t="shared" ref="R165:AD165" si="246">R162+1</f>
        <v>4.0877192982456139</v>
      </c>
      <c r="S165" s="22">
        <f t="shared" si="246"/>
        <v>4.0877192982456139</v>
      </c>
      <c r="T165" s="22">
        <f t="shared" si="246"/>
        <v>4.0877192982456139</v>
      </c>
      <c r="U165" s="22">
        <f t="shared" si="246"/>
        <v>4.0877192982456139</v>
      </c>
      <c r="V165" s="22">
        <f t="shared" si="246"/>
        <v>4.0877192982456139</v>
      </c>
      <c r="W165" s="22">
        <f t="shared" si="246"/>
        <v>4.0877192982456139</v>
      </c>
      <c r="X165" s="22">
        <f t="shared" si="246"/>
        <v>4.0877192982456139</v>
      </c>
      <c r="Y165" s="22">
        <f t="shared" si="246"/>
        <v>4.0877192982456139</v>
      </c>
      <c r="Z165" s="22">
        <f t="shared" si="246"/>
        <v>4.0877192982456139</v>
      </c>
      <c r="AA165" s="22">
        <f t="shared" si="246"/>
        <v>4.0877192982456139</v>
      </c>
      <c r="AB165" s="22">
        <f t="shared" si="246"/>
        <v>4.0877192982456139</v>
      </c>
      <c r="AC165" s="22">
        <f t="shared" si="246"/>
        <v>4.0877192982456139</v>
      </c>
      <c r="AD165" s="22">
        <f t="shared" si="246"/>
        <v>4.0877192982456139</v>
      </c>
    </row>
    <row r="166" spans="17:30" x14ac:dyDescent="0.2">
      <c r="Q166" s="23">
        <f t="shared" si="236"/>
        <v>4</v>
      </c>
      <c r="R166" s="22">
        <f t="shared" ref="R166:AD166" si="247">R163+1</f>
        <v>4.1754385964912277</v>
      </c>
      <c r="S166" s="22">
        <f t="shared" si="247"/>
        <v>4.1754385964912277</v>
      </c>
      <c r="T166" s="22">
        <f t="shared" si="247"/>
        <v>4.1754385964912277</v>
      </c>
      <c r="U166" s="22">
        <f t="shared" si="247"/>
        <v>4.1754385964912277</v>
      </c>
      <c r="V166" s="22">
        <f t="shared" si="247"/>
        <v>4.1754385964912277</v>
      </c>
      <c r="W166" s="22">
        <f t="shared" si="247"/>
        <v>4.1754385964912277</v>
      </c>
      <c r="X166" s="22">
        <f t="shared" si="247"/>
        <v>4.1754385964912277</v>
      </c>
      <c r="Y166" s="22">
        <f t="shared" si="247"/>
        <v>4.1754385964912277</v>
      </c>
      <c r="Z166" s="22">
        <f t="shared" si="247"/>
        <v>4.1754385964912277</v>
      </c>
      <c r="AA166" s="22">
        <f t="shared" si="247"/>
        <v>4.1754385964912277</v>
      </c>
      <c r="AB166" s="22">
        <f t="shared" si="247"/>
        <v>4.1754385964912277</v>
      </c>
      <c r="AC166" s="22">
        <f t="shared" si="247"/>
        <v>4.1754385964912277</v>
      </c>
      <c r="AD166" s="22">
        <f t="shared" si="247"/>
        <v>4.1754385964912277</v>
      </c>
    </row>
    <row r="167" spans="17:30" x14ac:dyDescent="0.2">
      <c r="Q167" s="23">
        <f t="shared" si="236"/>
        <v>5</v>
      </c>
      <c r="R167" s="22">
        <f t="shared" ref="R167:AD167" si="248">R164+1</f>
        <v>4.9122807017543861</v>
      </c>
      <c r="S167" s="22">
        <f t="shared" si="248"/>
        <v>4.9122807017543861</v>
      </c>
      <c r="T167" s="22">
        <f t="shared" si="248"/>
        <v>4.9122807017543861</v>
      </c>
      <c r="U167" s="22">
        <f t="shared" si="248"/>
        <v>4.9122807017543861</v>
      </c>
      <c r="V167" s="22">
        <f t="shared" si="248"/>
        <v>4.9122807017543861</v>
      </c>
      <c r="W167" s="22">
        <f t="shared" si="248"/>
        <v>4.9122807017543861</v>
      </c>
      <c r="X167" s="22">
        <f t="shared" si="248"/>
        <v>4.9122807017543861</v>
      </c>
      <c r="Y167" s="22">
        <f t="shared" si="248"/>
        <v>4.9122807017543861</v>
      </c>
      <c r="Z167" s="22">
        <f t="shared" si="248"/>
        <v>4.9122807017543861</v>
      </c>
      <c r="AA167" s="22">
        <f t="shared" si="248"/>
        <v>4.9122807017543861</v>
      </c>
      <c r="AB167" s="22">
        <f t="shared" si="248"/>
        <v>4.9122807017543861</v>
      </c>
      <c r="AC167" s="22">
        <f t="shared" si="248"/>
        <v>4.9122807017543861</v>
      </c>
      <c r="AD167" s="22">
        <f t="shared" si="248"/>
        <v>4.9122807017543861</v>
      </c>
    </row>
    <row r="168" spans="17:30" x14ac:dyDescent="0.2">
      <c r="Q168" s="23">
        <f t="shared" si="236"/>
        <v>5</v>
      </c>
      <c r="R168" s="22">
        <f t="shared" ref="R168:AD168" si="249">R165+1</f>
        <v>5.0877192982456139</v>
      </c>
      <c r="S168" s="22">
        <f t="shared" si="249"/>
        <v>5.0877192982456139</v>
      </c>
      <c r="T168" s="22">
        <f t="shared" si="249"/>
        <v>5.0877192982456139</v>
      </c>
      <c r="U168" s="22">
        <f t="shared" si="249"/>
        <v>5.0877192982456139</v>
      </c>
      <c r="V168" s="22">
        <f t="shared" si="249"/>
        <v>5.0877192982456139</v>
      </c>
      <c r="W168" s="22">
        <f t="shared" si="249"/>
        <v>5.0877192982456139</v>
      </c>
      <c r="X168" s="22">
        <f t="shared" si="249"/>
        <v>5.0877192982456139</v>
      </c>
      <c r="Y168" s="22">
        <f t="shared" si="249"/>
        <v>5.0877192982456139</v>
      </c>
      <c r="Z168" s="22">
        <f t="shared" si="249"/>
        <v>5.0877192982456139</v>
      </c>
      <c r="AA168" s="22">
        <f t="shared" si="249"/>
        <v>5.0877192982456139</v>
      </c>
      <c r="AB168" s="22">
        <f t="shared" si="249"/>
        <v>5.0877192982456139</v>
      </c>
      <c r="AC168" s="22">
        <f t="shared" si="249"/>
        <v>5.0877192982456139</v>
      </c>
      <c r="AD168" s="22">
        <f t="shared" si="249"/>
        <v>5.0877192982456139</v>
      </c>
    </row>
    <row r="169" spans="17:30" x14ac:dyDescent="0.2">
      <c r="Q169" s="23">
        <f t="shared" si="236"/>
        <v>5</v>
      </c>
      <c r="R169" s="22">
        <f t="shared" ref="R169:AD169" si="250">R166+1</f>
        <v>5.1754385964912277</v>
      </c>
      <c r="S169" s="22">
        <f t="shared" si="250"/>
        <v>5.1754385964912277</v>
      </c>
      <c r="T169" s="22">
        <f t="shared" si="250"/>
        <v>5.1754385964912277</v>
      </c>
      <c r="U169" s="22">
        <f t="shared" si="250"/>
        <v>5.1754385964912277</v>
      </c>
      <c r="V169" s="22">
        <f t="shared" si="250"/>
        <v>5.1754385964912277</v>
      </c>
      <c r="W169" s="22">
        <f t="shared" si="250"/>
        <v>5.1754385964912277</v>
      </c>
      <c r="X169" s="22">
        <f t="shared" si="250"/>
        <v>5.1754385964912277</v>
      </c>
      <c r="Y169" s="22">
        <f t="shared" si="250"/>
        <v>5.1754385964912277</v>
      </c>
      <c r="Z169" s="22">
        <f t="shared" si="250"/>
        <v>5.1754385964912277</v>
      </c>
      <c r="AA169" s="22">
        <f t="shared" si="250"/>
        <v>5.1754385964912277</v>
      </c>
      <c r="AB169" s="22">
        <f t="shared" si="250"/>
        <v>5.1754385964912277</v>
      </c>
      <c r="AC169" s="22">
        <f t="shared" si="250"/>
        <v>5.1754385964912277</v>
      </c>
      <c r="AD169" s="22">
        <f t="shared" si="250"/>
        <v>5.1754385964912277</v>
      </c>
    </row>
    <row r="170" spans="17:30" x14ac:dyDescent="0.2">
      <c r="Q170" s="23">
        <f t="shared" si="236"/>
        <v>6</v>
      </c>
      <c r="R170" s="22">
        <f t="shared" ref="R170:AD170" si="251">R167+1</f>
        <v>5.9122807017543861</v>
      </c>
      <c r="S170" s="22">
        <f t="shared" si="251"/>
        <v>5.9122807017543861</v>
      </c>
      <c r="T170" s="22">
        <f t="shared" si="251"/>
        <v>5.9122807017543861</v>
      </c>
      <c r="U170" s="22">
        <f t="shared" si="251"/>
        <v>5.9122807017543861</v>
      </c>
      <c r="V170" s="22">
        <f t="shared" si="251"/>
        <v>5.9122807017543861</v>
      </c>
      <c r="W170" s="22">
        <f t="shared" si="251"/>
        <v>5.9122807017543861</v>
      </c>
      <c r="X170" s="22">
        <f t="shared" si="251"/>
        <v>5.9122807017543861</v>
      </c>
      <c r="Y170" s="22">
        <f t="shared" si="251"/>
        <v>5.9122807017543861</v>
      </c>
      <c r="Z170" s="22">
        <f t="shared" si="251"/>
        <v>5.9122807017543861</v>
      </c>
      <c r="AA170" s="22">
        <f t="shared" si="251"/>
        <v>5.9122807017543861</v>
      </c>
      <c r="AB170" s="22">
        <f t="shared" si="251"/>
        <v>5.9122807017543861</v>
      </c>
      <c r="AC170" s="22">
        <f t="shared" si="251"/>
        <v>5.9122807017543861</v>
      </c>
      <c r="AD170" s="22">
        <f t="shared" si="251"/>
        <v>5.9122807017543861</v>
      </c>
    </row>
    <row r="171" spans="17:30" x14ac:dyDescent="0.2">
      <c r="Q171" s="23">
        <f t="shared" si="236"/>
        <v>6</v>
      </c>
      <c r="R171" s="22">
        <f t="shared" ref="R171:AD171" si="252">R168+1</f>
        <v>6.0877192982456139</v>
      </c>
      <c r="S171" s="22">
        <f t="shared" si="252"/>
        <v>6.0877192982456139</v>
      </c>
      <c r="T171" s="22">
        <f t="shared" si="252"/>
        <v>6.0877192982456139</v>
      </c>
      <c r="U171" s="22">
        <f t="shared" si="252"/>
        <v>6.0877192982456139</v>
      </c>
      <c r="V171" s="22">
        <f t="shared" si="252"/>
        <v>6.0877192982456139</v>
      </c>
      <c r="W171" s="22">
        <f t="shared" si="252"/>
        <v>6.0877192982456139</v>
      </c>
      <c r="X171" s="22">
        <f t="shared" si="252"/>
        <v>6.0877192982456139</v>
      </c>
      <c r="Y171" s="22">
        <f t="shared" si="252"/>
        <v>6.0877192982456139</v>
      </c>
      <c r="Z171" s="22">
        <f t="shared" si="252"/>
        <v>6.0877192982456139</v>
      </c>
      <c r="AA171" s="22">
        <f t="shared" si="252"/>
        <v>6.0877192982456139</v>
      </c>
      <c r="AB171" s="22">
        <f t="shared" si="252"/>
        <v>6.0877192982456139</v>
      </c>
      <c r="AC171" s="22">
        <f t="shared" si="252"/>
        <v>6.0877192982456139</v>
      </c>
      <c r="AD171" s="22">
        <f t="shared" si="252"/>
        <v>6.0877192982456139</v>
      </c>
    </row>
    <row r="172" spans="17:30" x14ac:dyDescent="0.2">
      <c r="Q172" s="23">
        <f t="shared" si="236"/>
        <v>6</v>
      </c>
      <c r="R172" s="22">
        <f t="shared" ref="R172:AD172" si="253">R169+1</f>
        <v>6.1754385964912277</v>
      </c>
      <c r="S172" s="22">
        <f t="shared" si="253"/>
        <v>6.1754385964912277</v>
      </c>
      <c r="T172" s="22">
        <f t="shared" si="253"/>
        <v>6.1754385964912277</v>
      </c>
      <c r="U172" s="22">
        <f t="shared" si="253"/>
        <v>6.1754385964912277</v>
      </c>
      <c r="V172" s="22">
        <f t="shared" si="253"/>
        <v>6.1754385964912277</v>
      </c>
      <c r="W172" s="22">
        <f t="shared" si="253"/>
        <v>6.1754385964912277</v>
      </c>
      <c r="X172" s="22">
        <f t="shared" si="253"/>
        <v>6.1754385964912277</v>
      </c>
      <c r="Y172" s="22">
        <f t="shared" si="253"/>
        <v>6.1754385964912277</v>
      </c>
      <c r="Z172" s="22">
        <f t="shared" si="253"/>
        <v>6.1754385964912277</v>
      </c>
      <c r="AA172" s="22">
        <f t="shared" si="253"/>
        <v>6.1754385964912277</v>
      </c>
      <c r="AB172" s="22">
        <f t="shared" si="253"/>
        <v>6.1754385964912277</v>
      </c>
      <c r="AC172" s="22">
        <f t="shared" si="253"/>
        <v>6.1754385964912277</v>
      </c>
      <c r="AD172" s="22">
        <f t="shared" si="253"/>
        <v>6.1754385964912277</v>
      </c>
    </row>
    <row r="173" spans="17:30" x14ac:dyDescent="0.2">
      <c r="Q173" s="23">
        <f t="shared" si="236"/>
        <v>7</v>
      </c>
      <c r="R173" s="22">
        <f t="shared" ref="R173:AD173" si="254">R170+1</f>
        <v>6.9122807017543861</v>
      </c>
      <c r="S173" s="22">
        <f t="shared" si="254"/>
        <v>6.9122807017543861</v>
      </c>
      <c r="T173" s="22">
        <f t="shared" si="254"/>
        <v>6.9122807017543861</v>
      </c>
      <c r="U173" s="22">
        <f t="shared" si="254"/>
        <v>6.9122807017543861</v>
      </c>
      <c r="V173" s="22">
        <f t="shared" si="254"/>
        <v>6.9122807017543861</v>
      </c>
      <c r="W173" s="22">
        <f t="shared" si="254"/>
        <v>6.9122807017543861</v>
      </c>
      <c r="X173" s="22">
        <f t="shared" si="254"/>
        <v>6.9122807017543861</v>
      </c>
      <c r="Y173" s="22">
        <f t="shared" si="254"/>
        <v>6.9122807017543861</v>
      </c>
      <c r="Z173" s="22">
        <f t="shared" si="254"/>
        <v>6.9122807017543861</v>
      </c>
      <c r="AA173" s="22">
        <f t="shared" si="254"/>
        <v>6.9122807017543861</v>
      </c>
      <c r="AB173" s="22">
        <f t="shared" si="254"/>
        <v>6.9122807017543861</v>
      </c>
      <c r="AC173" s="22">
        <f t="shared" si="254"/>
        <v>6.9122807017543861</v>
      </c>
      <c r="AD173" s="22">
        <f t="shared" si="254"/>
        <v>6.9122807017543861</v>
      </c>
    </row>
    <row r="174" spans="17:30" x14ac:dyDescent="0.2">
      <c r="Q174" s="23">
        <f t="shared" si="236"/>
        <v>7</v>
      </c>
      <c r="R174" s="22">
        <f t="shared" ref="R174:AD174" si="255">R171+1</f>
        <v>7.0877192982456139</v>
      </c>
      <c r="S174" s="22">
        <f t="shared" si="255"/>
        <v>7.0877192982456139</v>
      </c>
      <c r="T174" s="22">
        <f t="shared" si="255"/>
        <v>7.0877192982456139</v>
      </c>
      <c r="U174" s="22">
        <f t="shared" si="255"/>
        <v>7.0877192982456139</v>
      </c>
      <c r="V174" s="22">
        <f t="shared" si="255"/>
        <v>7.0877192982456139</v>
      </c>
      <c r="W174" s="22">
        <f t="shared" si="255"/>
        <v>7.0877192982456139</v>
      </c>
      <c r="X174" s="22">
        <f t="shared" si="255"/>
        <v>7.0877192982456139</v>
      </c>
      <c r="Y174" s="22">
        <f t="shared" si="255"/>
        <v>7.0877192982456139</v>
      </c>
      <c r="Z174" s="22">
        <f t="shared" si="255"/>
        <v>7.0877192982456139</v>
      </c>
      <c r="AA174" s="22">
        <f t="shared" si="255"/>
        <v>7.0877192982456139</v>
      </c>
      <c r="AB174" s="22">
        <f t="shared" si="255"/>
        <v>7.0877192982456139</v>
      </c>
      <c r="AC174" s="22">
        <f t="shared" si="255"/>
        <v>7.0877192982456139</v>
      </c>
      <c r="AD174" s="22">
        <f t="shared" si="255"/>
        <v>7.0877192982456139</v>
      </c>
    </row>
    <row r="175" spans="17:30" x14ac:dyDescent="0.2">
      <c r="Q175" s="23">
        <f t="shared" si="236"/>
        <v>7</v>
      </c>
      <c r="R175" s="22">
        <f t="shared" ref="R175:AD175" si="256">R172+1</f>
        <v>7.1754385964912277</v>
      </c>
      <c r="S175" s="22">
        <f t="shared" si="256"/>
        <v>7.1754385964912277</v>
      </c>
      <c r="T175" s="22">
        <f t="shared" si="256"/>
        <v>7.1754385964912277</v>
      </c>
      <c r="U175" s="22">
        <f t="shared" si="256"/>
        <v>7.1754385964912277</v>
      </c>
      <c r="V175" s="22">
        <f t="shared" si="256"/>
        <v>7.1754385964912277</v>
      </c>
      <c r="W175" s="22">
        <f t="shared" si="256"/>
        <v>7.1754385964912277</v>
      </c>
      <c r="X175" s="22">
        <f t="shared" si="256"/>
        <v>7.1754385964912277</v>
      </c>
      <c r="Y175" s="22">
        <f t="shared" si="256"/>
        <v>7.1754385964912277</v>
      </c>
      <c r="Z175" s="22">
        <f t="shared" si="256"/>
        <v>7.1754385964912277</v>
      </c>
      <c r="AA175" s="22">
        <f t="shared" si="256"/>
        <v>7.1754385964912277</v>
      </c>
      <c r="AB175" s="22">
        <f t="shared" si="256"/>
        <v>7.1754385964912277</v>
      </c>
      <c r="AC175" s="22">
        <f t="shared" si="256"/>
        <v>7.1754385964912277</v>
      </c>
      <c r="AD175" s="22">
        <f t="shared" si="256"/>
        <v>7.1754385964912277</v>
      </c>
    </row>
    <row r="176" spans="17:30" x14ac:dyDescent="0.2">
      <c r="Q176" s="23">
        <f t="shared" si="236"/>
        <v>8</v>
      </c>
      <c r="R176" s="22">
        <f t="shared" ref="R176:AD176" si="257">R173+1</f>
        <v>7.9122807017543861</v>
      </c>
      <c r="S176" s="22">
        <f t="shared" si="257"/>
        <v>7.9122807017543861</v>
      </c>
      <c r="T176" s="22">
        <f t="shared" si="257"/>
        <v>7.9122807017543861</v>
      </c>
      <c r="U176" s="22">
        <f t="shared" si="257"/>
        <v>7.9122807017543861</v>
      </c>
      <c r="V176" s="22">
        <f t="shared" si="257"/>
        <v>7.9122807017543861</v>
      </c>
      <c r="W176" s="22">
        <f t="shared" si="257"/>
        <v>7.9122807017543861</v>
      </c>
      <c r="X176" s="22">
        <f t="shared" si="257"/>
        <v>7.9122807017543861</v>
      </c>
      <c r="Y176" s="22">
        <f t="shared" si="257"/>
        <v>7.9122807017543861</v>
      </c>
      <c r="Z176" s="22">
        <f t="shared" si="257"/>
        <v>7.9122807017543861</v>
      </c>
      <c r="AA176" s="22">
        <f t="shared" si="257"/>
        <v>7.9122807017543861</v>
      </c>
      <c r="AB176" s="22">
        <f t="shared" si="257"/>
        <v>7.9122807017543861</v>
      </c>
      <c r="AC176" s="22">
        <f t="shared" si="257"/>
        <v>7.9122807017543861</v>
      </c>
      <c r="AD176" s="22">
        <f t="shared" si="257"/>
        <v>7.9122807017543861</v>
      </c>
    </row>
    <row r="177" spans="17:30" x14ac:dyDescent="0.2">
      <c r="Q177" s="23">
        <f t="shared" si="236"/>
        <v>8</v>
      </c>
      <c r="R177" s="22">
        <f t="shared" ref="R177:AD177" si="258">R174+1</f>
        <v>8.087719298245613</v>
      </c>
      <c r="S177" s="22">
        <f t="shared" si="258"/>
        <v>8.087719298245613</v>
      </c>
      <c r="T177" s="22">
        <f t="shared" si="258"/>
        <v>8.087719298245613</v>
      </c>
      <c r="U177" s="22">
        <f t="shared" si="258"/>
        <v>8.087719298245613</v>
      </c>
      <c r="V177" s="22">
        <f t="shared" si="258"/>
        <v>8.087719298245613</v>
      </c>
      <c r="W177" s="22">
        <f t="shared" si="258"/>
        <v>8.087719298245613</v>
      </c>
      <c r="X177" s="22">
        <f t="shared" si="258"/>
        <v>8.087719298245613</v>
      </c>
      <c r="Y177" s="22">
        <f t="shared" si="258"/>
        <v>8.087719298245613</v>
      </c>
      <c r="Z177" s="22">
        <f t="shared" si="258"/>
        <v>8.087719298245613</v>
      </c>
      <c r="AA177" s="22">
        <f t="shared" si="258"/>
        <v>8.087719298245613</v>
      </c>
      <c r="AB177" s="22">
        <f t="shared" si="258"/>
        <v>8.087719298245613</v>
      </c>
      <c r="AC177" s="22">
        <f t="shared" si="258"/>
        <v>8.087719298245613</v>
      </c>
      <c r="AD177" s="22">
        <f t="shared" si="258"/>
        <v>8.087719298245613</v>
      </c>
    </row>
    <row r="178" spans="17:30" x14ac:dyDescent="0.2">
      <c r="Q178" s="23">
        <f t="shared" si="236"/>
        <v>8</v>
      </c>
      <c r="R178" s="22">
        <f t="shared" ref="R178:AD178" si="259">R175+1</f>
        <v>8.1754385964912277</v>
      </c>
      <c r="S178" s="22">
        <f t="shared" si="259"/>
        <v>8.1754385964912277</v>
      </c>
      <c r="T178" s="22">
        <f t="shared" si="259"/>
        <v>8.1754385964912277</v>
      </c>
      <c r="U178" s="22">
        <f t="shared" si="259"/>
        <v>8.1754385964912277</v>
      </c>
      <c r="V178" s="22">
        <f t="shared" si="259"/>
        <v>8.1754385964912277</v>
      </c>
      <c r="W178" s="22">
        <f t="shared" si="259"/>
        <v>8.1754385964912277</v>
      </c>
      <c r="X178" s="22">
        <f t="shared" si="259"/>
        <v>8.1754385964912277</v>
      </c>
      <c r="Y178" s="22">
        <f t="shared" si="259"/>
        <v>8.1754385964912277</v>
      </c>
      <c r="Z178" s="22">
        <f t="shared" si="259"/>
        <v>8.1754385964912277</v>
      </c>
      <c r="AA178" s="22">
        <f t="shared" si="259"/>
        <v>8.1754385964912277</v>
      </c>
      <c r="AB178" s="22">
        <f t="shared" si="259"/>
        <v>8.1754385964912277</v>
      </c>
      <c r="AC178" s="22">
        <f t="shared" si="259"/>
        <v>8.1754385964912277</v>
      </c>
      <c r="AD178" s="22">
        <f t="shared" si="259"/>
        <v>8.1754385964912277</v>
      </c>
    </row>
    <row r="179" spans="17:30" x14ac:dyDescent="0.2">
      <c r="Q179" s="23">
        <f t="shared" si="236"/>
        <v>9</v>
      </c>
      <c r="R179" s="22">
        <f t="shared" ref="R179:AD179" si="260">R176+1</f>
        <v>8.912280701754387</v>
      </c>
      <c r="S179" s="22">
        <f t="shared" si="260"/>
        <v>8.912280701754387</v>
      </c>
      <c r="T179" s="22">
        <f t="shared" si="260"/>
        <v>8.912280701754387</v>
      </c>
      <c r="U179" s="22">
        <f t="shared" si="260"/>
        <v>8.912280701754387</v>
      </c>
      <c r="V179" s="22">
        <f t="shared" si="260"/>
        <v>8.912280701754387</v>
      </c>
      <c r="W179" s="22">
        <f t="shared" si="260"/>
        <v>8.912280701754387</v>
      </c>
      <c r="X179" s="22">
        <f t="shared" si="260"/>
        <v>8.912280701754387</v>
      </c>
      <c r="Y179" s="22">
        <f t="shared" si="260"/>
        <v>8.912280701754387</v>
      </c>
      <c r="Z179" s="22">
        <f t="shared" si="260"/>
        <v>8.912280701754387</v>
      </c>
      <c r="AA179" s="22">
        <f t="shared" si="260"/>
        <v>8.912280701754387</v>
      </c>
      <c r="AB179" s="22">
        <f t="shared" si="260"/>
        <v>8.912280701754387</v>
      </c>
      <c r="AC179" s="22">
        <f t="shared" si="260"/>
        <v>8.912280701754387</v>
      </c>
      <c r="AD179" s="22">
        <f t="shared" si="260"/>
        <v>8.912280701754387</v>
      </c>
    </row>
    <row r="180" spans="17:30" x14ac:dyDescent="0.2">
      <c r="Q180" s="23">
        <f t="shared" si="236"/>
        <v>9</v>
      </c>
      <c r="R180" s="22">
        <f t="shared" ref="R180:AD180" si="261">R177+1</f>
        <v>9.087719298245613</v>
      </c>
      <c r="S180" s="22">
        <f t="shared" si="261"/>
        <v>9.087719298245613</v>
      </c>
      <c r="T180" s="22">
        <f t="shared" si="261"/>
        <v>9.087719298245613</v>
      </c>
      <c r="U180" s="22">
        <f t="shared" si="261"/>
        <v>9.087719298245613</v>
      </c>
      <c r="V180" s="22">
        <f t="shared" si="261"/>
        <v>9.087719298245613</v>
      </c>
      <c r="W180" s="22">
        <f t="shared" si="261"/>
        <v>9.087719298245613</v>
      </c>
      <c r="X180" s="22">
        <f t="shared" si="261"/>
        <v>9.087719298245613</v>
      </c>
      <c r="Y180" s="22">
        <f t="shared" si="261"/>
        <v>9.087719298245613</v>
      </c>
      <c r="Z180" s="22">
        <f t="shared" si="261"/>
        <v>9.087719298245613</v>
      </c>
      <c r="AA180" s="22">
        <f t="shared" si="261"/>
        <v>9.087719298245613</v>
      </c>
      <c r="AB180" s="22">
        <f t="shared" si="261"/>
        <v>9.087719298245613</v>
      </c>
      <c r="AC180" s="22">
        <f t="shared" si="261"/>
        <v>9.087719298245613</v>
      </c>
      <c r="AD180" s="22">
        <f t="shared" si="261"/>
        <v>9.087719298245613</v>
      </c>
    </row>
    <row r="181" spans="17:30" x14ac:dyDescent="0.2">
      <c r="Q181" s="23">
        <f t="shared" si="236"/>
        <v>9</v>
      </c>
      <c r="R181" s="22">
        <f t="shared" ref="R181:AD181" si="262">R178+1</f>
        <v>9.1754385964912277</v>
      </c>
      <c r="S181" s="22">
        <f t="shared" si="262"/>
        <v>9.1754385964912277</v>
      </c>
      <c r="T181" s="22">
        <f t="shared" si="262"/>
        <v>9.1754385964912277</v>
      </c>
      <c r="U181" s="22">
        <f t="shared" si="262"/>
        <v>9.1754385964912277</v>
      </c>
      <c r="V181" s="22">
        <f t="shared" si="262"/>
        <v>9.1754385964912277</v>
      </c>
      <c r="W181" s="22">
        <f t="shared" si="262"/>
        <v>9.1754385964912277</v>
      </c>
      <c r="X181" s="22">
        <f t="shared" si="262"/>
        <v>9.1754385964912277</v>
      </c>
      <c r="Y181" s="22">
        <f t="shared" si="262"/>
        <v>9.1754385964912277</v>
      </c>
      <c r="Z181" s="22">
        <f t="shared" si="262"/>
        <v>9.1754385964912277</v>
      </c>
      <c r="AA181" s="22">
        <f t="shared" si="262"/>
        <v>9.1754385964912277</v>
      </c>
      <c r="AB181" s="22">
        <f t="shared" si="262"/>
        <v>9.1754385964912277</v>
      </c>
      <c r="AC181" s="22">
        <f t="shared" si="262"/>
        <v>9.1754385964912277</v>
      </c>
      <c r="AD181" s="22">
        <f t="shared" si="262"/>
        <v>9.1754385964912277</v>
      </c>
    </row>
    <row r="182" spans="17:30" ht="15" x14ac:dyDescent="0.25">
      <c r="R182"/>
      <c r="S182"/>
      <c r="T182"/>
      <c r="U182"/>
      <c r="V182"/>
      <c r="W182"/>
      <c r="X182"/>
      <c r="Y182"/>
      <c r="Z182"/>
      <c r="AA182"/>
      <c r="AB182"/>
      <c r="AC182"/>
      <c r="AD182"/>
    </row>
    <row r="183" spans="17:30" ht="15" x14ac:dyDescent="0.25">
      <c r="R183"/>
      <c r="S183"/>
      <c r="T183"/>
      <c r="U183"/>
      <c r="V183"/>
      <c r="W183"/>
      <c r="X183"/>
      <c r="Y183"/>
      <c r="Z183"/>
      <c r="AA183"/>
      <c r="AB183"/>
      <c r="AC183"/>
      <c r="AD183"/>
    </row>
    <row r="184" spans="17:30" ht="15" x14ac:dyDescent="0.25">
      <c r="R184"/>
      <c r="S184"/>
      <c r="T184"/>
      <c r="U184"/>
      <c r="V184"/>
      <c r="W184"/>
      <c r="X184"/>
      <c r="Y184"/>
      <c r="Z184"/>
      <c r="AA184"/>
      <c r="AB184"/>
      <c r="AC184"/>
      <c r="AD184"/>
    </row>
    <row r="185" spans="17:30" ht="15" x14ac:dyDescent="0.25">
      <c r="R185"/>
      <c r="S185"/>
      <c r="T185"/>
      <c r="U185"/>
      <c r="V185"/>
      <c r="W185"/>
      <c r="X185"/>
      <c r="Y185"/>
      <c r="Z185"/>
      <c r="AA185"/>
      <c r="AB185"/>
      <c r="AC185"/>
      <c r="AD185"/>
    </row>
  </sheetData>
  <customSheetViews>
    <customSheetView guid="{2345A847-8329-4FAA-8A9B-232369E733B0}" showGridLines="0" showRowCol="0">
      <selection activeCell="C4" sqref="C4"/>
      <pageMargins left="0.7" right="0.7" top="0.75" bottom="0.75" header="0.3" footer="0.3"/>
      <pageSetup orientation="portrait" r:id="rId1"/>
    </customSheetView>
    <customSheetView guid="{DD229629-D235-48D5-B318-6D38150C57A8}" showPageBreaks="1">
      <selection activeCell="C4" sqref="C4"/>
      <pageMargins left="0.7" right="0.7" top="0.75" bottom="0.75" header="0.3" footer="0.3"/>
      <pageSetup orientation="portrait" r:id="rId2"/>
    </customSheetView>
  </customSheetViews>
  <pageMargins left="0.25" right="0.25" top="0.75" bottom="0.94551282051282048" header="0.3" footer="0.3"/>
  <pageSetup paperSize="5" orientation="landscape" r:id="rId3"/>
  <headerFooter differentFirst="1">
    <firstHeader>&amp;L&amp;20Capital (in Billions) for Years 0-10, 15, 20</firstHeader>
    <firstFooter>&amp;L&amp;8 1. Urcpe Oxak Hvqai Aw Fdwj Fblwxn. Lfpw Nykw Xrrrz Nngc Noxng.
 2. Asauw Eyk Kih Gm Axrb Nhuz. Blne Zw Azdvc Tlaa.
 3. Ftveere Adnk Jzi Aw Wnhj Rgpy.
 4. Xdgf Sr Ktkkz Jwdc. Lfpw Nykw Xrrrz Nngc Noxng. Mfoc Vp Glxhn Rwox.&amp;R&amp;8Page 1</firstFooter>
  </headerFooter>
  <ignoredErrors>
    <ignoredError sqref="D3:E3 F3:O3 E21:O21 D21 C21 D20:O20 D10:O10 D8:O8 D6:O6 D12:O12 D14:O14 D16:O16 D18:O18 D4:O4 C19 C17 C15 C13 C11 C5 C7 C9 E5:O5 E7:O7 E9:O9 E11:O11 E13:O13 E15:O15 E17:O17 E19:O19 D19 D17 D15 D13 D11 D9 D7 D5 C4 C6 C8 C10 C12 C14 C16 C18 C20" formula="1"/>
  </ignoredErrors>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3"/>
  <sheetViews>
    <sheetView workbookViewId="0">
      <selection activeCell="B4" sqref="B4"/>
    </sheetView>
  </sheetViews>
  <sheetFormatPr defaultRowHeight="15" x14ac:dyDescent="0.25"/>
  <cols>
    <col min="2" max="2" width="27" customWidth="1"/>
  </cols>
  <sheetData>
    <row r="2" spans="2:3" x14ac:dyDescent="0.25">
      <c r="B2" t="s">
        <v>18</v>
      </c>
    </row>
    <row r="3" spans="2:3" x14ac:dyDescent="0.25">
      <c r="B3" s="1" t="s">
        <v>15</v>
      </c>
      <c r="C3" s="2">
        <f ca="1">LEN(Template!C2)-FIND(".",Template!C2)</f>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E25"/>
  <sheetViews>
    <sheetView workbookViewId="0"/>
  </sheetViews>
  <sheetFormatPr defaultRowHeight="15" x14ac:dyDescent="0.25"/>
  <cols>
    <col min="2" max="2" width="7.85546875" customWidth="1"/>
    <col min="3" max="3" width="9.7109375" customWidth="1"/>
    <col min="4" max="4" width="17.42578125" customWidth="1"/>
    <col min="5" max="5" width="46" customWidth="1"/>
  </cols>
  <sheetData>
    <row r="2" spans="2:5" x14ac:dyDescent="0.25">
      <c r="B2" s="1" t="s">
        <v>36</v>
      </c>
      <c r="C2" s="1" t="s">
        <v>37</v>
      </c>
      <c r="D2" s="1" t="s">
        <v>38</v>
      </c>
      <c r="E2" s="1" t="s">
        <v>1</v>
      </c>
    </row>
    <row r="3" spans="2:5" x14ac:dyDescent="0.25">
      <c r="B3" s="26" t="s">
        <v>39</v>
      </c>
      <c r="C3" s="27">
        <v>42764</v>
      </c>
      <c r="D3" s="26" t="s">
        <v>40</v>
      </c>
      <c r="E3" s="28" t="s">
        <v>41</v>
      </c>
    </row>
    <row r="4" spans="2:5" x14ac:dyDescent="0.25">
      <c r="B4" s="26" t="s">
        <v>42</v>
      </c>
      <c r="C4" s="27">
        <v>42764</v>
      </c>
      <c r="D4" s="26" t="s">
        <v>40</v>
      </c>
      <c r="E4" s="28" t="s">
        <v>43</v>
      </c>
    </row>
    <row r="5" spans="2:5" ht="30" x14ac:dyDescent="0.25">
      <c r="B5" s="26" t="s">
        <v>44</v>
      </c>
      <c r="C5" s="27">
        <v>42764</v>
      </c>
      <c r="D5" s="26" t="s">
        <v>40</v>
      </c>
      <c r="E5" s="28" t="s">
        <v>45</v>
      </c>
    </row>
    <row r="6" spans="2:5" x14ac:dyDescent="0.25">
      <c r="B6" s="26"/>
      <c r="C6" s="26"/>
      <c r="D6" s="26"/>
      <c r="E6" s="28"/>
    </row>
    <row r="7" spans="2:5" x14ac:dyDescent="0.25">
      <c r="B7" s="26"/>
      <c r="C7" s="26"/>
      <c r="D7" s="26"/>
      <c r="E7" s="28"/>
    </row>
    <row r="8" spans="2:5" x14ac:dyDescent="0.25">
      <c r="B8" s="26"/>
      <c r="C8" s="26"/>
      <c r="D8" s="26"/>
      <c r="E8" s="28"/>
    </row>
    <row r="9" spans="2:5" x14ac:dyDescent="0.25">
      <c r="B9" s="26"/>
      <c r="C9" s="26"/>
      <c r="D9" s="26"/>
      <c r="E9" s="28"/>
    </row>
    <row r="10" spans="2:5" x14ac:dyDescent="0.25">
      <c r="B10" s="26"/>
      <c r="C10" s="26"/>
      <c r="D10" s="26"/>
      <c r="E10" s="28"/>
    </row>
    <row r="11" spans="2:5" x14ac:dyDescent="0.25">
      <c r="B11" s="26"/>
      <c r="C11" s="26"/>
      <c r="D11" s="26"/>
      <c r="E11" s="28"/>
    </row>
    <row r="12" spans="2:5" x14ac:dyDescent="0.25">
      <c r="B12" s="26"/>
      <c r="C12" s="26"/>
      <c r="D12" s="26"/>
      <c r="E12" s="28"/>
    </row>
    <row r="13" spans="2:5" x14ac:dyDescent="0.25">
      <c r="B13" s="26"/>
      <c r="C13" s="26"/>
      <c r="D13" s="26"/>
      <c r="E13" s="28"/>
    </row>
    <row r="14" spans="2:5" x14ac:dyDescent="0.25">
      <c r="B14" s="26"/>
      <c r="C14" s="26"/>
      <c r="D14" s="26"/>
      <c r="E14" s="28"/>
    </row>
    <row r="15" spans="2:5" x14ac:dyDescent="0.25">
      <c r="B15" s="26"/>
      <c r="C15" s="26"/>
      <c r="D15" s="26"/>
      <c r="E15" s="28"/>
    </row>
    <row r="16" spans="2:5" x14ac:dyDescent="0.25">
      <c r="B16" s="26"/>
      <c r="C16" s="26"/>
      <c r="D16" s="26"/>
      <c r="E16" s="28"/>
    </row>
    <row r="17" spans="2:5" x14ac:dyDescent="0.25">
      <c r="B17" s="26"/>
      <c r="C17" s="26"/>
      <c r="D17" s="26"/>
      <c r="E17" s="28"/>
    </row>
    <row r="18" spans="2:5" x14ac:dyDescent="0.25">
      <c r="B18" s="26"/>
      <c r="C18" s="26"/>
      <c r="D18" s="26"/>
      <c r="E18" s="28"/>
    </row>
    <row r="19" spans="2:5" x14ac:dyDescent="0.25">
      <c r="B19" s="26"/>
      <c r="C19" s="26"/>
      <c r="D19" s="26"/>
      <c r="E19" s="28"/>
    </row>
    <row r="20" spans="2:5" x14ac:dyDescent="0.25">
      <c r="B20" s="26"/>
      <c r="C20" s="26"/>
      <c r="D20" s="26"/>
      <c r="E20" s="28"/>
    </row>
    <row r="21" spans="2:5" x14ac:dyDescent="0.25">
      <c r="B21" s="26"/>
      <c r="C21" s="26"/>
      <c r="D21" s="26"/>
      <c r="E21" s="28"/>
    </row>
    <row r="22" spans="2:5" x14ac:dyDescent="0.25">
      <c r="B22" s="26"/>
      <c r="C22" s="26"/>
      <c r="D22" s="26"/>
      <c r="E22" s="28"/>
    </row>
    <row r="23" spans="2:5" x14ac:dyDescent="0.25">
      <c r="B23" s="29"/>
      <c r="C23" s="29"/>
      <c r="D23" s="29"/>
      <c r="E23" s="30"/>
    </row>
    <row r="24" spans="2:5" x14ac:dyDescent="0.25">
      <c r="E24" s="30"/>
    </row>
    <row r="25" spans="2:5" x14ac:dyDescent="0.25">
      <c r="E25" s="3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Template</vt:lpstr>
      <vt:lpstr>Config</vt:lpstr>
      <vt:lpstr>Version Log</vt:lpstr>
      <vt:lpstr>dev</vt:lpstr>
      <vt:lpstr>DecimalPrecision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Filiakov</dc:creator>
  <cp:lastModifiedBy>Alex Filiakov</cp:lastModifiedBy>
  <cp:lastPrinted>2017-01-29T04:17:46Z</cp:lastPrinted>
  <dcterms:created xsi:type="dcterms:W3CDTF">2017-01-28T20:51:09Z</dcterms:created>
  <dcterms:modified xsi:type="dcterms:W3CDTF">2017-09-09T03:10:34Z</dcterms:modified>
</cp:coreProperties>
</file>