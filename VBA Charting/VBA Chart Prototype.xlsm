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warr\Dropbox\Actuarial\Lab\VBA Charting\"/>
    </mc:Choice>
  </mc:AlternateContent>
  <bookViews>
    <workbookView xWindow="0" yWindow="0" windowWidth="21570" windowHeight="7965" activeTab="3"/>
  </bookViews>
  <sheets>
    <sheet name="Data Generator" sheetId="1" r:id="rId1"/>
    <sheet name="data" sheetId="2" r:id="rId2"/>
    <sheet name="Index Generator" sheetId="4" r:id="rId3"/>
    <sheet name="idx data" sheetId="3" r:id="rId4"/>
  </sheet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5" i="3" l="1"/>
  <c r="P6" i="3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41" i="3" s="1"/>
  <c r="P42" i="3" s="1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69" i="3" s="1"/>
  <c r="P70" i="3" s="1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P105" i="3" s="1"/>
  <c r="P106" i="3" s="1"/>
  <c r="P107" i="3" s="1"/>
  <c r="P108" i="3" s="1"/>
  <c r="P109" i="3" s="1"/>
  <c r="P110" i="3" s="1"/>
  <c r="P111" i="3" s="1"/>
  <c r="P112" i="3" s="1"/>
  <c r="P113" i="3" s="1"/>
  <c r="P114" i="3" s="1"/>
  <c r="P115" i="3" s="1"/>
  <c r="P116" i="3" s="1"/>
  <c r="P117" i="3" s="1"/>
  <c r="P118" i="3" s="1"/>
  <c r="P119" i="3" s="1"/>
  <c r="P120" i="3" s="1"/>
  <c r="P121" i="3" s="1"/>
  <c r="P122" i="3" s="1"/>
  <c r="P123" i="3" s="1"/>
  <c r="P124" i="3" s="1"/>
  <c r="P125" i="3" s="1"/>
  <c r="P126" i="3" s="1"/>
  <c r="P127" i="3" s="1"/>
  <c r="P128" i="3" s="1"/>
  <c r="P129" i="3" s="1"/>
  <c r="P130" i="3" s="1"/>
  <c r="P131" i="3" s="1"/>
  <c r="P132" i="3" s="1"/>
  <c r="P133" i="3" s="1"/>
  <c r="P134" i="3" s="1"/>
  <c r="P135" i="3" s="1"/>
  <c r="P136" i="3" s="1"/>
  <c r="P137" i="3" s="1"/>
  <c r="P138" i="3" s="1"/>
  <c r="P139" i="3" s="1"/>
  <c r="P140" i="3" s="1"/>
  <c r="P141" i="3" s="1"/>
  <c r="P142" i="3" s="1"/>
  <c r="P143" i="3" s="1"/>
  <c r="P144" i="3" s="1"/>
  <c r="P145" i="3" s="1"/>
  <c r="P146" i="3" s="1"/>
  <c r="P147" i="3" s="1"/>
  <c r="P148" i="3" s="1"/>
  <c r="P149" i="3" s="1"/>
  <c r="P150" i="3" s="1"/>
  <c r="P151" i="3" s="1"/>
  <c r="P152" i="3" s="1"/>
  <c r="P153" i="3" s="1"/>
  <c r="P154" i="3" s="1"/>
  <c r="P155" i="3" s="1"/>
  <c r="P156" i="3" s="1"/>
  <c r="P157" i="3" s="1"/>
  <c r="P158" i="3" s="1"/>
  <c r="P159" i="3" s="1"/>
  <c r="P160" i="3" s="1"/>
  <c r="P161" i="3" s="1"/>
  <c r="P162" i="3" s="1"/>
  <c r="P163" i="3" s="1"/>
  <c r="P164" i="3" s="1"/>
  <c r="P165" i="3" s="1"/>
  <c r="P166" i="3" s="1"/>
  <c r="P167" i="3" s="1"/>
  <c r="P168" i="3" s="1"/>
  <c r="P169" i="3" s="1"/>
  <c r="P170" i="3" s="1"/>
  <c r="P171" i="3" s="1"/>
  <c r="P172" i="3" s="1"/>
  <c r="P173" i="3" s="1"/>
  <c r="P174" i="3" s="1"/>
  <c r="P175" i="3" s="1"/>
  <c r="P176" i="3" s="1"/>
  <c r="P177" i="3" s="1"/>
  <c r="P178" i="3" s="1"/>
  <c r="P179" i="3" s="1"/>
  <c r="P180" i="3" s="1"/>
  <c r="P181" i="3" s="1"/>
  <c r="P182" i="3" s="1"/>
  <c r="P183" i="3" s="1"/>
  <c r="P184" i="3" s="1"/>
  <c r="P185" i="3" s="1"/>
  <c r="P186" i="3" s="1"/>
  <c r="P187" i="3" s="1"/>
  <c r="P188" i="3" s="1"/>
  <c r="P189" i="3" s="1"/>
  <c r="P190" i="3" s="1"/>
  <c r="P191" i="3" s="1"/>
  <c r="P192" i="3" s="1"/>
  <c r="P193" i="3" s="1"/>
  <c r="P194" i="3" s="1"/>
  <c r="P195" i="3" s="1"/>
  <c r="P196" i="3" s="1"/>
  <c r="P197" i="3" s="1"/>
  <c r="P198" i="3" s="1"/>
  <c r="P199" i="3" s="1"/>
  <c r="P200" i="3" s="1"/>
  <c r="P201" i="3" s="1"/>
  <c r="P202" i="3" s="1"/>
  <c r="P203" i="3" s="1"/>
  <c r="P204" i="3" s="1"/>
  <c r="P205" i="3" s="1"/>
  <c r="P206" i="3" s="1"/>
  <c r="P207" i="3" s="1"/>
  <c r="P208" i="3" s="1"/>
  <c r="P209" i="3" s="1"/>
  <c r="P210" i="3" s="1"/>
  <c r="P211" i="3" s="1"/>
  <c r="P212" i="3" s="1"/>
  <c r="P213" i="3" s="1"/>
  <c r="P214" i="3" s="1"/>
  <c r="P215" i="3" s="1"/>
  <c r="P216" i="3" s="1"/>
  <c r="P217" i="3" s="1"/>
  <c r="P218" i="3" s="1"/>
  <c r="P219" i="3" s="1"/>
  <c r="P220" i="3" s="1"/>
  <c r="P221" i="3" s="1"/>
  <c r="P222" i="3" s="1"/>
  <c r="P223" i="3" s="1"/>
  <c r="P224" i="3" s="1"/>
  <c r="P225" i="3" s="1"/>
  <c r="P226" i="3" s="1"/>
  <c r="P227" i="3" s="1"/>
  <c r="P228" i="3" s="1"/>
  <c r="P229" i="3" s="1"/>
  <c r="P230" i="3" s="1"/>
  <c r="P231" i="3" s="1"/>
  <c r="P232" i="3" s="1"/>
  <c r="P233" i="3" s="1"/>
  <c r="P234" i="3" s="1"/>
  <c r="P235" i="3" s="1"/>
  <c r="P236" i="3" s="1"/>
  <c r="P237" i="3" s="1"/>
  <c r="P238" i="3" s="1"/>
  <c r="P239" i="3" s="1"/>
  <c r="P240" i="3" s="1"/>
  <c r="P241" i="3" s="1"/>
  <c r="P242" i="3" s="1"/>
  <c r="P243" i="3" s="1"/>
  <c r="P244" i="3" s="1"/>
  <c r="P245" i="3" s="1"/>
  <c r="P246" i="3" s="1"/>
  <c r="P247" i="3" s="1"/>
  <c r="P248" i="3" s="1"/>
  <c r="P249" i="3" s="1"/>
  <c r="P250" i="3" s="1"/>
  <c r="P251" i="3" s="1"/>
  <c r="P252" i="3" s="1"/>
  <c r="P253" i="3" s="1"/>
  <c r="P254" i="3" s="1"/>
  <c r="P255" i="3" s="1"/>
  <c r="P256" i="3" s="1"/>
  <c r="P257" i="3" s="1"/>
  <c r="P258" i="3" s="1"/>
  <c r="P259" i="3" s="1"/>
  <c r="P260" i="3" s="1"/>
  <c r="P261" i="3" s="1"/>
  <c r="P262" i="3" s="1"/>
  <c r="P263" i="3" s="1"/>
  <c r="P264" i="3" s="1"/>
  <c r="P265" i="3" s="1"/>
  <c r="P266" i="3" s="1"/>
  <c r="P267" i="3" s="1"/>
  <c r="P268" i="3" s="1"/>
  <c r="P269" i="3" s="1"/>
  <c r="P270" i="3" s="1"/>
  <c r="P271" i="3" s="1"/>
  <c r="P272" i="3" s="1"/>
  <c r="P273" i="3" s="1"/>
  <c r="P274" i="3" s="1"/>
  <c r="P275" i="3" s="1"/>
  <c r="P276" i="3" s="1"/>
  <c r="P277" i="3" s="1"/>
  <c r="P278" i="3" s="1"/>
  <c r="P279" i="3" s="1"/>
  <c r="P280" i="3" s="1"/>
  <c r="P281" i="3" s="1"/>
  <c r="P282" i="3" s="1"/>
  <c r="P283" i="3" s="1"/>
  <c r="P284" i="3" s="1"/>
  <c r="P285" i="3" s="1"/>
  <c r="P286" i="3" s="1"/>
  <c r="P287" i="3" s="1"/>
  <c r="P288" i="3" s="1"/>
  <c r="P289" i="3" s="1"/>
  <c r="P290" i="3" s="1"/>
  <c r="P291" i="3" s="1"/>
  <c r="P292" i="3" s="1"/>
  <c r="P293" i="3" s="1"/>
  <c r="P294" i="3" s="1"/>
  <c r="P295" i="3" s="1"/>
  <c r="P296" i="3" s="1"/>
  <c r="P297" i="3" s="1"/>
  <c r="P298" i="3" s="1"/>
  <c r="P299" i="3" s="1"/>
  <c r="P300" i="3" s="1"/>
  <c r="P301" i="3" s="1"/>
  <c r="P302" i="3" s="1"/>
  <c r="P303" i="3" s="1"/>
  <c r="P304" i="3" s="1"/>
  <c r="P305" i="3" s="1"/>
  <c r="P306" i="3" s="1"/>
  <c r="P307" i="3" s="1"/>
  <c r="P308" i="3" s="1"/>
  <c r="P309" i="3" s="1"/>
  <c r="P310" i="3" s="1"/>
  <c r="P311" i="3" s="1"/>
  <c r="P312" i="3" s="1"/>
  <c r="P313" i="3" s="1"/>
  <c r="P314" i="3" s="1"/>
  <c r="P315" i="3" s="1"/>
  <c r="P316" i="3" s="1"/>
  <c r="P317" i="3" s="1"/>
  <c r="P318" i="3" s="1"/>
  <c r="P319" i="3" s="1"/>
  <c r="P320" i="3" s="1"/>
  <c r="P321" i="3" s="1"/>
  <c r="P322" i="3" s="1"/>
  <c r="P323" i="3" s="1"/>
  <c r="P324" i="3" s="1"/>
  <c r="P325" i="3" s="1"/>
  <c r="P326" i="3" s="1"/>
  <c r="P327" i="3" s="1"/>
  <c r="P328" i="3" s="1"/>
  <c r="P329" i="3" s="1"/>
  <c r="P330" i="3" s="1"/>
  <c r="P331" i="3" s="1"/>
  <c r="P332" i="3" s="1"/>
  <c r="P333" i="3" s="1"/>
  <c r="P334" i="3" s="1"/>
  <c r="P335" i="3" s="1"/>
  <c r="P336" i="3" s="1"/>
  <c r="P337" i="3" s="1"/>
  <c r="P338" i="3" s="1"/>
  <c r="P339" i="3" s="1"/>
  <c r="P340" i="3" s="1"/>
  <c r="P341" i="3" s="1"/>
  <c r="P342" i="3" s="1"/>
  <c r="P343" i="3" s="1"/>
  <c r="P344" i="3" s="1"/>
  <c r="P345" i="3" s="1"/>
  <c r="P346" i="3" s="1"/>
  <c r="P347" i="3" s="1"/>
  <c r="P348" i="3" s="1"/>
  <c r="P349" i="3" s="1"/>
  <c r="P350" i="3" s="1"/>
  <c r="P351" i="3" s="1"/>
  <c r="P352" i="3" s="1"/>
  <c r="P353" i="3" s="1"/>
  <c r="P354" i="3" s="1"/>
  <c r="P355" i="3" s="1"/>
  <c r="P356" i="3" s="1"/>
  <c r="P357" i="3" s="1"/>
  <c r="P358" i="3" s="1"/>
  <c r="P359" i="3" s="1"/>
  <c r="P360" i="3" s="1"/>
  <c r="P361" i="3" s="1"/>
  <c r="P362" i="3" s="1"/>
  <c r="P363" i="3" s="1"/>
  <c r="P364" i="3" s="1"/>
  <c r="P365" i="3" s="1"/>
  <c r="P366" i="3" s="1"/>
  <c r="P367" i="3" s="1"/>
  <c r="P368" i="3" s="1"/>
  <c r="P369" i="3" s="1"/>
  <c r="P370" i="3" s="1"/>
  <c r="P371" i="3" s="1"/>
  <c r="P372" i="3" s="1"/>
  <c r="P373" i="3" s="1"/>
  <c r="P374" i="3" s="1"/>
  <c r="P375" i="3" s="1"/>
  <c r="P376" i="3" s="1"/>
  <c r="P377" i="3" s="1"/>
  <c r="P378" i="3" s="1"/>
  <c r="P379" i="3" s="1"/>
  <c r="P380" i="3" s="1"/>
  <c r="P381" i="3" s="1"/>
  <c r="P382" i="3" s="1"/>
  <c r="P383" i="3" s="1"/>
  <c r="P384" i="3" s="1"/>
  <c r="P385" i="3" s="1"/>
  <c r="P386" i="3" s="1"/>
  <c r="P387" i="3" s="1"/>
  <c r="Q5" i="3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Q45" i="3" s="1"/>
  <c r="Q46" i="3" s="1"/>
  <c r="Q47" i="3" s="1"/>
  <c r="Q48" i="3" s="1"/>
  <c r="Q49" i="3" s="1"/>
  <c r="Q50" i="3" s="1"/>
  <c r="Q51" i="3" s="1"/>
  <c r="Q52" i="3" s="1"/>
  <c r="Q53" i="3" s="1"/>
  <c r="Q54" i="3" s="1"/>
  <c r="Q55" i="3" s="1"/>
  <c r="Q56" i="3" s="1"/>
  <c r="Q57" i="3" s="1"/>
  <c r="Q58" i="3" s="1"/>
  <c r="Q59" i="3" s="1"/>
  <c r="Q60" i="3" s="1"/>
  <c r="Q61" i="3" s="1"/>
  <c r="Q62" i="3" s="1"/>
  <c r="Q63" i="3" s="1"/>
  <c r="Q64" i="3" s="1"/>
  <c r="Q65" i="3" s="1"/>
  <c r="Q66" i="3" s="1"/>
  <c r="Q67" i="3" s="1"/>
  <c r="Q68" i="3" s="1"/>
  <c r="Q69" i="3" s="1"/>
  <c r="Q70" i="3" s="1"/>
  <c r="Q71" i="3" s="1"/>
  <c r="Q72" i="3" s="1"/>
  <c r="Q73" i="3" s="1"/>
  <c r="Q74" i="3" s="1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Q105" i="3" s="1"/>
  <c r="Q106" i="3" s="1"/>
  <c r="Q107" i="3" s="1"/>
  <c r="Q108" i="3" s="1"/>
  <c r="Q109" i="3" s="1"/>
  <c r="Q110" i="3" s="1"/>
  <c r="Q111" i="3" s="1"/>
  <c r="Q112" i="3" s="1"/>
  <c r="Q113" i="3" s="1"/>
  <c r="Q114" i="3" s="1"/>
  <c r="Q115" i="3" s="1"/>
  <c r="Q116" i="3" s="1"/>
  <c r="Q117" i="3" s="1"/>
  <c r="Q118" i="3" s="1"/>
  <c r="Q119" i="3" s="1"/>
  <c r="Q120" i="3" s="1"/>
  <c r="Q121" i="3" s="1"/>
  <c r="Q122" i="3" s="1"/>
  <c r="Q123" i="3" s="1"/>
  <c r="Q124" i="3" s="1"/>
  <c r="Q125" i="3" s="1"/>
  <c r="Q126" i="3" s="1"/>
  <c r="Q127" i="3" s="1"/>
  <c r="Q128" i="3" s="1"/>
  <c r="Q129" i="3" s="1"/>
  <c r="Q130" i="3" s="1"/>
  <c r="Q131" i="3" s="1"/>
  <c r="Q132" i="3" s="1"/>
  <c r="Q133" i="3" s="1"/>
  <c r="Q134" i="3" s="1"/>
  <c r="Q135" i="3" s="1"/>
  <c r="Q136" i="3" s="1"/>
  <c r="Q137" i="3" s="1"/>
  <c r="Q138" i="3" s="1"/>
  <c r="Q139" i="3" s="1"/>
  <c r="Q140" i="3" s="1"/>
  <c r="Q141" i="3" s="1"/>
  <c r="Q142" i="3" s="1"/>
  <c r="Q143" i="3" s="1"/>
  <c r="Q144" i="3" s="1"/>
  <c r="Q145" i="3" s="1"/>
  <c r="Q146" i="3" s="1"/>
  <c r="Q147" i="3" s="1"/>
  <c r="Q148" i="3" s="1"/>
  <c r="Q149" i="3" s="1"/>
  <c r="Q150" i="3" s="1"/>
  <c r="Q151" i="3" s="1"/>
  <c r="Q152" i="3" s="1"/>
  <c r="Q153" i="3" s="1"/>
  <c r="Q154" i="3" s="1"/>
  <c r="Q155" i="3" s="1"/>
  <c r="Q156" i="3" s="1"/>
  <c r="Q157" i="3" s="1"/>
  <c r="Q158" i="3" s="1"/>
  <c r="Q159" i="3" s="1"/>
  <c r="Q160" i="3" s="1"/>
  <c r="Q161" i="3" s="1"/>
  <c r="Q162" i="3" s="1"/>
  <c r="Q163" i="3" s="1"/>
  <c r="Q164" i="3" s="1"/>
  <c r="Q165" i="3" s="1"/>
  <c r="Q166" i="3" s="1"/>
  <c r="Q167" i="3" s="1"/>
  <c r="Q168" i="3" s="1"/>
  <c r="Q169" i="3" s="1"/>
  <c r="Q170" i="3" s="1"/>
  <c r="Q171" i="3" s="1"/>
  <c r="Q172" i="3" s="1"/>
  <c r="Q173" i="3" s="1"/>
  <c r="Q174" i="3" s="1"/>
  <c r="Q175" i="3" s="1"/>
  <c r="Q176" i="3" s="1"/>
  <c r="Q177" i="3" s="1"/>
  <c r="Q178" i="3" s="1"/>
  <c r="Q179" i="3" s="1"/>
  <c r="Q180" i="3" s="1"/>
  <c r="Q181" i="3" s="1"/>
  <c r="Q182" i="3" s="1"/>
  <c r="Q183" i="3" s="1"/>
  <c r="Q184" i="3" s="1"/>
  <c r="Q185" i="3" s="1"/>
  <c r="Q186" i="3" s="1"/>
  <c r="Q187" i="3" s="1"/>
  <c r="Q188" i="3" s="1"/>
  <c r="Q189" i="3" s="1"/>
  <c r="Q190" i="3" s="1"/>
  <c r="Q191" i="3" s="1"/>
  <c r="Q192" i="3" s="1"/>
  <c r="Q193" i="3" s="1"/>
  <c r="Q194" i="3" s="1"/>
  <c r="Q195" i="3" s="1"/>
  <c r="Q196" i="3" s="1"/>
  <c r="Q197" i="3" s="1"/>
  <c r="Q198" i="3" s="1"/>
  <c r="Q199" i="3" s="1"/>
  <c r="Q200" i="3" s="1"/>
  <c r="Q201" i="3" s="1"/>
  <c r="Q202" i="3" s="1"/>
  <c r="Q203" i="3" s="1"/>
  <c r="Q204" i="3" s="1"/>
  <c r="Q205" i="3" s="1"/>
  <c r="Q206" i="3" s="1"/>
  <c r="Q207" i="3" s="1"/>
  <c r="Q208" i="3" s="1"/>
  <c r="Q209" i="3" s="1"/>
  <c r="Q210" i="3" s="1"/>
  <c r="Q211" i="3" s="1"/>
  <c r="Q212" i="3" s="1"/>
  <c r="Q213" i="3" s="1"/>
  <c r="Q214" i="3" s="1"/>
  <c r="Q215" i="3" s="1"/>
  <c r="Q216" i="3" s="1"/>
  <c r="Q217" i="3" s="1"/>
  <c r="Q218" i="3" s="1"/>
  <c r="Q219" i="3" s="1"/>
  <c r="Q220" i="3" s="1"/>
  <c r="Q221" i="3" s="1"/>
  <c r="Q222" i="3" s="1"/>
  <c r="Q223" i="3" s="1"/>
  <c r="Q224" i="3" s="1"/>
  <c r="Q225" i="3" s="1"/>
  <c r="Q226" i="3" s="1"/>
  <c r="Q227" i="3" s="1"/>
  <c r="Q228" i="3" s="1"/>
  <c r="Q229" i="3" s="1"/>
  <c r="Q230" i="3" s="1"/>
  <c r="Q231" i="3" s="1"/>
  <c r="Q232" i="3" s="1"/>
  <c r="Q233" i="3" s="1"/>
  <c r="Q234" i="3" s="1"/>
  <c r="Q235" i="3" s="1"/>
  <c r="Q236" i="3" s="1"/>
  <c r="Q237" i="3" s="1"/>
  <c r="Q238" i="3" s="1"/>
  <c r="Q239" i="3" s="1"/>
  <c r="Q240" i="3" s="1"/>
  <c r="Q241" i="3" s="1"/>
  <c r="Q242" i="3" s="1"/>
  <c r="Q243" i="3" s="1"/>
  <c r="Q244" i="3" s="1"/>
  <c r="Q245" i="3" s="1"/>
  <c r="Q246" i="3" s="1"/>
  <c r="Q247" i="3" s="1"/>
  <c r="Q248" i="3" s="1"/>
  <c r="Q249" i="3" s="1"/>
  <c r="Q250" i="3" s="1"/>
  <c r="Q251" i="3" s="1"/>
  <c r="Q252" i="3" s="1"/>
  <c r="Q253" i="3" s="1"/>
  <c r="Q254" i="3" s="1"/>
  <c r="Q255" i="3" s="1"/>
  <c r="Q256" i="3" s="1"/>
  <c r="Q257" i="3" s="1"/>
  <c r="Q258" i="3" s="1"/>
  <c r="Q259" i="3" s="1"/>
  <c r="Q260" i="3" s="1"/>
  <c r="Q261" i="3" s="1"/>
  <c r="Q262" i="3" s="1"/>
  <c r="Q263" i="3" s="1"/>
  <c r="Q264" i="3" s="1"/>
  <c r="Q265" i="3" s="1"/>
  <c r="Q266" i="3" s="1"/>
  <c r="Q267" i="3" s="1"/>
  <c r="Q268" i="3" s="1"/>
  <c r="Q269" i="3" s="1"/>
  <c r="Q270" i="3" s="1"/>
  <c r="Q271" i="3" s="1"/>
  <c r="Q272" i="3" s="1"/>
  <c r="Q273" i="3" s="1"/>
  <c r="Q274" i="3" s="1"/>
  <c r="Q275" i="3" s="1"/>
  <c r="Q276" i="3" s="1"/>
  <c r="Q277" i="3" s="1"/>
  <c r="Q278" i="3" s="1"/>
  <c r="Q279" i="3" s="1"/>
  <c r="Q280" i="3" s="1"/>
  <c r="Q281" i="3" s="1"/>
  <c r="Q282" i="3" s="1"/>
  <c r="Q283" i="3" s="1"/>
  <c r="Q284" i="3" s="1"/>
  <c r="Q285" i="3" s="1"/>
  <c r="Q286" i="3" s="1"/>
  <c r="Q287" i="3" s="1"/>
  <c r="Q288" i="3" s="1"/>
  <c r="Q289" i="3" s="1"/>
  <c r="Q290" i="3" s="1"/>
  <c r="Q291" i="3" s="1"/>
  <c r="Q292" i="3" s="1"/>
  <c r="Q293" i="3" s="1"/>
  <c r="Q294" i="3" s="1"/>
  <c r="Q295" i="3" s="1"/>
  <c r="Q296" i="3" s="1"/>
  <c r="Q297" i="3" s="1"/>
  <c r="Q298" i="3" s="1"/>
  <c r="Q299" i="3" s="1"/>
  <c r="Q300" i="3" s="1"/>
  <c r="Q301" i="3" s="1"/>
  <c r="Q302" i="3" s="1"/>
  <c r="Q303" i="3" s="1"/>
  <c r="Q304" i="3" s="1"/>
  <c r="Q305" i="3" s="1"/>
  <c r="Q306" i="3" s="1"/>
  <c r="Q307" i="3" s="1"/>
  <c r="Q308" i="3" s="1"/>
  <c r="Q309" i="3" s="1"/>
  <c r="Q310" i="3" s="1"/>
  <c r="Q311" i="3" s="1"/>
  <c r="Q312" i="3" s="1"/>
  <c r="Q313" i="3" s="1"/>
  <c r="Q314" i="3" s="1"/>
  <c r="Q315" i="3" s="1"/>
  <c r="Q316" i="3" s="1"/>
  <c r="Q317" i="3" s="1"/>
  <c r="Q318" i="3" s="1"/>
  <c r="Q319" i="3" s="1"/>
  <c r="Q320" i="3" s="1"/>
  <c r="Q321" i="3" s="1"/>
  <c r="Q322" i="3" s="1"/>
  <c r="Q323" i="3" s="1"/>
  <c r="Q324" i="3" s="1"/>
  <c r="Q325" i="3" s="1"/>
  <c r="Q326" i="3" s="1"/>
  <c r="Q327" i="3" s="1"/>
  <c r="Q328" i="3" s="1"/>
  <c r="Q329" i="3" s="1"/>
  <c r="Q330" i="3" s="1"/>
  <c r="Q331" i="3" s="1"/>
  <c r="Q332" i="3" s="1"/>
  <c r="Q333" i="3" s="1"/>
  <c r="Q334" i="3" s="1"/>
  <c r="Q335" i="3" s="1"/>
  <c r="Q336" i="3" s="1"/>
  <c r="Q337" i="3" s="1"/>
  <c r="Q338" i="3" s="1"/>
  <c r="Q339" i="3" s="1"/>
  <c r="Q340" i="3" s="1"/>
  <c r="Q341" i="3" s="1"/>
  <c r="Q342" i="3" s="1"/>
  <c r="Q343" i="3" s="1"/>
  <c r="Q344" i="3" s="1"/>
  <c r="Q345" i="3" s="1"/>
  <c r="Q346" i="3" s="1"/>
  <c r="Q347" i="3" s="1"/>
  <c r="Q348" i="3" s="1"/>
  <c r="Q349" i="3" s="1"/>
  <c r="Q350" i="3" s="1"/>
  <c r="Q351" i="3" s="1"/>
  <c r="Q352" i="3" s="1"/>
  <c r="Q353" i="3" s="1"/>
  <c r="Q354" i="3" s="1"/>
  <c r="Q355" i="3" s="1"/>
  <c r="Q356" i="3" s="1"/>
  <c r="Q357" i="3" s="1"/>
  <c r="Q358" i="3" s="1"/>
  <c r="Q359" i="3" s="1"/>
  <c r="Q360" i="3" s="1"/>
  <c r="Q361" i="3" s="1"/>
  <c r="Q362" i="3" s="1"/>
  <c r="Q363" i="3" s="1"/>
  <c r="Q364" i="3" s="1"/>
  <c r="Q365" i="3" s="1"/>
  <c r="Q366" i="3" s="1"/>
  <c r="Q367" i="3" s="1"/>
  <c r="Q368" i="3" s="1"/>
  <c r="Q369" i="3" s="1"/>
  <c r="Q370" i="3" s="1"/>
  <c r="Q371" i="3" s="1"/>
  <c r="Q372" i="3" s="1"/>
  <c r="Q373" i="3" s="1"/>
  <c r="Q374" i="3" s="1"/>
  <c r="Q375" i="3" s="1"/>
  <c r="Q376" i="3" s="1"/>
  <c r="Q377" i="3" s="1"/>
  <c r="Q378" i="3" s="1"/>
  <c r="Q379" i="3" s="1"/>
  <c r="Q380" i="3" s="1"/>
  <c r="Q381" i="3" s="1"/>
  <c r="Q382" i="3" s="1"/>
  <c r="Q383" i="3" s="1"/>
  <c r="Q384" i="3" s="1"/>
  <c r="Q385" i="3" s="1"/>
  <c r="Q386" i="3" s="1"/>
  <c r="Q387" i="3" s="1"/>
  <c r="P5" i="3"/>
  <c r="O5" i="3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O32" i="3" s="1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O44" i="3" s="1"/>
  <c r="O45" i="3" s="1"/>
  <c r="O46" i="3" s="1"/>
  <c r="O47" i="3" s="1"/>
  <c r="O48" i="3" s="1"/>
  <c r="O49" i="3" s="1"/>
  <c r="O50" i="3" s="1"/>
  <c r="O51" i="3" s="1"/>
  <c r="O52" i="3" s="1"/>
  <c r="O53" i="3" s="1"/>
  <c r="O54" i="3" s="1"/>
  <c r="O55" i="3" s="1"/>
  <c r="O56" i="3" s="1"/>
  <c r="O57" i="3" s="1"/>
  <c r="O58" i="3" s="1"/>
  <c r="O59" i="3" s="1"/>
  <c r="O60" i="3" s="1"/>
  <c r="O61" i="3" s="1"/>
  <c r="O62" i="3" s="1"/>
  <c r="O63" i="3" s="1"/>
  <c r="O64" i="3" s="1"/>
  <c r="O65" i="3" s="1"/>
  <c r="O66" i="3" s="1"/>
  <c r="O67" i="3" s="1"/>
  <c r="O68" i="3" s="1"/>
  <c r="O69" i="3" s="1"/>
  <c r="O70" i="3" s="1"/>
  <c r="O71" i="3" s="1"/>
  <c r="O72" i="3" s="1"/>
  <c r="O73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O105" i="3" s="1"/>
  <c r="O106" i="3" s="1"/>
  <c r="O107" i="3" s="1"/>
  <c r="O108" i="3" s="1"/>
  <c r="O109" i="3" s="1"/>
  <c r="O110" i="3" s="1"/>
  <c r="O111" i="3" s="1"/>
  <c r="O112" i="3" s="1"/>
  <c r="O113" i="3" s="1"/>
  <c r="O114" i="3" s="1"/>
  <c r="O115" i="3" s="1"/>
  <c r="O116" i="3" s="1"/>
  <c r="O117" i="3" s="1"/>
  <c r="O118" i="3" s="1"/>
  <c r="O119" i="3" s="1"/>
  <c r="O120" i="3" s="1"/>
  <c r="O121" i="3" s="1"/>
  <c r="O122" i="3" s="1"/>
  <c r="O123" i="3" s="1"/>
  <c r="O124" i="3" s="1"/>
  <c r="O125" i="3" s="1"/>
  <c r="O126" i="3" s="1"/>
  <c r="O127" i="3" s="1"/>
  <c r="O128" i="3" s="1"/>
  <c r="O129" i="3" s="1"/>
  <c r="O130" i="3" s="1"/>
  <c r="O131" i="3" s="1"/>
  <c r="O132" i="3" s="1"/>
  <c r="O133" i="3" s="1"/>
  <c r="O134" i="3" s="1"/>
  <c r="O135" i="3" s="1"/>
  <c r="O136" i="3" s="1"/>
  <c r="O137" i="3" s="1"/>
  <c r="O138" i="3" s="1"/>
  <c r="O139" i="3" s="1"/>
  <c r="O140" i="3" s="1"/>
  <c r="O141" i="3" s="1"/>
  <c r="O142" i="3" s="1"/>
  <c r="O143" i="3" s="1"/>
  <c r="O144" i="3" s="1"/>
  <c r="O145" i="3" s="1"/>
  <c r="O146" i="3" s="1"/>
  <c r="O147" i="3" s="1"/>
  <c r="O148" i="3" s="1"/>
  <c r="O149" i="3" s="1"/>
  <c r="O150" i="3" s="1"/>
  <c r="O151" i="3" s="1"/>
  <c r="O152" i="3" s="1"/>
  <c r="O153" i="3" s="1"/>
  <c r="O154" i="3" s="1"/>
  <c r="O155" i="3" s="1"/>
  <c r="O156" i="3" s="1"/>
  <c r="O157" i="3" s="1"/>
  <c r="O158" i="3" s="1"/>
  <c r="O159" i="3" s="1"/>
  <c r="O160" i="3" s="1"/>
  <c r="O161" i="3" s="1"/>
  <c r="O162" i="3" s="1"/>
  <c r="O163" i="3" s="1"/>
  <c r="O164" i="3" s="1"/>
  <c r="O165" i="3" s="1"/>
  <c r="O166" i="3" s="1"/>
  <c r="O167" i="3" s="1"/>
  <c r="O168" i="3" s="1"/>
  <c r="O169" i="3" s="1"/>
  <c r="O170" i="3" s="1"/>
  <c r="O171" i="3" s="1"/>
  <c r="O172" i="3" s="1"/>
  <c r="O173" i="3" s="1"/>
  <c r="O174" i="3" s="1"/>
  <c r="O175" i="3" s="1"/>
  <c r="O176" i="3" s="1"/>
  <c r="O177" i="3" s="1"/>
  <c r="O178" i="3" s="1"/>
  <c r="O179" i="3" s="1"/>
  <c r="O180" i="3" s="1"/>
  <c r="O181" i="3" s="1"/>
  <c r="O182" i="3" s="1"/>
  <c r="O183" i="3" s="1"/>
  <c r="O184" i="3" s="1"/>
  <c r="O185" i="3" s="1"/>
  <c r="O186" i="3" s="1"/>
  <c r="O187" i="3" s="1"/>
  <c r="O188" i="3" s="1"/>
  <c r="O189" i="3" s="1"/>
  <c r="O190" i="3" s="1"/>
  <c r="O191" i="3" s="1"/>
  <c r="O192" i="3" s="1"/>
  <c r="O193" i="3" s="1"/>
  <c r="O194" i="3" s="1"/>
  <c r="O195" i="3" s="1"/>
  <c r="O196" i="3" s="1"/>
  <c r="O197" i="3" s="1"/>
  <c r="O198" i="3" s="1"/>
  <c r="O199" i="3" s="1"/>
  <c r="O200" i="3" s="1"/>
  <c r="O201" i="3" s="1"/>
  <c r="O202" i="3" s="1"/>
  <c r="O203" i="3" s="1"/>
  <c r="O204" i="3" s="1"/>
  <c r="O205" i="3" s="1"/>
  <c r="O206" i="3" s="1"/>
  <c r="O207" i="3" s="1"/>
  <c r="O208" i="3" s="1"/>
  <c r="O209" i="3" s="1"/>
  <c r="O210" i="3" s="1"/>
  <c r="O211" i="3" s="1"/>
  <c r="O212" i="3" s="1"/>
  <c r="O213" i="3" s="1"/>
  <c r="O214" i="3" s="1"/>
  <c r="O215" i="3" s="1"/>
  <c r="O216" i="3" s="1"/>
  <c r="O217" i="3" s="1"/>
  <c r="O218" i="3" s="1"/>
  <c r="O219" i="3" s="1"/>
  <c r="O220" i="3" s="1"/>
  <c r="O221" i="3" s="1"/>
  <c r="O222" i="3" s="1"/>
  <c r="O223" i="3" s="1"/>
  <c r="O224" i="3" s="1"/>
  <c r="O225" i="3" s="1"/>
  <c r="O226" i="3" s="1"/>
  <c r="O227" i="3" s="1"/>
  <c r="O228" i="3" s="1"/>
  <c r="O229" i="3" s="1"/>
  <c r="O230" i="3" s="1"/>
  <c r="O231" i="3" s="1"/>
  <c r="O232" i="3" s="1"/>
  <c r="O233" i="3" s="1"/>
  <c r="O234" i="3" s="1"/>
  <c r="O235" i="3" s="1"/>
  <c r="O236" i="3" s="1"/>
  <c r="O237" i="3" s="1"/>
  <c r="O238" i="3" s="1"/>
  <c r="O239" i="3" s="1"/>
  <c r="O240" i="3" s="1"/>
  <c r="O241" i="3" s="1"/>
  <c r="O242" i="3" s="1"/>
  <c r="O243" i="3" s="1"/>
  <c r="O244" i="3" s="1"/>
  <c r="O245" i="3" s="1"/>
  <c r="O246" i="3" s="1"/>
  <c r="O247" i="3" s="1"/>
  <c r="O248" i="3" s="1"/>
  <c r="O249" i="3" s="1"/>
  <c r="O250" i="3" s="1"/>
  <c r="O251" i="3" s="1"/>
  <c r="O252" i="3" s="1"/>
  <c r="O253" i="3" s="1"/>
  <c r="O254" i="3" s="1"/>
  <c r="O255" i="3" s="1"/>
  <c r="O256" i="3" s="1"/>
  <c r="O257" i="3" s="1"/>
  <c r="O258" i="3" s="1"/>
  <c r="O259" i="3" s="1"/>
  <c r="O260" i="3" s="1"/>
  <c r="O261" i="3" s="1"/>
  <c r="O262" i="3" s="1"/>
  <c r="O263" i="3" s="1"/>
  <c r="O264" i="3" s="1"/>
  <c r="O265" i="3" s="1"/>
  <c r="O266" i="3" s="1"/>
  <c r="O267" i="3" s="1"/>
  <c r="O268" i="3" s="1"/>
  <c r="O269" i="3" s="1"/>
  <c r="O270" i="3" s="1"/>
  <c r="O271" i="3" s="1"/>
  <c r="O272" i="3" s="1"/>
  <c r="O273" i="3" s="1"/>
  <c r="O274" i="3" s="1"/>
  <c r="O275" i="3" s="1"/>
  <c r="O276" i="3" s="1"/>
  <c r="O277" i="3" s="1"/>
  <c r="O278" i="3" s="1"/>
  <c r="O279" i="3" s="1"/>
  <c r="O280" i="3" s="1"/>
  <c r="O281" i="3" s="1"/>
  <c r="O282" i="3" s="1"/>
  <c r="O283" i="3" s="1"/>
  <c r="O284" i="3" s="1"/>
  <c r="O285" i="3" s="1"/>
  <c r="O286" i="3" s="1"/>
  <c r="O287" i="3" s="1"/>
  <c r="O288" i="3" s="1"/>
  <c r="O289" i="3" s="1"/>
  <c r="O290" i="3" s="1"/>
  <c r="O291" i="3" s="1"/>
  <c r="O292" i="3" s="1"/>
  <c r="O293" i="3" s="1"/>
  <c r="O294" i="3" s="1"/>
  <c r="O295" i="3" s="1"/>
  <c r="O296" i="3" s="1"/>
  <c r="O297" i="3" s="1"/>
  <c r="O298" i="3" s="1"/>
  <c r="O299" i="3" s="1"/>
  <c r="O300" i="3" s="1"/>
  <c r="O301" i="3" s="1"/>
  <c r="O302" i="3" s="1"/>
  <c r="O303" i="3" s="1"/>
  <c r="O304" i="3" s="1"/>
  <c r="O305" i="3" s="1"/>
  <c r="O306" i="3" s="1"/>
  <c r="O307" i="3" s="1"/>
  <c r="O308" i="3" s="1"/>
  <c r="O309" i="3" s="1"/>
  <c r="O310" i="3" s="1"/>
  <c r="O311" i="3" s="1"/>
  <c r="O312" i="3" s="1"/>
  <c r="O313" i="3" s="1"/>
  <c r="O314" i="3" s="1"/>
  <c r="O315" i="3" s="1"/>
  <c r="O316" i="3" s="1"/>
  <c r="O317" i="3" s="1"/>
  <c r="O318" i="3" s="1"/>
  <c r="O319" i="3" s="1"/>
  <c r="O320" i="3" s="1"/>
  <c r="O321" i="3" s="1"/>
  <c r="O322" i="3" s="1"/>
  <c r="O323" i="3" s="1"/>
  <c r="O324" i="3" s="1"/>
  <c r="O325" i="3" s="1"/>
  <c r="O326" i="3" s="1"/>
  <c r="O327" i="3" s="1"/>
  <c r="O328" i="3" s="1"/>
  <c r="O329" i="3" s="1"/>
  <c r="O330" i="3" s="1"/>
  <c r="O331" i="3" s="1"/>
  <c r="O332" i="3" s="1"/>
  <c r="O333" i="3" s="1"/>
  <c r="O334" i="3" s="1"/>
  <c r="O335" i="3" s="1"/>
  <c r="O336" i="3" s="1"/>
  <c r="O337" i="3" s="1"/>
  <c r="O338" i="3" s="1"/>
  <c r="O339" i="3" s="1"/>
  <c r="O340" i="3" s="1"/>
  <c r="O341" i="3" s="1"/>
  <c r="O342" i="3" s="1"/>
  <c r="O343" i="3" s="1"/>
  <c r="O344" i="3" s="1"/>
  <c r="O345" i="3" s="1"/>
  <c r="O346" i="3" s="1"/>
  <c r="O347" i="3" s="1"/>
  <c r="O348" i="3" s="1"/>
  <c r="O349" i="3" s="1"/>
  <c r="O350" i="3" s="1"/>
  <c r="O351" i="3" s="1"/>
  <c r="O352" i="3" s="1"/>
  <c r="O353" i="3" s="1"/>
  <c r="O354" i="3" s="1"/>
  <c r="O355" i="3" s="1"/>
  <c r="O356" i="3" s="1"/>
  <c r="O357" i="3" s="1"/>
  <c r="O358" i="3" s="1"/>
  <c r="O359" i="3" s="1"/>
  <c r="O360" i="3" s="1"/>
  <c r="O361" i="3" s="1"/>
  <c r="O362" i="3" s="1"/>
  <c r="O363" i="3" s="1"/>
  <c r="O364" i="3" s="1"/>
  <c r="O365" i="3" s="1"/>
  <c r="O366" i="3" s="1"/>
  <c r="O367" i="3" s="1"/>
  <c r="O368" i="3" s="1"/>
  <c r="O369" i="3" s="1"/>
  <c r="O370" i="3" s="1"/>
  <c r="O371" i="3" s="1"/>
  <c r="O372" i="3" s="1"/>
  <c r="O373" i="3" s="1"/>
  <c r="O374" i="3" s="1"/>
  <c r="O375" i="3" s="1"/>
  <c r="O376" i="3" s="1"/>
  <c r="O377" i="3" s="1"/>
  <c r="O378" i="3" s="1"/>
  <c r="O379" i="3" s="1"/>
  <c r="O380" i="3" s="1"/>
  <c r="O381" i="3" s="1"/>
  <c r="O382" i="3" s="1"/>
  <c r="O383" i="3" s="1"/>
  <c r="O384" i="3" s="1"/>
  <c r="O385" i="3" s="1"/>
  <c r="O386" i="3" s="1"/>
  <c r="O387" i="3" s="1"/>
  <c r="Q4" i="3"/>
  <c r="P4" i="3"/>
  <c r="O4" i="3"/>
  <c r="U4" i="4"/>
  <c r="U5" i="4" s="1"/>
  <c r="U6" i="4" s="1"/>
  <c r="U7" i="4" s="1"/>
  <c r="U8" i="4" s="1"/>
  <c r="U9" i="4" s="1"/>
  <c r="U10" i="4" s="1"/>
  <c r="U11" i="4" s="1"/>
  <c r="U12" i="4" s="1"/>
  <c r="U13" i="4" s="1"/>
  <c r="U14" i="4" s="1"/>
  <c r="U15" i="4" s="1"/>
  <c r="U16" i="4" s="1"/>
  <c r="U17" i="4" s="1"/>
  <c r="U18" i="4" s="1"/>
  <c r="U19" i="4" s="1"/>
  <c r="U20" i="4" s="1"/>
  <c r="U21" i="4" s="1"/>
  <c r="U22" i="4" s="1"/>
  <c r="U23" i="4" s="1"/>
  <c r="U24" i="4" s="1"/>
  <c r="U25" i="4" s="1"/>
  <c r="U26" i="4" s="1"/>
  <c r="U27" i="4" s="1"/>
  <c r="U28" i="4" s="1"/>
  <c r="U29" i="4" s="1"/>
  <c r="U30" i="4" s="1"/>
  <c r="U31" i="4" s="1"/>
  <c r="U32" i="4" s="1"/>
  <c r="U33" i="4" s="1"/>
  <c r="U34" i="4" s="1"/>
  <c r="U35" i="4" s="1"/>
  <c r="U36" i="4" s="1"/>
  <c r="U37" i="4" s="1"/>
  <c r="U38" i="4" s="1"/>
  <c r="U39" i="4" s="1"/>
  <c r="U40" i="4" s="1"/>
  <c r="U41" i="4" s="1"/>
  <c r="U42" i="4" s="1"/>
  <c r="U43" i="4" s="1"/>
  <c r="U44" i="4" s="1"/>
  <c r="U45" i="4" s="1"/>
  <c r="U46" i="4" s="1"/>
  <c r="U47" i="4" s="1"/>
  <c r="U48" i="4" s="1"/>
  <c r="U49" i="4" s="1"/>
  <c r="U50" i="4" s="1"/>
  <c r="U51" i="4" s="1"/>
  <c r="U52" i="4" s="1"/>
  <c r="U53" i="4" s="1"/>
  <c r="U54" i="4" s="1"/>
  <c r="U55" i="4" s="1"/>
  <c r="U56" i="4" s="1"/>
  <c r="U57" i="4" s="1"/>
  <c r="U58" i="4" s="1"/>
  <c r="U59" i="4" s="1"/>
  <c r="U60" i="4" s="1"/>
  <c r="U61" i="4" s="1"/>
  <c r="U62" i="4" s="1"/>
  <c r="U63" i="4" s="1"/>
  <c r="U64" i="4" s="1"/>
  <c r="U65" i="4" s="1"/>
  <c r="U66" i="4" s="1"/>
  <c r="U67" i="4" s="1"/>
  <c r="U68" i="4" s="1"/>
  <c r="U69" i="4" s="1"/>
  <c r="U70" i="4" s="1"/>
  <c r="U71" i="4" s="1"/>
  <c r="U72" i="4" s="1"/>
  <c r="U73" i="4" s="1"/>
  <c r="U74" i="4" s="1"/>
  <c r="U75" i="4" s="1"/>
  <c r="U76" i="4" s="1"/>
  <c r="U77" i="4" s="1"/>
  <c r="U78" i="4" s="1"/>
  <c r="U79" i="4" s="1"/>
  <c r="U80" i="4" s="1"/>
  <c r="U81" i="4" s="1"/>
  <c r="U82" i="4" s="1"/>
  <c r="U83" i="4" s="1"/>
  <c r="U84" i="4" s="1"/>
  <c r="U85" i="4" s="1"/>
  <c r="U86" i="4" s="1"/>
  <c r="U87" i="4" s="1"/>
  <c r="U88" i="4" s="1"/>
  <c r="U89" i="4" s="1"/>
  <c r="U90" i="4" s="1"/>
  <c r="U91" i="4" s="1"/>
  <c r="U92" i="4" s="1"/>
  <c r="U93" i="4" s="1"/>
  <c r="U94" i="4" s="1"/>
  <c r="U95" i="4" s="1"/>
  <c r="U96" i="4" s="1"/>
  <c r="U97" i="4" s="1"/>
  <c r="U98" i="4" s="1"/>
  <c r="U99" i="4" s="1"/>
  <c r="U100" i="4" s="1"/>
  <c r="U101" i="4" s="1"/>
  <c r="U102" i="4" s="1"/>
  <c r="U103" i="4" s="1"/>
  <c r="U104" i="4" s="1"/>
  <c r="U105" i="4" s="1"/>
  <c r="U106" i="4" s="1"/>
  <c r="U107" i="4" s="1"/>
  <c r="U108" i="4" s="1"/>
  <c r="U109" i="4" s="1"/>
  <c r="U110" i="4" s="1"/>
  <c r="U111" i="4" s="1"/>
  <c r="U112" i="4" s="1"/>
  <c r="U113" i="4" s="1"/>
  <c r="U114" i="4" s="1"/>
  <c r="U115" i="4" s="1"/>
  <c r="U116" i="4" s="1"/>
  <c r="U117" i="4" s="1"/>
  <c r="U118" i="4" s="1"/>
  <c r="U119" i="4" s="1"/>
  <c r="U120" i="4" s="1"/>
  <c r="U121" i="4" s="1"/>
  <c r="U122" i="4" s="1"/>
  <c r="U123" i="4" s="1"/>
  <c r="U124" i="4" s="1"/>
  <c r="U125" i="4" s="1"/>
  <c r="U126" i="4" s="1"/>
  <c r="U127" i="4" s="1"/>
  <c r="U128" i="4" s="1"/>
  <c r="U129" i="4" s="1"/>
  <c r="U130" i="4" s="1"/>
  <c r="U131" i="4" s="1"/>
  <c r="U132" i="4" s="1"/>
  <c r="U133" i="4" s="1"/>
  <c r="U134" i="4" s="1"/>
  <c r="U135" i="4" s="1"/>
  <c r="U136" i="4" s="1"/>
  <c r="U137" i="4" s="1"/>
  <c r="U138" i="4" s="1"/>
  <c r="U139" i="4" s="1"/>
  <c r="U140" i="4" s="1"/>
  <c r="U141" i="4" s="1"/>
  <c r="U142" i="4" s="1"/>
  <c r="U143" i="4" s="1"/>
  <c r="U144" i="4" s="1"/>
  <c r="U145" i="4" s="1"/>
  <c r="U146" i="4" s="1"/>
  <c r="U147" i="4" s="1"/>
  <c r="U148" i="4" s="1"/>
  <c r="U149" i="4" s="1"/>
  <c r="U150" i="4" s="1"/>
  <c r="U151" i="4" s="1"/>
  <c r="U152" i="4" s="1"/>
  <c r="U153" i="4" s="1"/>
  <c r="U154" i="4" s="1"/>
  <c r="U155" i="4" s="1"/>
  <c r="U156" i="4" s="1"/>
  <c r="U157" i="4" s="1"/>
  <c r="U158" i="4" s="1"/>
  <c r="U159" i="4" s="1"/>
  <c r="U160" i="4" s="1"/>
  <c r="U161" i="4" s="1"/>
  <c r="U162" i="4" s="1"/>
  <c r="U163" i="4" s="1"/>
  <c r="U164" i="4" s="1"/>
  <c r="U165" i="4" s="1"/>
  <c r="U166" i="4" s="1"/>
  <c r="U167" i="4" s="1"/>
  <c r="U168" i="4" s="1"/>
  <c r="U169" i="4" s="1"/>
  <c r="U170" i="4" s="1"/>
  <c r="U171" i="4" s="1"/>
  <c r="U172" i="4" s="1"/>
  <c r="U173" i="4" s="1"/>
  <c r="U174" i="4" s="1"/>
  <c r="U175" i="4" s="1"/>
  <c r="U176" i="4" s="1"/>
  <c r="U177" i="4" s="1"/>
  <c r="U178" i="4" s="1"/>
  <c r="U179" i="4" s="1"/>
  <c r="U180" i="4" s="1"/>
  <c r="U181" i="4" s="1"/>
  <c r="U182" i="4" s="1"/>
  <c r="U183" i="4" s="1"/>
  <c r="U184" i="4" s="1"/>
  <c r="U185" i="4" s="1"/>
  <c r="U186" i="4" s="1"/>
  <c r="U187" i="4" s="1"/>
  <c r="U188" i="4" s="1"/>
  <c r="U189" i="4" s="1"/>
  <c r="U190" i="4" s="1"/>
  <c r="U191" i="4" s="1"/>
  <c r="U192" i="4" s="1"/>
  <c r="U193" i="4" s="1"/>
  <c r="U194" i="4" s="1"/>
  <c r="U195" i="4" s="1"/>
  <c r="U196" i="4" s="1"/>
  <c r="U197" i="4" s="1"/>
  <c r="U198" i="4" s="1"/>
  <c r="U199" i="4" s="1"/>
  <c r="U200" i="4" s="1"/>
  <c r="U201" i="4" s="1"/>
  <c r="U202" i="4" s="1"/>
  <c r="U203" i="4" s="1"/>
  <c r="U204" i="4" s="1"/>
  <c r="U205" i="4" s="1"/>
  <c r="U206" i="4" s="1"/>
  <c r="U207" i="4" s="1"/>
  <c r="U208" i="4" s="1"/>
  <c r="U209" i="4" s="1"/>
  <c r="U210" i="4" s="1"/>
  <c r="U211" i="4" s="1"/>
  <c r="U212" i="4" s="1"/>
  <c r="U213" i="4" s="1"/>
  <c r="U214" i="4" s="1"/>
  <c r="U215" i="4" s="1"/>
  <c r="U216" i="4" s="1"/>
  <c r="U217" i="4" s="1"/>
  <c r="U218" i="4" s="1"/>
  <c r="U219" i="4" s="1"/>
  <c r="U220" i="4" s="1"/>
  <c r="U221" i="4" s="1"/>
  <c r="U222" i="4" s="1"/>
  <c r="U223" i="4" s="1"/>
  <c r="U224" i="4" s="1"/>
  <c r="U225" i="4" s="1"/>
  <c r="U226" i="4" s="1"/>
  <c r="U227" i="4" s="1"/>
  <c r="U228" i="4" s="1"/>
  <c r="U229" i="4" s="1"/>
  <c r="U230" i="4" s="1"/>
  <c r="U231" i="4" s="1"/>
  <c r="U232" i="4" s="1"/>
  <c r="U233" i="4" s="1"/>
  <c r="U234" i="4" s="1"/>
  <c r="U235" i="4" s="1"/>
  <c r="U236" i="4" s="1"/>
  <c r="U237" i="4" s="1"/>
  <c r="U238" i="4" s="1"/>
  <c r="U239" i="4" s="1"/>
  <c r="U240" i="4" s="1"/>
  <c r="U241" i="4" s="1"/>
  <c r="U242" i="4" s="1"/>
  <c r="U243" i="4" s="1"/>
  <c r="U244" i="4" s="1"/>
  <c r="U245" i="4" s="1"/>
  <c r="U246" i="4" s="1"/>
  <c r="U247" i="4" s="1"/>
  <c r="U248" i="4" s="1"/>
  <c r="U249" i="4" s="1"/>
  <c r="U250" i="4" s="1"/>
  <c r="U251" i="4" s="1"/>
  <c r="U252" i="4" s="1"/>
  <c r="U253" i="4" s="1"/>
  <c r="U254" i="4" s="1"/>
  <c r="U255" i="4" s="1"/>
  <c r="U256" i="4" s="1"/>
  <c r="U257" i="4" s="1"/>
  <c r="U258" i="4" s="1"/>
  <c r="U259" i="4" s="1"/>
  <c r="U260" i="4" s="1"/>
  <c r="U261" i="4" s="1"/>
  <c r="U262" i="4" s="1"/>
  <c r="U263" i="4" s="1"/>
  <c r="U264" i="4" s="1"/>
  <c r="U265" i="4" s="1"/>
  <c r="U266" i="4" s="1"/>
  <c r="U267" i="4" s="1"/>
  <c r="U268" i="4" s="1"/>
  <c r="U269" i="4" s="1"/>
  <c r="U270" i="4" s="1"/>
  <c r="U271" i="4" s="1"/>
  <c r="U272" i="4" s="1"/>
  <c r="U273" i="4" s="1"/>
  <c r="U274" i="4" s="1"/>
  <c r="U275" i="4" s="1"/>
  <c r="U276" i="4" s="1"/>
  <c r="U277" i="4" s="1"/>
  <c r="U278" i="4" s="1"/>
  <c r="U279" i="4" s="1"/>
  <c r="U280" i="4" s="1"/>
  <c r="U281" i="4" s="1"/>
  <c r="U282" i="4" s="1"/>
  <c r="U283" i="4" s="1"/>
  <c r="U284" i="4" s="1"/>
  <c r="U285" i="4" s="1"/>
  <c r="U286" i="4" s="1"/>
  <c r="U287" i="4" s="1"/>
  <c r="U288" i="4" s="1"/>
  <c r="U289" i="4" s="1"/>
  <c r="U290" i="4" s="1"/>
  <c r="U291" i="4" s="1"/>
  <c r="U292" i="4" s="1"/>
  <c r="U293" i="4" s="1"/>
  <c r="U294" i="4" s="1"/>
  <c r="U295" i="4" s="1"/>
  <c r="U296" i="4" s="1"/>
  <c r="U297" i="4" s="1"/>
  <c r="U298" i="4" s="1"/>
  <c r="U299" i="4" s="1"/>
  <c r="U300" i="4" s="1"/>
  <c r="U301" i="4" s="1"/>
  <c r="U302" i="4" s="1"/>
  <c r="U303" i="4" s="1"/>
  <c r="U304" i="4" s="1"/>
  <c r="U305" i="4" s="1"/>
  <c r="U306" i="4" s="1"/>
  <c r="U307" i="4" s="1"/>
  <c r="U308" i="4" s="1"/>
  <c r="U309" i="4" s="1"/>
  <c r="U310" i="4" s="1"/>
  <c r="U311" i="4" s="1"/>
  <c r="U312" i="4" s="1"/>
  <c r="U313" i="4" s="1"/>
  <c r="U314" i="4" s="1"/>
  <c r="U315" i="4" s="1"/>
  <c r="U316" i="4" s="1"/>
  <c r="U317" i="4" s="1"/>
  <c r="U318" i="4" s="1"/>
  <c r="U319" i="4" s="1"/>
  <c r="U320" i="4" s="1"/>
  <c r="U321" i="4" s="1"/>
  <c r="U322" i="4" s="1"/>
  <c r="U323" i="4" s="1"/>
  <c r="U324" i="4" s="1"/>
  <c r="U325" i="4" s="1"/>
  <c r="U326" i="4" s="1"/>
  <c r="U327" i="4" s="1"/>
  <c r="U328" i="4" s="1"/>
  <c r="U329" i="4" s="1"/>
  <c r="U330" i="4" s="1"/>
  <c r="U331" i="4" s="1"/>
  <c r="U332" i="4" s="1"/>
  <c r="U333" i="4" s="1"/>
  <c r="U334" i="4" s="1"/>
  <c r="U335" i="4" s="1"/>
  <c r="U336" i="4" s="1"/>
  <c r="U337" i="4" s="1"/>
  <c r="U338" i="4" s="1"/>
  <c r="U339" i="4" s="1"/>
  <c r="U340" i="4" s="1"/>
  <c r="U341" i="4" s="1"/>
  <c r="U342" i="4" s="1"/>
  <c r="U343" i="4" s="1"/>
  <c r="U344" i="4" s="1"/>
  <c r="U345" i="4" s="1"/>
  <c r="U346" i="4" s="1"/>
  <c r="U347" i="4" s="1"/>
  <c r="U348" i="4" s="1"/>
  <c r="U349" i="4" s="1"/>
  <c r="U350" i="4" s="1"/>
  <c r="U351" i="4" s="1"/>
  <c r="U352" i="4" s="1"/>
  <c r="U353" i="4" s="1"/>
  <c r="U354" i="4" s="1"/>
  <c r="U355" i="4" s="1"/>
  <c r="U356" i="4" s="1"/>
  <c r="U357" i="4" s="1"/>
  <c r="U358" i="4" s="1"/>
  <c r="U359" i="4" s="1"/>
  <c r="U360" i="4" s="1"/>
  <c r="U361" i="4" s="1"/>
  <c r="U362" i="4" s="1"/>
  <c r="U363" i="4" s="1"/>
  <c r="U364" i="4" s="1"/>
  <c r="U365" i="4" s="1"/>
  <c r="U366" i="4" s="1"/>
  <c r="U367" i="4" s="1"/>
  <c r="U368" i="4" s="1"/>
  <c r="U369" i="4" s="1"/>
  <c r="U370" i="4" s="1"/>
  <c r="U371" i="4" s="1"/>
  <c r="U372" i="4" s="1"/>
  <c r="U373" i="4" s="1"/>
  <c r="U374" i="4" s="1"/>
  <c r="U375" i="4" s="1"/>
  <c r="U376" i="4" s="1"/>
  <c r="U377" i="4" s="1"/>
  <c r="U378" i="4" s="1"/>
  <c r="U379" i="4" s="1"/>
  <c r="U380" i="4" s="1"/>
  <c r="U381" i="4" s="1"/>
  <c r="U382" i="4" s="1"/>
  <c r="U383" i="4" s="1"/>
  <c r="U384" i="4" s="1"/>
  <c r="U385" i="4" s="1"/>
  <c r="U386" i="4" s="1"/>
  <c r="U387" i="4" s="1"/>
  <c r="S4" i="4"/>
  <c r="S5" i="4" s="1"/>
  <c r="S6" i="4" s="1"/>
  <c r="S7" i="4" s="1"/>
  <c r="S8" i="4" s="1"/>
  <c r="S9" i="4" s="1"/>
  <c r="S10" i="4" s="1"/>
  <c r="S11" i="4" s="1"/>
  <c r="S12" i="4" s="1"/>
  <c r="S13" i="4" s="1"/>
  <c r="S14" i="4" s="1"/>
  <c r="S15" i="4" s="1"/>
  <c r="S16" i="4" s="1"/>
  <c r="S17" i="4" s="1"/>
  <c r="S18" i="4" s="1"/>
  <c r="S19" i="4" s="1"/>
  <c r="S20" i="4" s="1"/>
  <c r="S21" i="4" s="1"/>
  <c r="S22" i="4" s="1"/>
  <c r="S23" i="4" s="1"/>
  <c r="S24" i="4" s="1"/>
  <c r="S25" i="4" s="1"/>
  <c r="S26" i="4" s="1"/>
  <c r="S27" i="4" s="1"/>
  <c r="S28" i="4" s="1"/>
  <c r="S29" i="4" s="1"/>
  <c r="S30" i="4" s="1"/>
  <c r="S31" i="4" s="1"/>
  <c r="S32" i="4" s="1"/>
  <c r="S33" i="4" s="1"/>
  <c r="S34" i="4" s="1"/>
  <c r="S35" i="4" s="1"/>
  <c r="S36" i="4" s="1"/>
  <c r="S37" i="4" s="1"/>
  <c r="S38" i="4" s="1"/>
  <c r="S39" i="4" s="1"/>
  <c r="S40" i="4" s="1"/>
  <c r="S41" i="4" s="1"/>
  <c r="S42" i="4" s="1"/>
  <c r="S43" i="4" s="1"/>
  <c r="S44" i="4" s="1"/>
  <c r="S45" i="4" s="1"/>
  <c r="S46" i="4" s="1"/>
  <c r="S47" i="4" s="1"/>
  <c r="S48" i="4" s="1"/>
  <c r="S49" i="4" s="1"/>
  <c r="S50" i="4" s="1"/>
  <c r="S51" i="4" s="1"/>
  <c r="S52" i="4" s="1"/>
  <c r="S53" i="4" s="1"/>
  <c r="S54" i="4" s="1"/>
  <c r="S55" i="4" s="1"/>
  <c r="S56" i="4" s="1"/>
  <c r="S57" i="4" s="1"/>
  <c r="S58" i="4" s="1"/>
  <c r="S59" i="4" s="1"/>
  <c r="S60" i="4" s="1"/>
  <c r="S61" i="4" s="1"/>
  <c r="S62" i="4" s="1"/>
  <c r="S63" i="4" s="1"/>
  <c r="S64" i="4" s="1"/>
  <c r="S65" i="4" s="1"/>
  <c r="S66" i="4" s="1"/>
  <c r="S67" i="4" s="1"/>
  <c r="S68" i="4" s="1"/>
  <c r="S69" i="4" s="1"/>
  <c r="S70" i="4" s="1"/>
  <c r="S71" i="4" s="1"/>
  <c r="S72" i="4" s="1"/>
  <c r="S73" i="4" s="1"/>
  <c r="S74" i="4" s="1"/>
  <c r="S75" i="4" s="1"/>
  <c r="S76" i="4" s="1"/>
  <c r="S77" i="4" s="1"/>
  <c r="S78" i="4" s="1"/>
  <c r="S79" i="4" s="1"/>
  <c r="S80" i="4" s="1"/>
  <c r="S81" i="4" s="1"/>
  <c r="S82" i="4" s="1"/>
  <c r="S83" i="4" s="1"/>
  <c r="S84" i="4" s="1"/>
  <c r="S85" i="4" s="1"/>
  <c r="S86" i="4" s="1"/>
  <c r="S87" i="4" s="1"/>
  <c r="S88" i="4" s="1"/>
  <c r="S89" i="4" s="1"/>
  <c r="S90" i="4" s="1"/>
  <c r="S91" i="4" s="1"/>
  <c r="S92" i="4" s="1"/>
  <c r="S93" i="4" s="1"/>
  <c r="S94" i="4" s="1"/>
  <c r="S95" i="4" s="1"/>
  <c r="S96" i="4" s="1"/>
  <c r="S97" i="4" s="1"/>
  <c r="S98" i="4" s="1"/>
  <c r="S99" i="4" s="1"/>
  <c r="S100" i="4" s="1"/>
  <c r="S101" i="4" s="1"/>
  <c r="S102" i="4" s="1"/>
  <c r="S103" i="4" s="1"/>
  <c r="S104" i="4" s="1"/>
  <c r="S105" i="4" s="1"/>
  <c r="S106" i="4" s="1"/>
  <c r="S107" i="4" s="1"/>
  <c r="S108" i="4" s="1"/>
  <c r="S109" i="4" s="1"/>
  <c r="S110" i="4" s="1"/>
  <c r="S111" i="4" s="1"/>
  <c r="S112" i="4" s="1"/>
  <c r="S113" i="4" s="1"/>
  <c r="S114" i="4" s="1"/>
  <c r="S115" i="4" s="1"/>
  <c r="S116" i="4" s="1"/>
  <c r="S117" i="4" s="1"/>
  <c r="S118" i="4" s="1"/>
  <c r="S119" i="4" s="1"/>
  <c r="S120" i="4" s="1"/>
  <c r="S121" i="4" s="1"/>
  <c r="S122" i="4" s="1"/>
  <c r="S123" i="4" s="1"/>
  <c r="S124" i="4" s="1"/>
  <c r="S125" i="4" s="1"/>
  <c r="S126" i="4" s="1"/>
  <c r="S127" i="4" s="1"/>
  <c r="S128" i="4" s="1"/>
  <c r="S129" i="4" s="1"/>
  <c r="S130" i="4" s="1"/>
  <c r="S131" i="4" s="1"/>
  <c r="S132" i="4" s="1"/>
  <c r="S133" i="4" s="1"/>
  <c r="S134" i="4" s="1"/>
  <c r="S135" i="4" s="1"/>
  <c r="S136" i="4" s="1"/>
  <c r="S137" i="4" s="1"/>
  <c r="S138" i="4" s="1"/>
  <c r="S139" i="4" s="1"/>
  <c r="S140" i="4" s="1"/>
  <c r="S141" i="4" s="1"/>
  <c r="S142" i="4" s="1"/>
  <c r="S143" i="4" s="1"/>
  <c r="S144" i="4" s="1"/>
  <c r="S145" i="4" s="1"/>
  <c r="S146" i="4" s="1"/>
  <c r="S147" i="4" s="1"/>
  <c r="S148" i="4" s="1"/>
  <c r="S149" i="4" s="1"/>
  <c r="S150" i="4" s="1"/>
  <c r="S151" i="4" s="1"/>
  <c r="S152" i="4" s="1"/>
  <c r="S153" i="4" s="1"/>
  <c r="S154" i="4" s="1"/>
  <c r="S155" i="4" s="1"/>
  <c r="S156" i="4" s="1"/>
  <c r="S157" i="4" s="1"/>
  <c r="S158" i="4" s="1"/>
  <c r="S159" i="4" s="1"/>
  <c r="S160" i="4" s="1"/>
  <c r="S161" i="4" s="1"/>
  <c r="S162" i="4" s="1"/>
  <c r="S163" i="4" s="1"/>
  <c r="S164" i="4" s="1"/>
  <c r="S165" i="4" s="1"/>
  <c r="S166" i="4" s="1"/>
  <c r="S167" i="4" s="1"/>
  <c r="S168" i="4" s="1"/>
  <c r="S169" i="4" s="1"/>
  <c r="S170" i="4" s="1"/>
  <c r="S171" i="4" s="1"/>
  <c r="S172" i="4" s="1"/>
  <c r="S173" i="4" s="1"/>
  <c r="S174" i="4" s="1"/>
  <c r="S175" i="4" s="1"/>
  <c r="S176" i="4" s="1"/>
  <c r="S177" i="4" s="1"/>
  <c r="S178" i="4" s="1"/>
  <c r="S179" i="4" s="1"/>
  <c r="S180" i="4" s="1"/>
  <c r="S181" i="4" s="1"/>
  <c r="S182" i="4" s="1"/>
  <c r="S183" i="4" s="1"/>
  <c r="S184" i="4" s="1"/>
  <c r="S185" i="4" s="1"/>
  <c r="S186" i="4" s="1"/>
  <c r="S187" i="4" s="1"/>
  <c r="S188" i="4" s="1"/>
  <c r="S189" i="4" s="1"/>
  <c r="S190" i="4" s="1"/>
  <c r="S191" i="4" s="1"/>
  <c r="S192" i="4" s="1"/>
  <c r="S193" i="4" s="1"/>
  <c r="S194" i="4" s="1"/>
  <c r="S195" i="4" s="1"/>
  <c r="S196" i="4" s="1"/>
  <c r="S197" i="4" s="1"/>
  <c r="S198" i="4" s="1"/>
  <c r="S199" i="4" s="1"/>
  <c r="S200" i="4" s="1"/>
  <c r="S201" i="4" s="1"/>
  <c r="S202" i="4" s="1"/>
  <c r="S203" i="4" s="1"/>
  <c r="S204" i="4" s="1"/>
  <c r="S205" i="4" s="1"/>
  <c r="S206" i="4" s="1"/>
  <c r="S207" i="4" s="1"/>
  <c r="S208" i="4" s="1"/>
  <c r="S209" i="4" s="1"/>
  <c r="S210" i="4" s="1"/>
  <c r="S211" i="4" s="1"/>
  <c r="S212" i="4" s="1"/>
  <c r="S213" i="4" s="1"/>
  <c r="S214" i="4" s="1"/>
  <c r="S215" i="4" s="1"/>
  <c r="S216" i="4" s="1"/>
  <c r="S217" i="4" s="1"/>
  <c r="S218" i="4" s="1"/>
  <c r="S219" i="4" s="1"/>
  <c r="S220" i="4" s="1"/>
  <c r="S221" i="4" s="1"/>
  <c r="S222" i="4" s="1"/>
  <c r="S223" i="4" s="1"/>
  <c r="S224" i="4" s="1"/>
  <c r="S225" i="4" s="1"/>
  <c r="S226" i="4" s="1"/>
  <c r="S227" i="4" s="1"/>
  <c r="S228" i="4" s="1"/>
  <c r="S229" i="4" s="1"/>
  <c r="S230" i="4" s="1"/>
  <c r="S231" i="4" s="1"/>
  <c r="S232" i="4" s="1"/>
  <c r="S233" i="4" s="1"/>
  <c r="S234" i="4" s="1"/>
  <c r="S235" i="4" s="1"/>
  <c r="S236" i="4" s="1"/>
  <c r="S237" i="4" s="1"/>
  <c r="S238" i="4" s="1"/>
  <c r="S239" i="4" s="1"/>
  <c r="S240" i="4" s="1"/>
  <c r="S241" i="4" s="1"/>
  <c r="S242" i="4" s="1"/>
  <c r="S243" i="4" s="1"/>
  <c r="S244" i="4" s="1"/>
  <c r="S245" i="4" s="1"/>
  <c r="S246" i="4" s="1"/>
  <c r="S247" i="4" s="1"/>
  <c r="S248" i="4" s="1"/>
  <c r="S249" i="4" s="1"/>
  <c r="S250" i="4" s="1"/>
  <c r="S251" i="4" s="1"/>
  <c r="S252" i="4" s="1"/>
  <c r="S253" i="4" s="1"/>
  <c r="S254" i="4" s="1"/>
  <c r="S255" i="4" s="1"/>
  <c r="S256" i="4" s="1"/>
  <c r="S257" i="4" s="1"/>
  <c r="S258" i="4" s="1"/>
  <c r="S259" i="4" s="1"/>
  <c r="S260" i="4" s="1"/>
  <c r="S261" i="4" s="1"/>
  <c r="S262" i="4" s="1"/>
  <c r="S263" i="4" s="1"/>
  <c r="S264" i="4" s="1"/>
  <c r="S265" i="4" s="1"/>
  <c r="S266" i="4" s="1"/>
  <c r="S267" i="4" s="1"/>
  <c r="S268" i="4" s="1"/>
  <c r="S269" i="4" s="1"/>
  <c r="S270" i="4" s="1"/>
  <c r="S271" i="4" s="1"/>
  <c r="S272" i="4" s="1"/>
  <c r="S273" i="4" s="1"/>
  <c r="S274" i="4" s="1"/>
  <c r="S275" i="4" s="1"/>
  <c r="S276" i="4" s="1"/>
  <c r="S277" i="4" s="1"/>
  <c r="S278" i="4" s="1"/>
  <c r="S279" i="4" s="1"/>
  <c r="S280" i="4" s="1"/>
  <c r="S281" i="4" s="1"/>
  <c r="S282" i="4" s="1"/>
  <c r="S283" i="4" s="1"/>
  <c r="S284" i="4" s="1"/>
  <c r="S285" i="4" s="1"/>
  <c r="S286" i="4" s="1"/>
  <c r="S287" i="4" s="1"/>
  <c r="S288" i="4" s="1"/>
  <c r="S289" i="4" s="1"/>
  <c r="S290" i="4" s="1"/>
  <c r="S291" i="4" s="1"/>
  <c r="S292" i="4" s="1"/>
  <c r="S293" i="4" s="1"/>
  <c r="S294" i="4" s="1"/>
  <c r="S295" i="4" s="1"/>
  <c r="S296" i="4" s="1"/>
  <c r="S297" i="4" s="1"/>
  <c r="S298" i="4" s="1"/>
  <c r="S299" i="4" s="1"/>
  <c r="S300" i="4" s="1"/>
  <c r="S301" i="4" s="1"/>
  <c r="S302" i="4" s="1"/>
  <c r="S303" i="4" s="1"/>
  <c r="S304" i="4" s="1"/>
  <c r="S305" i="4" s="1"/>
  <c r="S306" i="4" s="1"/>
  <c r="S307" i="4" s="1"/>
  <c r="S308" i="4" s="1"/>
  <c r="S309" i="4" s="1"/>
  <c r="S310" i="4" s="1"/>
  <c r="S311" i="4" s="1"/>
  <c r="S312" i="4" s="1"/>
  <c r="S313" i="4" s="1"/>
  <c r="S314" i="4" s="1"/>
  <c r="S315" i="4" s="1"/>
  <c r="S316" i="4" s="1"/>
  <c r="S317" i="4" s="1"/>
  <c r="S318" i="4" s="1"/>
  <c r="S319" i="4" s="1"/>
  <c r="S320" i="4" s="1"/>
  <c r="S321" i="4" s="1"/>
  <c r="S322" i="4" s="1"/>
  <c r="S323" i="4" s="1"/>
  <c r="S324" i="4" s="1"/>
  <c r="S325" i="4" s="1"/>
  <c r="S326" i="4" s="1"/>
  <c r="S327" i="4" s="1"/>
  <c r="S328" i="4" s="1"/>
  <c r="S329" i="4" s="1"/>
  <c r="S330" i="4" s="1"/>
  <c r="S331" i="4" s="1"/>
  <c r="S332" i="4" s="1"/>
  <c r="S333" i="4" s="1"/>
  <c r="S334" i="4" s="1"/>
  <c r="S335" i="4" s="1"/>
  <c r="S336" i="4" s="1"/>
  <c r="S337" i="4" s="1"/>
  <c r="S338" i="4" s="1"/>
  <c r="S339" i="4" s="1"/>
  <c r="S340" i="4" s="1"/>
  <c r="S341" i="4" s="1"/>
  <c r="S342" i="4" s="1"/>
  <c r="S343" i="4" s="1"/>
  <c r="S344" i="4" s="1"/>
  <c r="S345" i="4" s="1"/>
  <c r="S346" i="4" s="1"/>
  <c r="S347" i="4" s="1"/>
  <c r="S348" i="4" s="1"/>
  <c r="S349" i="4" s="1"/>
  <c r="S350" i="4" s="1"/>
  <c r="S351" i="4" s="1"/>
  <c r="S352" i="4" s="1"/>
  <c r="S353" i="4" s="1"/>
  <c r="S354" i="4" s="1"/>
  <c r="S355" i="4" s="1"/>
  <c r="S356" i="4" s="1"/>
  <c r="S357" i="4" s="1"/>
  <c r="S358" i="4" s="1"/>
  <c r="S359" i="4" s="1"/>
  <c r="S360" i="4" s="1"/>
  <c r="S361" i="4" s="1"/>
  <c r="S362" i="4" s="1"/>
  <c r="S363" i="4" s="1"/>
  <c r="S364" i="4" s="1"/>
  <c r="S365" i="4" s="1"/>
  <c r="S366" i="4" s="1"/>
  <c r="S367" i="4" s="1"/>
  <c r="S368" i="4" s="1"/>
  <c r="S369" i="4" s="1"/>
  <c r="S370" i="4" s="1"/>
  <c r="S371" i="4" s="1"/>
  <c r="S372" i="4" s="1"/>
  <c r="S373" i="4" s="1"/>
  <c r="S374" i="4" s="1"/>
  <c r="S375" i="4" s="1"/>
  <c r="S376" i="4" s="1"/>
  <c r="S377" i="4" s="1"/>
  <c r="S378" i="4" s="1"/>
  <c r="S379" i="4" s="1"/>
  <c r="S380" i="4" s="1"/>
  <c r="S381" i="4" s="1"/>
  <c r="S382" i="4" s="1"/>
  <c r="S383" i="4" s="1"/>
  <c r="S384" i="4" s="1"/>
  <c r="S385" i="4" s="1"/>
  <c r="S386" i="4" s="1"/>
  <c r="S387" i="4" s="1"/>
  <c r="O4" i="4"/>
  <c r="O5" i="4" s="1"/>
  <c r="O6" i="4" s="1"/>
  <c r="O7" i="4" s="1"/>
  <c r="O8" i="4" s="1"/>
  <c r="O9" i="4" s="1"/>
  <c r="O10" i="4" s="1"/>
  <c r="O11" i="4" s="1"/>
  <c r="O12" i="4" s="1"/>
  <c r="O13" i="4" s="1"/>
  <c r="O14" i="4" s="1"/>
  <c r="O15" i="4" s="1"/>
  <c r="O16" i="4" s="1"/>
  <c r="O17" i="4" s="1"/>
  <c r="O18" i="4" s="1"/>
  <c r="O19" i="4" s="1"/>
  <c r="O20" i="4" s="1"/>
  <c r="O21" i="4" s="1"/>
  <c r="O22" i="4" s="1"/>
  <c r="O23" i="4" s="1"/>
  <c r="O24" i="4" s="1"/>
  <c r="O25" i="4" s="1"/>
  <c r="O26" i="4" s="1"/>
  <c r="O27" i="4" s="1"/>
  <c r="O28" i="4" s="1"/>
  <c r="O29" i="4" s="1"/>
  <c r="O30" i="4" s="1"/>
  <c r="O31" i="4" s="1"/>
  <c r="O32" i="4" s="1"/>
  <c r="O33" i="4" s="1"/>
  <c r="O34" i="4" s="1"/>
  <c r="O35" i="4" s="1"/>
  <c r="O36" i="4" s="1"/>
  <c r="O37" i="4" s="1"/>
  <c r="O38" i="4" s="1"/>
  <c r="O39" i="4" s="1"/>
  <c r="O40" i="4" s="1"/>
  <c r="O41" i="4" s="1"/>
  <c r="O42" i="4" s="1"/>
  <c r="O43" i="4" s="1"/>
  <c r="O44" i="4" s="1"/>
  <c r="O45" i="4" s="1"/>
  <c r="O46" i="4" s="1"/>
  <c r="O47" i="4" s="1"/>
  <c r="O48" i="4" s="1"/>
  <c r="O49" i="4" s="1"/>
  <c r="O50" i="4" s="1"/>
  <c r="O51" i="4" s="1"/>
  <c r="O52" i="4" s="1"/>
  <c r="O53" i="4" s="1"/>
  <c r="O54" i="4" s="1"/>
  <c r="O55" i="4" s="1"/>
  <c r="O56" i="4" s="1"/>
  <c r="O57" i="4" s="1"/>
  <c r="O58" i="4" s="1"/>
  <c r="O59" i="4" s="1"/>
  <c r="O60" i="4" s="1"/>
  <c r="O61" i="4" s="1"/>
  <c r="O62" i="4" s="1"/>
  <c r="O63" i="4" s="1"/>
  <c r="O64" i="4" s="1"/>
  <c r="O65" i="4" s="1"/>
  <c r="O66" i="4" s="1"/>
  <c r="O67" i="4" s="1"/>
  <c r="O68" i="4" s="1"/>
  <c r="O69" i="4" s="1"/>
  <c r="O70" i="4" s="1"/>
  <c r="O71" i="4" s="1"/>
  <c r="O72" i="4" s="1"/>
  <c r="O73" i="4" s="1"/>
  <c r="O74" i="4" s="1"/>
  <c r="O75" i="4" s="1"/>
  <c r="O76" i="4" s="1"/>
  <c r="O77" i="4" s="1"/>
  <c r="O78" i="4" s="1"/>
  <c r="O79" i="4" s="1"/>
  <c r="O80" i="4" s="1"/>
  <c r="O81" i="4" s="1"/>
  <c r="O82" i="4" s="1"/>
  <c r="O83" i="4" s="1"/>
  <c r="O84" i="4" s="1"/>
  <c r="O85" i="4" s="1"/>
  <c r="O86" i="4" s="1"/>
  <c r="O87" i="4" s="1"/>
  <c r="O88" i="4" s="1"/>
  <c r="O89" i="4" s="1"/>
  <c r="O90" i="4" s="1"/>
  <c r="O91" i="4" s="1"/>
  <c r="O92" i="4" s="1"/>
  <c r="O93" i="4" s="1"/>
  <c r="O94" i="4" s="1"/>
  <c r="O95" i="4" s="1"/>
  <c r="O96" i="4" s="1"/>
  <c r="O97" i="4" s="1"/>
  <c r="O98" i="4" s="1"/>
  <c r="O99" i="4" s="1"/>
  <c r="O100" i="4" s="1"/>
  <c r="O101" i="4" s="1"/>
  <c r="O102" i="4" s="1"/>
  <c r="O103" i="4" s="1"/>
  <c r="O104" i="4" s="1"/>
  <c r="O105" i="4" s="1"/>
  <c r="O106" i="4" s="1"/>
  <c r="O107" i="4" s="1"/>
  <c r="O108" i="4" s="1"/>
  <c r="O109" i="4" s="1"/>
  <c r="O110" i="4" s="1"/>
  <c r="O111" i="4" s="1"/>
  <c r="O112" i="4" s="1"/>
  <c r="O113" i="4" s="1"/>
  <c r="O114" i="4" s="1"/>
  <c r="O115" i="4" s="1"/>
  <c r="O116" i="4" s="1"/>
  <c r="O117" i="4" s="1"/>
  <c r="O118" i="4" s="1"/>
  <c r="O119" i="4" s="1"/>
  <c r="O120" i="4" s="1"/>
  <c r="O121" i="4" s="1"/>
  <c r="O122" i="4" s="1"/>
  <c r="O123" i="4" s="1"/>
  <c r="O124" i="4" s="1"/>
  <c r="O125" i="4" s="1"/>
  <c r="O126" i="4" s="1"/>
  <c r="O127" i="4" s="1"/>
  <c r="O128" i="4" s="1"/>
  <c r="O129" i="4" s="1"/>
  <c r="O130" i="4" s="1"/>
  <c r="O131" i="4" s="1"/>
  <c r="O132" i="4" s="1"/>
  <c r="O133" i="4" s="1"/>
  <c r="O134" i="4" s="1"/>
  <c r="O135" i="4" s="1"/>
  <c r="O136" i="4" s="1"/>
  <c r="O137" i="4" s="1"/>
  <c r="O138" i="4" s="1"/>
  <c r="O139" i="4" s="1"/>
  <c r="O140" i="4" s="1"/>
  <c r="O141" i="4" s="1"/>
  <c r="O142" i="4" s="1"/>
  <c r="O143" i="4" s="1"/>
  <c r="O144" i="4" s="1"/>
  <c r="O145" i="4" s="1"/>
  <c r="O146" i="4" s="1"/>
  <c r="O147" i="4" s="1"/>
  <c r="O148" i="4" s="1"/>
  <c r="O149" i="4" s="1"/>
  <c r="O150" i="4" s="1"/>
  <c r="O151" i="4" s="1"/>
  <c r="O152" i="4" s="1"/>
  <c r="O153" i="4" s="1"/>
  <c r="O154" i="4" s="1"/>
  <c r="O155" i="4" s="1"/>
  <c r="O156" i="4" s="1"/>
  <c r="O157" i="4" s="1"/>
  <c r="O158" i="4" s="1"/>
  <c r="O159" i="4" s="1"/>
  <c r="O160" i="4" s="1"/>
  <c r="O161" i="4" s="1"/>
  <c r="O162" i="4" s="1"/>
  <c r="O163" i="4" s="1"/>
  <c r="O164" i="4" s="1"/>
  <c r="O165" i="4" s="1"/>
  <c r="O166" i="4" s="1"/>
  <c r="O167" i="4" s="1"/>
  <c r="O168" i="4" s="1"/>
  <c r="O169" i="4" s="1"/>
  <c r="O170" i="4" s="1"/>
  <c r="O171" i="4" s="1"/>
  <c r="O172" i="4" s="1"/>
  <c r="O173" i="4" s="1"/>
  <c r="O174" i="4" s="1"/>
  <c r="O175" i="4" s="1"/>
  <c r="O176" i="4" s="1"/>
  <c r="O177" i="4" s="1"/>
  <c r="O178" i="4" s="1"/>
  <c r="O179" i="4" s="1"/>
  <c r="O180" i="4" s="1"/>
  <c r="O181" i="4" s="1"/>
  <c r="O182" i="4" s="1"/>
  <c r="O183" i="4" s="1"/>
  <c r="O184" i="4" s="1"/>
  <c r="O185" i="4" s="1"/>
  <c r="O186" i="4" s="1"/>
  <c r="O187" i="4" s="1"/>
  <c r="O188" i="4" s="1"/>
  <c r="O189" i="4" s="1"/>
  <c r="O190" i="4" s="1"/>
  <c r="O191" i="4" s="1"/>
  <c r="O192" i="4" s="1"/>
  <c r="O193" i="4" s="1"/>
  <c r="O194" i="4" s="1"/>
  <c r="O195" i="4" s="1"/>
  <c r="O196" i="4" s="1"/>
  <c r="O197" i="4" s="1"/>
  <c r="O198" i="4" s="1"/>
  <c r="O199" i="4" s="1"/>
  <c r="O200" i="4" s="1"/>
  <c r="O201" i="4" s="1"/>
  <c r="O202" i="4" s="1"/>
  <c r="O203" i="4" s="1"/>
  <c r="O204" i="4" s="1"/>
  <c r="O205" i="4" s="1"/>
  <c r="O206" i="4" s="1"/>
  <c r="O207" i="4" s="1"/>
  <c r="O208" i="4" s="1"/>
  <c r="O209" i="4" s="1"/>
  <c r="O210" i="4" s="1"/>
  <c r="O211" i="4" s="1"/>
  <c r="O212" i="4" s="1"/>
  <c r="O213" i="4" s="1"/>
  <c r="O214" i="4" s="1"/>
  <c r="O215" i="4" s="1"/>
  <c r="O216" i="4" s="1"/>
  <c r="O217" i="4" s="1"/>
  <c r="O218" i="4" s="1"/>
  <c r="O219" i="4" s="1"/>
  <c r="O220" i="4" s="1"/>
  <c r="O221" i="4" s="1"/>
  <c r="O222" i="4" s="1"/>
  <c r="O223" i="4" s="1"/>
  <c r="O224" i="4" s="1"/>
  <c r="O225" i="4" s="1"/>
  <c r="O226" i="4" s="1"/>
  <c r="O227" i="4" s="1"/>
  <c r="O228" i="4" s="1"/>
  <c r="O229" i="4" s="1"/>
  <c r="O230" i="4" s="1"/>
  <c r="O231" i="4" s="1"/>
  <c r="O232" i="4" s="1"/>
  <c r="O233" i="4" s="1"/>
  <c r="O234" i="4" s="1"/>
  <c r="O235" i="4" s="1"/>
  <c r="O236" i="4" s="1"/>
  <c r="O237" i="4" s="1"/>
  <c r="O238" i="4" s="1"/>
  <c r="O239" i="4" s="1"/>
  <c r="O240" i="4" s="1"/>
  <c r="O241" i="4" s="1"/>
  <c r="O242" i="4" s="1"/>
  <c r="O243" i="4" s="1"/>
  <c r="O244" i="4" s="1"/>
  <c r="O245" i="4" s="1"/>
  <c r="O246" i="4" s="1"/>
  <c r="O247" i="4" s="1"/>
  <c r="O248" i="4" s="1"/>
  <c r="O249" i="4" s="1"/>
  <c r="O250" i="4" s="1"/>
  <c r="O251" i="4" s="1"/>
  <c r="O252" i="4" s="1"/>
  <c r="O253" i="4" s="1"/>
  <c r="O254" i="4" s="1"/>
  <c r="O255" i="4" s="1"/>
  <c r="O256" i="4" s="1"/>
  <c r="O257" i="4" s="1"/>
  <c r="O258" i="4" s="1"/>
  <c r="O259" i="4" s="1"/>
  <c r="O260" i="4" s="1"/>
  <c r="O261" i="4" s="1"/>
  <c r="O262" i="4" s="1"/>
  <c r="O263" i="4" s="1"/>
  <c r="O264" i="4" s="1"/>
  <c r="O265" i="4" s="1"/>
  <c r="O266" i="4" s="1"/>
  <c r="O267" i="4" s="1"/>
  <c r="O268" i="4" s="1"/>
  <c r="O269" i="4" s="1"/>
  <c r="O270" i="4" s="1"/>
  <c r="O271" i="4" s="1"/>
  <c r="O272" i="4" s="1"/>
  <c r="O273" i="4" s="1"/>
  <c r="O274" i="4" s="1"/>
  <c r="O275" i="4" s="1"/>
  <c r="O276" i="4" s="1"/>
  <c r="O277" i="4" s="1"/>
  <c r="O278" i="4" s="1"/>
  <c r="O279" i="4" s="1"/>
  <c r="O280" i="4" s="1"/>
  <c r="O281" i="4" s="1"/>
  <c r="O282" i="4" s="1"/>
  <c r="O283" i="4" s="1"/>
  <c r="O284" i="4" s="1"/>
  <c r="O285" i="4" s="1"/>
  <c r="O286" i="4" s="1"/>
  <c r="O287" i="4" s="1"/>
  <c r="O288" i="4" s="1"/>
  <c r="O289" i="4" s="1"/>
  <c r="O290" i="4" s="1"/>
  <c r="O291" i="4" s="1"/>
  <c r="O292" i="4" s="1"/>
  <c r="O293" i="4" s="1"/>
  <c r="O294" i="4" s="1"/>
  <c r="O295" i="4" s="1"/>
  <c r="O296" i="4" s="1"/>
  <c r="O297" i="4" s="1"/>
  <c r="O298" i="4" s="1"/>
  <c r="O299" i="4" s="1"/>
  <c r="O300" i="4" s="1"/>
  <c r="O301" i="4" s="1"/>
  <c r="O302" i="4" s="1"/>
  <c r="O303" i="4" s="1"/>
  <c r="O304" i="4" s="1"/>
  <c r="O305" i="4" s="1"/>
  <c r="O306" i="4" s="1"/>
  <c r="O307" i="4" s="1"/>
  <c r="O308" i="4" s="1"/>
  <c r="O309" i="4" s="1"/>
  <c r="O310" i="4" s="1"/>
  <c r="O311" i="4" s="1"/>
  <c r="O312" i="4" s="1"/>
  <c r="O313" i="4" s="1"/>
  <c r="O314" i="4" s="1"/>
  <c r="O315" i="4" s="1"/>
  <c r="O316" i="4" s="1"/>
  <c r="O317" i="4" s="1"/>
  <c r="O318" i="4" s="1"/>
  <c r="O319" i="4" s="1"/>
  <c r="O320" i="4" s="1"/>
  <c r="O321" i="4" s="1"/>
  <c r="O322" i="4" s="1"/>
  <c r="O323" i="4" s="1"/>
  <c r="O324" i="4" s="1"/>
  <c r="O325" i="4" s="1"/>
  <c r="O326" i="4" s="1"/>
  <c r="O327" i="4" s="1"/>
  <c r="O328" i="4" s="1"/>
  <c r="O329" i="4" s="1"/>
  <c r="O330" i="4" s="1"/>
  <c r="O331" i="4" s="1"/>
  <c r="O332" i="4" s="1"/>
  <c r="O333" i="4" s="1"/>
  <c r="O334" i="4" s="1"/>
  <c r="O335" i="4" s="1"/>
  <c r="O336" i="4" s="1"/>
  <c r="O337" i="4" s="1"/>
  <c r="O338" i="4" s="1"/>
  <c r="O339" i="4" s="1"/>
  <c r="O340" i="4" s="1"/>
  <c r="O341" i="4" s="1"/>
  <c r="O342" i="4" s="1"/>
  <c r="O343" i="4" s="1"/>
  <c r="O344" i="4" s="1"/>
  <c r="O345" i="4" s="1"/>
  <c r="O346" i="4" s="1"/>
  <c r="O347" i="4" s="1"/>
  <c r="O348" i="4" s="1"/>
  <c r="O349" i="4" s="1"/>
  <c r="O350" i="4" s="1"/>
  <c r="O351" i="4" s="1"/>
  <c r="O352" i="4" s="1"/>
  <c r="O353" i="4" s="1"/>
  <c r="O354" i="4" s="1"/>
  <c r="O355" i="4" s="1"/>
  <c r="O356" i="4" s="1"/>
  <c r="O357" i="4" s="1"/>
  <c r="O358" i="4" s="1"/>
  <c r="O359" i="4" s="1"/>
  <c r="O360" i="4" s="1"/>
  <c r="O361" i="4" s="1"/>
  <c r="O362" i="4" s="1"/>
  <c r="O363" i="4" s="1"/>
  <c r="O364" i="4" s="1"/>
  <c r="O365" i="4" s="1"/>
  <c r="O366" i="4" s="1"/>
  <c r="O367" i="4" s="1"/>
  <c r="O368" i="4" s="1"/>
  <c r="O369" i="4" s="1"/>
  <c r="O370" i="4" s="1"/>
  <c r="O371" i="4" s="1"/>
  <c r="O372" i="4" s="1"/>
  <c r="O373" i="4" s="1"/>
  <c r="O374" i="4" s="1"/>
  <c r="O375" i="4" s="1"/>
  <c r="O376" i="4" s="1"/>
  <c r="O377" i="4" s="1"/>
  <c r="O378" i="4" s="1"/>
  <c r="O379" i="4" s="1"/>
  <c r="O380" i="4" s="1"/>
  <c r="O381" i="4" s="1"/>
  <c r="O382" i="4" s="1"/>
  <c r="O383" i="4" s="1"/>
  <c r="O384" i="4" s="1"/>
  <c r="O385" i="4" s="1"/>
  <c r="O386" i="4" s="1"/>
  <c r="O387" i="4" s="1"/>
  <c r="N4" i="4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M4" i="4"/>
  <c r="T4" i="4" s="1"/>
  <c r="Q4" i="4" s="1"/>
  <c r="L4" i="4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L62" i="4" s="1"/>
  <c r="L63" i="4" s="1"/>
  <c r="L64" i="4" s="1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93" i="4" s="1"/>
  <c r="L94" i="4" s="1"/>
  <c r="L95" i="4" s="1"/>
  <c r="L96" i="4" s="1"/>
  <c r="L97" i="4" s="1"/>
  <c r="L98" i="4" s="1"/>
  <c r="L99" i="4" s="1"/>
  <c r="L100" i="4" s="1"/>
  <c r="L101" i="4" s="1"/>
  <c r="L102" i="4" s="1"/>
  <c r="L103" i="4" s="1"/>
  <c r="L104" i="4" s="1"/>
  <c r="L105" i="4" s="1"/>
  <c r="L106" i="4" s="1"/>
  <c r="L107" i="4" s="1"/>
  <c r="L108" i="4" s="1"/>
  <c r="L109" i="4" s="1"/>
  <c r="L110" i="4" s="1"/>
  <c r="L111" i="4" s="1"/>
  <c r="L112" i="4" s="1"/>
  <c r="L113" i="4" s="1"/>
  <c r="L114" i="4" s="1"/>
  <c r="L115" i="4" s="1"/>
  <c r="L116" i="4" s="1"/>
  <c r="L117" i="4" s="1"/>
  <c r="L118" i="4" s="1"/>
  <c r="L119" i="4" s="1"/>
  <c r="L120" i="4" s="1"/>
  <c r="L121" i="4" s="1"/>
  <c r="L122" i="4" s="1"/>
  <c r="L123" i="4" s="1"/>
  <c r="L124" i="4" s="1"/>
  <c r="L125" i="4" s="1"/>
  <c r="L126" i="4" s="1"/>
  <c r="L127" i="4" s="1"/>
  <c r="L128" i="4" s="1"/>
  <c r="L129" i="4" s="1"/>
  <c r="L130" i="4" s="1"/>
  <c r="L131" i="4" s="1"/>
  <c r="L132" i="4" s="1"/>
  <c r="L133" i="4" s="1"/>
  <c r="L134" i="4" s="1"/>
  <c r="L135" i="4" s="1"/>
  <c r="L136" i="4" s="1"/>
  <c r="L137" i="4" s="1"/>
  <c r="L138" i="4" s="1"/>
  <c r="L139" i="4" s="1"/>
  <c r="L140" i="4" s="1"/>
  <c r="L141" i="4" s="1"/>
  <c r="L142" i="4" s="1"/>
  <c r="L143" i="4" s="1"/>
  <c r="L144" i="4" s="1"/>
  <c r="L145" i="4" s="1"/>
  <c r="L146" i="4" s="1"/>
  <c r="L147" i="4" s="1"/>
  <c r="L148" i="4" s="1"/>
  <c r="L149" i="4" s="1"/>
  <c r="L150" i="4" s="1"/>
  <c r="L151" i="4" s="1"/>
  <c r="L152" i="4" s="1"/>
  <c r="L153" i="4" s="1"/>
  <c r="L154" i="4" s="1"/>
  <c r="L155" i="4" s="1"/>
  <c r="L156" i="4" s="1"/>
  <c r="L157" i="4" s="1"/>
  <c r="L158" i="4" s="1"/>
  <c r="L159" i="4" s="1"/>
  <c r="L160" i="4" s="1"/>
  <c r="L161" i="4" s="1"/>
  <c r="L162" i="4" s="1"/>
  <c r="L163" i="4" s="1"/>
  <c r="L164" i="4" s="1"/>
  <c r="L165" i="4" s="1"/>
  <c r="L166" i="4" s="1"/>
  <c r="L167" i="4" s="1"/>
  <c r="L168" i="4" s="1"/>
  <c r="L169" i="4" s="1"/>
  <c r="L170" i="4" s="1"/>
  <c r="L171" i="4" s="1"/>
  <c r="L172" i="4" s="1"/>
  <c r="L173" i="4" s="1"/>
  <c r="L174" i="4" s="1"/>
  <c r="L175" i="4" s="1"/>
  <c r="L176" i="4" s="1"/>
  <c r="L177" i="4" s="1"/>
  <c r="L178" i="4" s="1"/>
  <c r="L179" i="4" s="1"/>
  <c r="L180" i="4" s="1"/>
  <c r="L181" i="4" s="1"/>
  <c r="L182" i="4" s="1"/>
  <c r="L183" i="4" s="1"/>
  <c r="L184" i="4" s="1"/>
  <c r="L185" i="4" s="1"/>
  <c r="L186" i="4" s="1"/>
  <c r="L187" i="4" s="1"/>
  <c r="L188" i="4" s="1"/>
  <c r="L189" i="4" s="1"/>
  <c r="L190" i="4" s="1"/>
  <c r="L191" i="4" s="1"/>
  <c r="L192" i="4" s="1"/>
  <c r="L193" i="4" s="1"/>
  <c r="L194" i="4" s="1"/>
  <c r="L195" i="4" s="1"/>
  <c r="L196" i="4" s="1"/>
  <c r="L197" i="4" s="1"/>
  <c r="L198" i="4" s="1"/>
  <c r="L199" i="4" s="1"/>
  <c r="L200" i="4" s="1"/>
  <c r="L201" i="4" s="1"/>
  <c r="L202" i="4" s="1"/>
  <c r="L203" i="4" s="1"/>
  <c r="L204" i="4" s="1"/>
  <c r="L205" i="4" s="1"/>
  <c r="L206" i="4" s="1"/>
  <c r="L207" i="4" s="1"/>
  <c r="L208" i="4" s="1"/>
  <c r="L209" i="4" s="1"/>
  <c r="L210" i="4" s="1"/>
  <c r="L211" i="4" s="1"/>
  <c r="L212" i="4" s="1"/>
  <c r="L213" i="4" s="1"/>
  <c r="L214" i="4" s="1"/>
  <c r="L215" i="4" s="1"/>
  <c r="L216" i="4" s="1"/>
  <c r="L217" i="4" s="1"/>
  <c r="L218" i="4" s="1"/>
  <c r="L219" i="4" s="1"/>
  <c r="L220" i="4" s="1"/>
  <c r="L221" i="4" s="1"/>
  <c r="L222" i="4" s="1"/>
  <c r="L223" i="4" s="1"/>
  <c r="L224" i="4" s="1"/>
  <c r="L225" i="4" s="1"/>
  <c r="L226" i="4" s="1"/>
  <c r="L227" i="4" s="1"/>
  <c r="L228" i="4" s="1"/>
  <c r="L229" i="4" s="1"/>
  <c r="L230" i="4" s="1"/>
  <c r="L231" i="4" s="1"/>
  <c r="L232" i="4" s="1"/>
  <c r="L233" i="4" s="1"/>
  <c r="L234" i="4" s="1"/>
  <c r="L235" i="4" s="1"/>
  <c r="L236" i="4" s="1"/>
  <c r="L237" i="4" s="1"/>
  <c r="L238" i="4" s="1"/>
  <c r="L239" i="4" s="1"/>
  <c r="L240" i="4" s="1"/>
  <c r="L241" i="4" s="1"/>
  <c r="L242" i="4" s="1"/>
  <c r="L243" i="4" s="1"/>
  <c r="L244" i="4" s="1"/>
  <c r="L245" i="4" s="1"/>
  <c r="L246" i="4" s="1"/>
  <c r="L247" i="4" s="1"/>
  <c r="L248" i="4" s="1"/>
  <c r="L249" i="4" s="1"/>
  <c r="L250" i="4" s="1"/>
  <c r="L251" i="4" s="1"/>
  <c r="L252" i="4" s="1"/>
  <c r="L253" i="4" s="1"/>
  <c r="L254" i="4" s="1"/>
  <c r="L255" i="4" s="1"/>
  <c r="L256" i="4" s="1"/>
  <c r="L257" i="4" s="1"/>
  <c r="L258" i="4" s="1"/>
  <c r="L259" i="4" s="1"/>
  <c r="L260" i="4" s="1"/>
  <c r="L261" i="4" s="1"/>
  <c r="L262" i="4" s="1"/>
  <c r="L263" i="4" s="1"/>
  <c r="L264" i="4" s="1"/>
  <c r="L265" i="4" s="1"/>
  <c r="L266" i="4" s="1"/>
  <c r="L267" i="4" s="1"/>
  <c r="L268" i="4" s="1"/>
  <c r="L269" i="4" s="1"/>
  <c r="L270" i="4" s="1"/>
  <c r="L271" i="4" s="1"/>
  <c r="L272" i="4" s="1"/>
  <c r="L273" i="4" s="1"/>
  <c r="L274" i="4" s="1"/>
  <c r="L275" i="4" s="1"/>
  <c r="L276" i="4" s="1"/>
  <c r="L277" i="4" s="1"/>
  <c r="L278" i="4" s="1"/>
  <c r="L279" i="4" s="1"/>
  <c r="L280" i="4" s="1"/>
  <c r="L281" i="4" s="1"/>
  <c r="L282" i="4" s="1"/>
  <c r="L283" i="4" s="1"/>
  <c r="L284" i="4" s="1"/>
  <c r="L285" i="4" s="1"/>
  <c r="L286" i="4" s="1"/>
  <c r="L287" i="4" s="1"/>
  <c r="L288" i="4" s="1"/>
  <c r="L289" i="4" s="1"/>
  <c r="L290" i="4" s="1"/>
  <c r="L291" i="4" s="1"/>
  <c r="L292" i="4" s="1"/>
  <c r="L293" i="4" s="1"/>
  <c r="L294" i="4" s="1"/>
  <c r="L295" i="4" s="1"/>
  <c r="L296" i="4" s="1"/>
  <c r="L297" i="4" s="1"/>
  <c r="L298" i="4" s="1"/>
  <c r="L299" i="4" s="1"/>
  <c r="L300" i="4" s="1"/>
  <c r="L301" i="4" s="1"/>
  <c r="L302" i="4" s="1"/>
  <c r="L303" i="4" s="1"/>
  <c r="L304" i="4" s="1"/>
  <c r="L305" i="4" s="1"/>
  <c r="L306" i="4" s="1"/>
  <c r="L307" i="4" s="1"/>
  <c r="L308" i="4" s="1"/>
  <c r="L309" i="4" s="1"/>
  <c r="L310" i="4" s="1"/>
  <c r="L311" i="4" s="1"/>
  <c r="L312" i="4" s="1"/>
  <c r="L313" i="4" s="1"/>
  <c r="L314" i="4" s="1"/>
  <c r="L315" i="4" s="1"/>
  <c r="L316" i="4" s="1"/>
  <c r="L317" i="4" s="1"/>
  <c r="L318" i="4" s="1"/>
  <c r="L319" i="4" s="1"/>
  <c r="L320" i="4" s="1"/>
  <c r="L321" i="4" s="1"/>
  <c r="L322" i="4" s="1"/>
  <c r="L323" i="4" s="1"/>
  <c r="L324" i="4" s="1"/>
  <c r="L325" i="4" s="1"/>
  <c r="L326" i="4" s="1"/>
  <c r="L327" i="4" s="1"/>
  <c r="L328" i="4" s="1"/>
  <c r="L329" i="4" s="1"/>
  <c r="L330" i="4" s="1"/>
  <c r="L331" i="4" s="1"/>
  <c r="L332" i="4" s="1"/>
  <c r="L333" i="4" s="1"/>
  <c r="L334" i="4" s="1"/>
  <c r="L335" i="4" s="1"/>
  <c r="L336" i="4" s="1"/>
  <c r="L337" i="4" s="1"/>
  <c r="L338" i="4" s="1"/>
  <c r="L339" i="4" s="1"/>
  <c r="L340" i="4" s="1"/>
  <c r="L341" i="4" s="1"/>
  <c r="L342" i="4" s="1"/>
  <c r="L343" i="4" s="1"/>
  <c r="L344" i="4" s="1"/>
  <c r="L345" i="4" s="1"/>
  <c r="L346" i="4" s="1"/>
  <c r="L347" i="4" s="1"/>
  <c r="L348" i="4" s="1"/>
  <c r="L349" i="4" s="1"/>
  <c r="L350" i="4" s="1"/>
  <c r="L351" i="4" s="1"/>
  <c r="L352" i="4" s="1"/>
  <c r="L353" i="4" s="1"/>
  <c r="L354" i="4" s="1"/>
  <c r="L355" i="4" s="1"/>
  <c r="L356" i="4" s="1"/>
  <c r="L357" i="4" s="1"/>
  <c r="L358" i="4" s="1"/>
  <c r="L359" i="4" s="1"/>
  <c r="L360" i="4" s="1"/>
  <c r="L361" i="4" s="1"/>
  <c r="L362" i="4" s="1"/>
  <c r="L363" i="4" s="1"/>
  <c r="L364" i="4" s="1"/>
  <c r="L365" i="4" s="1"/>
  <c r="L366" i="4" s="1"/>
  <c r="L367" i="4" s="1"/>
  <c r="L368" i="4" s="1"/>
  <c r="L369" i="4" s="1"/>
  <c r="L370" i="4" s="1"/>
  <c r="L371" i="4" s="1"/>
  <c r="L372" i="4" s="1"/>
  <c r="L373" i="4" s="1"/>
  <c r="L374" i="4" s="1"/>
  <c r="L375" i="4" s="1"/>
  <c r="L376" i="4" s="1"/>
  <c r="L377" i="4" s="1"/>
  <c r="L378" i="4" s="1"/>
  <c r="L379" i="4" s="1"/>
  <c r="L380" i="4" s="1"/>
  <c r="L381" i="4" s="1"/>
  <c r="L382" i="4" s="1"/>
  <c r="L383" i="4" s="1"/>
  <c r="L384" i="4" s="1"/>
  <c r="L385" i="4" s="1"/>
  <c r="L386" i="4" s="1"/>
  <c r="L387" i="4" s="1"/>
  <c r="K4" i="4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218" i="4" s="1"/>
  <c r="K219" i="4" s="1"/>
  <c r="K220" i="4" s="1"/>
  <c r="K221" i="4" s="1"/>
  <c r="K222" i="4" s="1"/>
  <c r="K223" i="4" s="1"/>
  <c r="K224" i="4" s="1"/>
  <c r="K225" i="4" s="1"/>
  <c r="K226" i="4" s="1"/>
  <c r="K227" i="4" s="1"/>
  <c r="K228" i="4" s="1"/>
  <c r="K229" i="4" s="1"/>
  <c r="K230" i="4" s="1"/>
  <c r="K231" i="4" s="1"/>
  <c r="K232" i="4" s="1"/>
  <c r="K233" i="4" s="1"/>
  <c r="K234" i="4" s="1"/>
  <c r="K235" i="4" s="1"/>
  <c r="K236" i="4" s="1"/>
  <c r="K237" i="4" s="1"/>
  <c r="K238" i="4" s="1"/>
  <c r="K239" i="4" s="1"/>
  <c r="K240" i="4" s="1"/>
  <c r="K241" i="4" s="1"/>
  <c r="K242" i="4" s="1"/>
  <c r="K243" i="4" s="1"/>
  <c r="K244" i="4" s="1"/>
  <c r="K245" i="4" s="1"/>
  <c r="K246" i="4" s="1"/>
  <c r="K247" i="4" s="1"/>
  <c r="K248" i="4" s="1"/>
  <c r="K249" i="4" s="1"/>
  <c r="K250" i="4" s="1"/>
  <c r="K251" i="4" s="1"/>
  <c r="K252" i="4" s="1"/>
  <c r="K253" i="4" s="1"/>
  <c r="K254" i="4" s="1"/>
  <c r="K255" i="4" s="1"/>
  <c r="K256" i="4" s="1"/>
  <c r="K257" i="4" s="1"/>
  <c r="K258" i="4" s="1"/>
  <c r="K259" i="4" s="1"/>
  <c r="K260" i="4" s="1"/>
  <c r="K261" i="4" s="1"/>
  <c r="K262" i="4" s="1"/>
  <c r="K263" i="4" s="1"/>
  <c r="K264" i="4" s="1"/>
  <c r="K265" i="4" s="1"/>
  <c r="K266" i="4" s="1"/>
  <c r="K267" i="4" s="1"/>
  <c r="K268" i="4" s="1"/>
  <c r="K269" i="4" s="1"/>
  <c r="K270" i="4" s="1"/>
  <c r="K271" i="4" s="1"/>
  <c r="K272" i="4" s="1"/>
  <c r="K273" i="4" s="1"/>
  <c r="K274" i="4" s="1"/>
  <c r="K275" i="4" s="1"/>
  <c r="K276" i="4" s="1"/>
  <c r="K277" i="4" s="1"/>
  <c r="K278" i="4" s="1"/>
  <c r="K279" i="4" s="1"/>
  <c r="K280" i="4" s="1"/>
  <c r="K281" i="4" s="1"/>
  <c r="K282" i="4" s="1"/>
  <c r="K283" i="4" s="1"/>
  <c r="K284" i="4" s="1"/>
  <c r="K285" i="4" s="1"/>
  <c r="K286" i="4" s="1"/>
  <c r="K287" i="4" s="1"/>
  <c r="K288" i="4" s="1"/>
  <c r="K289" i="4" s="1"/>
  <c r="K290" i="4" s="1"/>
  <c r="K291" i="4" s="1"/>
  <c r="K292" i="4" s="1"/>
  <c r="K293" i="4" s="1"/>
  <c r="K294" i="4" s="1"/>
  <c r="K295" i="4" s="1"/>
  <c r="K296" i="4" s="1"/>
  <c r="K297" i="4" s="1"/>
  <c r="K298" i="4" s="1"/>
  <c r="K299" i="4" s="1"/>
  <c r="K300" i="4" s="1"/>
  <c r="K301" i="4" s="1"/>
  <c r="K302" i="4" s="1"/>
  <c r="K303" i="4" s="1"/>
  <c r="K304" i="4" s="1"/>
  <c r="K305" i="4" s="1"/>
  <c r="K306" i="4" s="1"/>
  <c r="K307" i="4" s="1"/>
  <c r="K308" i="4" s="1"/>
  <c r="K309" i="4" s="1"/>
  <c r="K310" i="4" s="1"/>
  <c r="K311" i="4" s="1"/>
  <c r="K312" i="4" s="1"/>
  <c r="K313" i="4" s="1"/>
  <c r="K314" i="4" s="1"/>
  <c r="K315" i="4" s="1"/>
  <c r="K316" i="4" s="1"/>
  <c r="K317" i="4" s="1"/>
  <c r="K318" i="4" s="1"/>
  <c r="K319" i="4" s="1"/>
  <c r="K320" i="4" s="1"/>
  <c r="K321" i="4" s="1"/>
  <c r="K322" i="4" s="1"/>
  <c r="K323" i="4" s="1"/>
  <c r="K324" i="4" s="1"/>
  <c r="K325" i="4" s="1"/>
  <c r="K326" i="4" s="1"/>
  <c r="K327" i="4" s="1"/>
  <c r="K328" i="4" s="1"/>
  <c r="K329" i="4" s="1"/>
  <c r="K330" i="4" s="1"/>
  <c r="K331" i="4" s="1"/>
  <c r="K332" i="4" s="1"/>
  <c r="K333" i="4" s="1"/>
  <c r="K334" i="4" s="1"/>
  <c r="K335" i="4" s="1"/>
  <c r="K336" i="4" s="1"/>
  <c r="K337" i="4" s="1"/>
  <c r="K338" i="4" s="1"/>
  <c r="K339" i="4" s="1"/>
  <c r="K340" i="4" s="1"/>
  <c r="K341" i="4" s="1"/>
  <c r="K342" i="4" s="1"/>
  <c r="K343" i="4" s="1"/>
  <c r="K344" i="4" s="1"/>
  <c r="K345" i="4" s="1"/>
  <c r="K346" i="4" s="1"/>
  <c r="K347" i="4" s="1"/>
  <c r="K348" i="4" s="1"/>
  <c r="K349" i="4" s="1"/>
  <c r="K350" i="4" s="1"/>
  <c r="K351" i="4" s="1"/>
  <c r="K352" i="4" s="1"/>
  <c r="K353" i="4" s="1"/>
  <c r="K354" i="4" s="1"/>
  <c r="K355" i="4" s="1"/>
  <c r="K356" i="4" s="1"/>
  <c r="K357" i="4" s="1"/>
  <c r="K358" i="4" s="1"/>
  <c r="K359" i="4" s="1"/>
  <c r="K360" i="4" s="1"/>
  <c r="K361" i="4" s="1"/>
  <c r="K362" i="4" s="1"/>
  <c r="K363" i="4" s="1"/>
  <c r="K364" i="4" s="1"/>
  <c r="K365" i="4" s="1"/>
  <c r="K366" i="4" s="1"/>
  <c r="K367" i="4" s="1"/>
  <c r="K368" i="4" s="1"/>
  <c r="K369" i="4" s="1"/>
  <c r="K370" i="4" s="1"/>
  <c r="K371" i="4" s="1"/>
  <c r="K372" i="4" s="1"/>
  <c r="K373" i="4" s="1"/>
  <c r="K374" i="4" s="1"/>
  <c r="K375" i="4" s="1"/>
  <c r="K376" i="4" s="1"/>
  <c r="K377" i="4" s="1"/>
  <c r="K378" i="4" s="1"/>
  <c r="K379" i="4" s="1"/>
  <c r="K380" i="4" s="1"/>
  <c r="K381" i="4" s="1"/>
  <c r="K382" i="4" s="1"/>
  <c r="K383" i="4" s="1"/>
  <c r="K384" i="4" s="1"/>
  <c r="K385" i="4" s="1"/>
  <c r="K386" i="4" s="1"/>
  <c r="K387" i="4" s="1"/>
  <c r="J4" i="4"/>
  <c r="J5" i="4" s="1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J218" i="4" s="1"/>
  <c r="J219" i="4" s="1"/>
  <c r="J220" i="4" s="1"/>
  <c r="J221" i="4" s="1"/>
  <c r="J222" i="4" s="1"/>
  <c r="J223" i="4" s="1"/>
  <c r="J224" i="4" s="1"/>
  <c r="J225" i="4" s="1"/>
  <c r="J226" i="4" s="1"/>
  <c r="J227" i="4" s="1"/>
  <c r="J228" i="4" s="1"/>
  <c r="J229" i="4" s="1"/>
  <c r="J230" i="4" s="1"/>
  <c r="J231" i="4" s="1"/>
  <c r="J232" i="4" s="1"/>
  <c r="J233" i="4" s="1"/>
  <c r="J234" i="4" s="1"/>
  <c r="J235" i="4" s="1"/>
  <c r="J236" i="4" s="1"/>
  <c r="J237" i="4" s="1"/>
  <c r="J238" i="4" s="1"/>
  <c r="J239" i="4" s="1"/>
  <c r="J240" i="4" s="1"/>
  <c r="J241" i="4" s="1"/>
  <c r="J242" i="4" s="1"/>
  <c r="J243" i="4" s="1"/>
  <c r="J244" i="4" s="1"/>
  <c r="J245" i="4" s="1"/>
  <c r="J246" i="4" s="1"/>
  <c r="J247" i="4" s="1"/>
  <c r="J248" i="4" s="1"/>
  <c r="J249" i="4" s="1"/>
  <c r="J250" i="4" s="1"/>
  <c r="J251" i="4" s="1"/>
  <c r="J252" i="4" s="1"/>
  <c r="J253" i="4" s="1"/>
  <c r="J254" i="4" s="1"/>
  <c r="J255" i="4" s="1"/>
  <c r="J256" i="4" s="1"/>
  <c r="J257" i="4" s="1"/>
  <c r="J258" i="4" s="1"/>
  <c r="J259" i="4" s="1"/>
  <c r="J260" i="4" s="1"/>
  <c r="J261" i="4" s="1"/>
  <c r="J262" i="4" s="1"/>
  <c r="J263" i="4" s="1"/>
  <c r="J264" i="4" s="1"/>
  <c r="J265" i="4" s="1"/>
  <c r="J266" i="4" s="1"/>
  <c r="J267" i="4" s="1"/>
  <c r="J268" i="4" s="1"/>
  <c r="J269" i="4" s="1"/>
  <c r="J270" i="4" s="1"/>
  <c r="J271" i="4" s="1"/>
  <c r="J272" i="4" s="1"/>
  <c r="J273" i="4" s="1"/>
  <c r="J274" i="4" s="1"/>
  <c r="J275" i="4" s="1"/>
  <c r="J276" i="4" s="1"/>
  <c r="J277" i="4" s="1"/>
  <c r="J278" i="4" s="1"/>
  <c r="J279" i="4" s="1"/>
  <c r="J280" i="4" s="1"/>
  <c r="J281" i="4" s="1"/>
  <c r="J282" i="4" s="1"/>
  <c r="J283" i="4" s="1"/>
  <c r="J284" i="4" s="1"/>
  <c r="J285" i="4" s="1"/>
  <c r="J286" i="4" s="1"/>
  <c r="J287" i="4" s="1"/>
  <c r="J288" i="4" s="1"/>
  <c r="J289" i="4" s="1"/>
  <c r="J290" i="4" s="1"/>
  <c r="J291" i="4" s="1"/>
  <c r="J292" i="4" s="1"/>
  <c r="J293" i="4" s="1"/>
  <c r="J294" i="4" s="1"/>
  <c r="J295" i="4" s="1"/>
  <c r="J296" i="4" s="1"/>
  <c r="J297" i="4" s="1"/>
  <c r="J298" i="4" s="1"/>
  <c r="J299" i="4" s="1"/>
  <c r="J300" i="4" s="1"/>
  <c r="J301" i="4" s="1"/>
  <c r="J302" i="4" s="1"/>
  <c r="J303" i="4" s="1"/>
  <c r="J304" i="4" s="1"/>
  <c r="J305" i="4" s="1"/>
  <c r="J306" i="4" s="1"/>
  <c r="J307" i="4" s="1"/>
  <c r="J308" i="4" s="1"/>
  <c r="J309" i="4" s="1"/>
  <c r="J310" i="4" s="1"/>
  <c r="J311" i="4" s="1"/>
  <c r="J312" i="4" s="1"/>
  <c r="J313" i="4" s="1"/>
  <c r="J314" i="4" s="1"/>
  <c r="J315" i="4" s="1"/>
  <c r="J316" i="4" s="1"/>
  <c r="J317" i="4" s="1"/>
  <c r="J318" i="4" s="1"/>
  <c r="J319" i="4" s="1"/>
  <c r="J320" i="4" s="1"/>
  <c r="J321" i="4" s="1"/>
  <c r="J322" i="4" s="1"/>
  <c r="J323" i="4" s="1"/>
  <c r="J324" i="4" s="1"/>
  <c r="J325" i="4" s="1"/>
  <c r="J326" i="4" s="1"/>
  <c r="J327" i="4" s="1"/>
  <c r="J328" i="4" s="1"/>
  <c r="J329" i="4" s="1"/>
  <c r="J330" i="4" s="1"/>
  <c r="J331" i="4" s="1"/>
  <c r="J332" i="4" s="1"/>
  <c r="J333" i="4" s="1"/>
  <c r="J334" i="4" s="1"/>
  <c r="J335" i="4" s="1"/>
  <c r="J336" i="4" s="1"/>
  <c r="J337" i="4" s="1"/>
  <c r="J338" i="4" s="1"/>
  <c r="J339" i="4" s="1"/>
  <c r="J340" i="4" s="1"/>
  <c r="J341" i="4" s="1"/>
  <c r="J342" i="4" s="1"/>
  <c r="J343" i="4" s="1"/>
  <c r="J344" i="4" s="1"/>
  <c r="J345" i="4" s="1"/>
  <c r="J346" i="4" s="1"/>
  <c r="J347" i="4" s="1"/>
  <c r="J348" i="4" s="1"/>
  <c r="J349" i="4" s="1"/>
  <c r="J350" i="4" s="1"/>
  <c r="J351" i="4" s="1"/>
  <c r="J352" i="4" s="1"/>
  <c r="J353" i="4" s="1"/>
  <c r="J354" i="4" s="1"/>
  <c r="J355" i="4" s="1"/>
  <c r="J356" i="4" s="1"/>
  <c r="J357" i="4" s="1"/>
  <c r="J358" i="4" s="1"/>
  <c r="J359" i="4" s="1"/>
  <c r="J360" i="4" s="1"/>
  <c r="J361" i="4" s="1"/>
  <c r="J362" i="4" s="1"/>
  <c r="J363" i="4" s="1"/>
  <c r="J364" i="4" s="1"/>
  <c r="J365" i="4" s="1"/>
  <c r="J366" i="4" s="1"/>
  <c r="J367" i="4" s="1"/>
  <c r="J368" i="4" s="1"/>
  <c r="J369" i="4" s="1"/>
  <c r="J370" i="4" s="1"/>
  <c r="J371" i="4" s="1"/>
  <c r="J372" i="4" s="1"/>
  <c r="J373" i="4" s="1"/>
  <c r="J374" i="4" s="1"/>
  <c r="J375" i="4" s="1"/>
  <c r="J376" i="4" s="1"/>
  <c r="J377" i="4" s="1"/>
  <c r="J378" i="4" s="1"/>
  <c r="J379" i="4" s="1"/>
  <c r="J380" i="4" s="1"/>
  <c r="J381" i="4" s="1"/>
  <c r="J382" i="4" s="1"/>
  <c r="J383" i="4" s="1"/>
  <c r="J384" i="4" s="1"/>
  <c r="J385" i="4" s="1"/>
  <c r="J386" i="4" s="1"/>
  <c r="J387" i="4" s="1"/>
  <c r="I4" i="4"/>
  <c r="I5" i="4" s="1"/>
  <c r="I6" i="4" s="1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218" i="4" s="1"/>
  <c r="I219" i="4" s="1"/>
  <c r="I220" i="4" s="1"/>
  <c r="I221" i="4" s="1"/>
  <c r="I222" i="4" s="1"/>
  <c r="I223" i="4" s="1"/>
  <c r="I224" i="4" s="1"/>
  <c r="I225" i="4" s="1"/>
  <c r="I226" i="4" s="1"/>
  <c r="I227" i="4" s="1"/>
  <c r="I228" i="4" s="1"/>
  <c r="I229" i="4" s="1"/>
  <c r="I230" i="4" s="1"/>
  <c r="I231" i="4" s="1"/>
  <c r="I232" i="4" s="1"/>
  <c r="I233" i="4" s="1"/>
  <c r="I234" i="4" s="1"/>
  <c r="I235" i="4" s="1"/>
  <c r="I236" i="4" s="1"/>
  <c r="I237" i="4" s="1"/>
  <c r="I238" i="4" s="1"/>
  <c r="I239" i="4" s="1"/>
  <c r="I240" i="4" s="1"/>
  <c r="I241" i="4" s="1"/>
  <c r="I242" i="4" s="1"/>
  <c r="I243" i="4" s="1"/>
  <c r="I244" i="4" s="1"/>
  <c r="I245" i="4" s="1"/>
  <c r="I246" i="4" s="1"/>
  <c r="I247" i="4" s="1"/>
  <c r="I248" i="4" s="1"/>
  <c r="I249" i="4" s="1"/>
  <c r="I250" i="4" s="1"/>
  <c r="I251" i="4" s="1"/>
  <c r="I252" i="4" s="1"/>
  <c r="I253" i="4" s="1"/>
  <c r="I254" i="4" s="1"/>
  <c r="I255" i="4" s="1"/>
  <c r="I256" i="4" s="1"/>
  <c r="I257" i="4" s="1"/>
  <c r="I258" i="4" s="1"/>
  <c r="I259" i="4" s="1"/>
  <c r="I260" i="4" s="1"/>
  <c r="I261" i="4" s="1"/>
  <c r="I262" i="4" s="1"/>
  <c r="I263" i="4" s="1"/>
  <c r="I264" i="4" s="1"/>
  <c r="I265" i="4" s="1"/>
  <c r="I266" i="4" s="1"/>
  <c r="I267" i="4" s="1"/>
  <c r="I268" i="4" s="1"/>
  <c r="I269" i="4" s="1"/>
  <c r="I270" i="4" s="1"/>
  <c r="I271" i="4" s="1"/>
  <c r="I272" i="4" s="1"/>
  <c r="I273" i="4" s="1"/>
  <c r="I274" i="4" s="1"/>
  <c r="I275" i="4" s="1"/>
  <c r="I276" i="4" s="1"/>
  <c r="I277" i="4" s="1"/>
  <c r="I278" i="4" s="1"/>
  <c r="I279" i="4" s="1"/>
  <c r="I280" i="4" s="1"/>
  <c r="I281" i="4" s="1"/>
  <c r="I282" i="4" s="1"/>
  <c r="I283" i="4" s="1"/>
  <c r="I284" i="4" s="1"/>
  <c r="I285" i="4" s="1"/>
  <c r="I286" i="4" s="1"/>
  <c r="I287" i="4" s="1"/>
  <c r="I288" i="4" s="1"/>
  <c r="I289" i="4" s="1"/>
  <c r="I290" i="4" s="1"/>
  <c r="I291" i="4" s="1"/>
  <c r="I292" i="4" s="1"/>
  <c r="I293" i="4" s="1"/>
  <c r="I294" i="4" s="1"/>
  <c r="I295" i="4" s="1"/>
  <c r="I296" i="4" s="1"/>
  <c r="I297" i="4" s="1"/>
  <c r="I298" i="4" s="1"/>
  <c r="I299" i="4" s="1"/>
  <c r="I300" i="4" s="1"/>
  <c r="I301" i="4" s="1"/>
  <c r="I302" i="4" s="1"/>
  <c r="I303" i="4" s="1"/>
  <c r="I304" i="4" s="1"/>
  <c r="I305" i="4" s="1"/>
  <c r="I306" i="4" s="1"/>
  <c r="I307" i="4" s="1"/>
  <c r="I308" i="4" s="1"/>
  <c r="I309" i="4" s="1"/>
  <c r="I310" i="4" s="1"/>
  <c r="I311" i="4" s="1"/>
  <c r="I312" i="4" s="1"/>
  <c r="I313" i="4" s="1"/>
  <c r="I314" i="4" s="1"/>
  <c r="I315" i="4" s="1"/>
  <c r="I316" i="4" s="1"/>
  <c r="I317" i="4" s="1"/>
  <c r="I318" i="4" s="1"/>
  <c r="I319" i="4" s="1"/>
  <c r="I320" i="4" s="1"/>
  <c r="I321" i="4" s="1"/>
  <c r="I322" i="4" s="1"/>
  <c r="I323" i="4" s="1"/>
  <c r="I324" i="4" s="1"/>
  <c r="I325" i="4" s="1"/>
  <c r="I326" i="4" s="1"/>
  <c r="I327" i="4" s="1"/>
  <c r="I328" i="4" s="1"/>
  <c r="I329" i="4" s="1"/>
  <c r="I330" i="4" s="1"/>
  <c r="I331" i="4" s="1"/>
  <c r="I332" i="4" s="1"/>
  <c r="I333" i="4" s="1"/>
  <c r="I334" i="4" s="1"/>
  <c r="I335" i="4" s="1"/>
  <c r="I336" i="4" s="1"/>
  <c r="I337" i="4" s="1"/>
  <c r="I338" i="4" s="1"/>
  <c r="I339" i="4" s="1"/>
  <c r="I340" i="4" s="1"/>
  <c r="I341" i="4" s="1"/>
  <c r="I342" i="4" s="1"/>
  <c r="I343" i="4" s="1"/>
  <c r="I344" i="4" s="1"/>
  <c r="I345" i="4" s="1"/>
  <c r="I346" i="4" s="1"/>
  <c r="I347" i="4" s="1"/>
  <c r="I348" i="4" s="1"/>
  <c r="I349" i="4" s="1"/>
  <c r="I350" i="4" s="1"/>
  <c r="I351" i="4" s="1"/>
  <c r="I352" i="4" s="1"/>
  <c r="I353" i="4" s="1"/>
  <c r="I354" i="4" s="1"/>
  <c r="I355" i="4" s="1"/>
  <c r="I356" i="4" s="1"/>
  <c r="I357" i="4" s="1"/>
  <c r="I358" i="4" s="1"/>
  <c r="I359" i="4" s="1"/>
  <c r="I360" i="4" s="1"/>
  <c r="I361" i="4" s="1"/>
  <c r="I362" i="4" s="1"/>
  <c r="I363" i="4" s="1"/>
  <c r="I364" i="4" s="1"/>
  <c r="I365" i="4" s="1"/>
  <c r="I366" i="4" s="1"/>
  <c r="I367" i="4" s="1"/>
  <c r="I368" i="4" s="1"/>
  <c r="I369" i="4" s="1"/>
  <c r="I370" i="4" s="1"/>
  <c r="I371" i="4" s="1"/>
  <c r="I372" i="4" s="1"/>
  <c r="I373" i="4" s="1"/>
  <c r="I374" i="4" s="1"/>
  <c r="I375" i="4" s="1"/>
  <c r="I376" i="4" s="1"/>
  <c r="I377" i="4" s="1"/>
  <c r="I378" i="4" s="1"/>
  <c r="I379" i="4" s="1"/>
  <c r="I380" i="4" s="1"/>
  <c r="I381" i="4" s="1"/>
  <c r="I382" i="4" s="1"/>
  <c r="I383" i="4" s="1"/>
  <c r="I384" i="4" s="1"/>
  <c r="I385" i="4" s="1"/>
  <c r="I386" i="4" s="1"/>
  <c r="I387" i="4" s="1"/>
  <c r="H4" i="4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H218" i="4" s="1"/>
  <c r="H219" i="4" s="1"/>
  <c r="H220" i="4" s="1"/>
  <c r="H221" i="4" s="1"/>
  <c r="H222" i="4" s="1"/>
  <c r="H223" i="4" s="1"/>
  <c r="H224" i="4" s="1"/>
  <c r="H225" i="4" s="1"/>
  <c r="H226" i="4" s="1"/>
  <c r="H227" i="4" s="1"/>
  <c r="H228" i="4" s="1"/>
  <c r="H229" i="4" s="1"/>
  <c r="H230" i="4" s="1"/>
  <c r="H231" i="4" s="1"/>
  <c r="H232" i="4" s="1"/>
  <c r="H233" i="4" s="1"/>
  <c r="H234" i="4" s="1"/>
  <c r="H235" i="4" s="1"/>
  <c r="H236" i="4" s="1"/>
  <c r="H237" i="4" s="1"/>
  <c r="H238" i="4" s="1"/>
  <c r="H239" i="4" s="1"/>
  <c r="H240" i="4" s="1"/>
  <c r="H241" i="4" s="1"/>
  <c r="H242" i="4" s="1"/>
  <c r="H243" i="4" s="1"/>
  <c r="H244" i="4" s="1"/>
  <c r="H245" i="4" s="1"/>
  <c r="H246" i="4" s="1"/>
  <c r="H247" i="4" s="1"/>
  <c r="H248" i="4" s="1"/>
  <c r="H249" i="4" s="1"/>
  <c r="H250" i="4" s="1"/>
  <c r="H251" i="4" s="1"/>
  <c r="H252" i="4" s="1"/>
  <c r="H253" i="4" s="1"/>
  <c r="H254" i="4" s="1"/>
  <c r="H255" i="4" s="1"/>
  <c r="H256" i="4" s="1"/>
  <c r="H257" i="4" s="1"/>
  <c r="H258" i="4" s="1"/>
  <c r="H259" i="4" s="1"/>
  <c r="H260" i="4" s="1"/>
  <c r="H261" i="4" s="1"/>
  <c r="H262" i="4" s="1"/>
  <c r="H263" i="4" s="1"/>
  <c r="H264" i="4" s="1"/>
  <c r="H265" i="4" s="1"/>
  <c r="H266" i="4" s="1"/>
  <c r="H267" i="4" s="1"/>
  <c r="H268" i="4" s="1"/>
  <c r="H269" i="4" s="1"/>
  <c r="H270" i="4" s="1"/>
  <c r="H271" i="4" s="1"/>
  <c r="H272" i="4" s="1"/>
  <c r="H273" i="4" s="1"/>
  <c r="H274" i="4" s="1"/>
  <c r="H275" i="4" s="1"/>
  <c r="H276" i="4" s="1"/>
  <c r="H277" i="4" s="1"/>
  <c r="H278" i="4" s="1"/>
  <c r="H279" i="4" s="1"/>
  <c r="H280" i="4" s="1"/>
  <c r="H281" i="4" s="1"/>
  <c r="H282" i="4" s="1"/>
  <c r="H283" i="4" s="1"/>
  <c r="H284" i="4" s="1"/>
  <c r="H285" i="4" s="1"/>
  <c r="H286" i="4" s="1"/>
  <c r="H287" i="4" s="1"/>
  <c r="H288" i="4" s="1"/>
  <c r="H289" i="4" s="1"/>
  <c r="H290" i="4" s="1"/>
  <c r="H291" i="4" s="1"/>
  <c r="H292" i="4" s="1"/>
  <c r="H293" i="4" s="1"/>
  <c r="H294" i="4" s="1"/>
  <c r="H295" i="4" s="1"/>
  <c r="H296" i="4" s="1"/>
  <c r="H297" i="4" s="1"/>
  <c r="H298" i="4" s="1"/>
  <c r="H299" i="4" s="1"/>
  <c r="H300" i="4" s="1"/>
  <c r="H301" i="4" s="1"/>
  <c r="H302" i="4" s="1"/>
  <c r="H303" i="4" s="1"/>
  <c r="H304" i="4" s="1"/>
  <c r="H305" i="4" s="1"/>
  <c r="H306" i="4" s="1"/>
  <c r="H307" i="4" s="1"/>
  <c r="H308" i="4" s="1"/>
  <c r="H309" i="4" s="1"/>
  <c r="H310" i="4" s="1"/>
  <c r="H311" i="4" s="1"/>
  <c r="H312" i="4" s="1"/>
  <c r="H313" i="4" s="1"/>
  <c r="H314" i="4" s="1"/>
  <c r="H315" i="4" s="1"/>
  <c r="H316" i="4" s="1"/>
  <c r="H317" i="4" s="1"/>
  <c r="H318" i="4" s="1"/>
  <c r="H319" i="4" s="1"/>
  <c r="H320" i="4" s="1"/>
  <c r="H321" i="4" s="1"/>
  <c r="H322" i="4" s="1"/>
  <c r="H323" i="4" s="1"/>
  <c r="H324" i="4" s="1"/>
  <c r="H325" i="4" s="1"/>
  <c r="H326" i="4" s="1"/>
  <c r="H327" i="4" s="1"/>
  <c r="H328" i="4" s="1"/>
  <c r="H329" i="4" s="1"/>
  <c r="H330" i="4" s="1"/>
  <c r="H331" i="4" s="1"/>
  <c r="H332" i="4" s="1"/>
  <c r="H333" i="4" s="1"/>
  <c r="H334" i="4" s="1"/>
  <c r="H335" i="4" s="1"/>
  <c r="H336" i="4" s="1"/>
  <c r="H337" i="4" s="1"/>
  <c r="H338" i="4" s="1"/>
  <c r="H339" i="4" s="1"/>
  <c r="H340" i="4" s="1"/>
  <c r="H341" i="4" s="1"/>
  <c r="H342" i="4" s="1"/>
  <c r="H343" i="4" s="1"/>
  <c r="H344" i="4" s="1"/>
  <c r="H345" i="4" s="1"/>
  <c r="H346" i="4" s="1"/>
  <c r="H347" i="4" s="1"/>
  <c r="H348" i="4" s="1"/>
  <c r="H349" i="4" s="1"/>
  <c r="H350" i="4" s="1"/>
  <c r="H351" i="4" s="1"/>
  <c r="H352" i="4" s="1"/>
  <c r="H353" i="4" s="1"/>
  <c r="H354" i="4" s="1"/>
  <c r="H355" i="4" s="1"/>
  <c r="H356" i="4" s="1"/>
  <c r="H357" i="4" s="1"/>
  <c r="H358" i="4" s="1"/>
  <c r="H359" i="4" s="1"/>
  <c r="H360" i="4" s="1"/>
  <c r="H361" i="4" s="1"/>
  <c r="H362" i="4" s="1"/>
  <c r="H363" i="4" s="1"/>
  <c r="H364" i="4" s="1"/>
  <c r="H365" i="4" s="1"/>
  <c r="H366" i="4" s="1"/>
  <c r="H367" i="4" s="1"/>
  <c r="H368" i="4" s="1"/>
  <c r="H369" i="4" s="1"/>
  <c r="H370" i="4" s="1"/>
  <c r="H371" i="4" s="1"/>
  <c r="H372" i="4" s="1"/>
  <c r="H373" i="4" s="1"/>
  <c r="H374" i="4" s="1"/>
  <c r="H375" i="4" s="1"/>
  <c r="H376" i="4" s="1"/>
  <c r="H377" i="4" s="1"/>
  <c r="H378" i="4" s="1"/>
  <c r="H379" i="4" s="1"/>
  <c r="H380" i="4" s="1"/>
  <c r="H381" i="4" s="1"/>
  <c r="H382" i="4" s="1"/>
  <c r="H383" i="4" s="1"/>
  <c r="H384" i="4" s="1"/>
  <c r="H385" i="4" s="1"/>
  <c r="H386" i="4" s="1"/>
  <c r="H387" i="4" s="1"/>
  <c r="G4" i="4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F4" i="4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F103" i="4" s="1"/>
  <c r="F104" i="4" s="1"/>
  <c r="F105" i="4" s="1"/>
  <c r="F106" i="4" s="1"/>
  <c r="F107" i="4" s="1"/>
  <c r="F108" i="4" s="1"/>
  <c r="F109" i="4" s="1"/>
  <c r="F110" i="4" s="1"/>
  <c r="F111" i="4" s="1"/>
  <c r="F112" i="4" s="1"/>
  <c r="F113" i="4" s="1"/>
  <c r="F114" i="4" s="1"/>
  <c r="F115" i="4" s="1"/>
  <c r="F116" i="4" s="1"/>
  <c r="F117" i="4" s="1"/>
  <c r="F118" i="4" s="1"/>
  <c r="F119" i="4" s="1"/>
  <c r="F120" i="4" s="1"/>
  <c r="F121" i="4" s="1"/>
  <c r="F122" i="4" s="1"/>
  <c r="F123" i="4" s="1"/>
  <c r="F124" i="4" s="1"/>
  <c r="F125" i="4" s="1"/>
  <c r="F126" i="4" s="1"/>
  <c r="F127" i="4" s="1"/>
  <c r="F128" i="4" s="1"/>
  <c r="F129" i="4" s="1"/>
  <c r="F130" i="4" s="1"/>
  <c r="F131" i="4" s="1"/>
  <c r="F132" i="4" s="1"/>
  <c r="F133" i="4" s="1"/>
  <c r="F134" i="4" s="1"/>
  <c r="F135" i="4" s="1"/>
  <c r="F136" i="4" s="1"/>
  <c r="F137" i="4" s="1"/>
  <c r="F138" i="4" s="1"/>
  <c r="F139" i="4" s="1"/>
  <c r="F140" i="4" s="1"/>
  <c r="F141" i="4" s="1"/>
  <c r="F142" i="4" s="1"/>
  <c r="F143" i="4" s="1"/>
  <c r="F144" i="4" s="1"/>
  <c r="F145" i="4" s="1"/>
  <c r="F146" i="4" s="1"/>
  <c r="F147" i="4" s="1"/>
  <c r="F148" i="4" s="1"/>
  <c r="F149" i="4" s="1"/>
  <c r="F150" i="4" s="1"/>
  <c r="F151" i="4" s="1"/>
  <c r="F152" i="4" s="1"/>
  <c r="F153" i="4" s="1"/>
  <c r="F154" i="4" s="1"/>
  <c r="F155" i="4" s="1"/>
  <c r="F156" i="4" s="1"/>
  <c r="F157" i="4" s="1"/>
  <c r="F158" i="4" s="1"/>
  <c r="F159" i="4" s="1"/>
  <c r="F160" i="4" s="1"/>
  <c r="F161" i="4" s="1"/>
  <c r="F162" i="4" s="1"/>
  <c r="F163" i="4" s="1"/>
  <c r="F164" i="4" s="1"/>
  <c r="F165" i="4" s="1"/>
  <c r="F166" i="4" s="1"/>
  <c r="F167" i="4" s="1"/>
  <c r="F168" i="4" s="1"/>
  <c r="F169" i="4" s="1"/>
  <c r="F170" i="4" s="1"/>
  <c r="F171" i="4" s="1"/>
  <c r="F172" i="4" s="1"/>
  <c r="F173" i="4" s="1"/>
  <c r="F174" i="4" s="1"/>
  <c r="F175" i="4" s="1"/>
  <c r="F176" i="4" s="1"/>
  <c r="F177" i="4" s="1"/>
  <c r="F178" i="4" s="1"/>
  <c r="F179" i="4" s="1"/>
  <c r="F180" i="4" s="1"/>
  <c r="F181" i="4" s="1"/>
  <c r="F182" i="4" s="1"/>
  <c r="F183" i="4" s="1"/>
  <c r="F184" i="4" s="1"/>
  <c r="F185" i="4" s="1"/>
  <c r="F186" i="4" s="1"/>
  <c r="F187" i="4" s="1"/>
  <c r="F188" i="4" s="1"/>
  <c r="F189" i="4" s="1"/>
  <c r="F190" i="4" s="1"/>
  <c r="F191" i="4" s="1"/>
  <c r="F192" i="4" s="1"/>
  <c r="F193" i="4" s="1"/>
  <c r="F194" i="4" s="1"/>
  <c r="F195" i="4" s="1"/>
  <c r="F196" i="4" s="1"/>
  <c r="F197" i="4" s="1"/>
  <c r="F198" i="4" s="1"/>
  <c r="F199" i="4" s="1"/>
  <c r="F200" i="4" s="1"/>
  <c r="F201" i="4" s="1"/>
  <c r="F202" i="4" s="1"/>
  <c r="F203" i="4" s="1"/>
  <c r="F204" i="4" s="1"/>
  <c r="F205" i="4" s="1"/>
  <c r="F206" i="4" s="1"/>
  <c r="F207" i="4" s="1"/>
  <c r="F208" i="4" s="1"/>
  <c r="F209" i="4" s="1"/>
  <c r="F210" i="4" s="1"/>
  <c r="F211" i="4" s="1"/>
  <c r="F212" i="4" s="1"/>
  <c r="F213" i="4" s="1"/>
  <c r="F214" i="4" s="1"/>
  <c r="F215" i="4" s="1"/>
  <c r="F216" i="4" s="1"/>
  <c r="F217" i="4" s="1"/>
  <c r="F218" i="4" s="1"/>
  <c r="F219" i="4" s="1"/>
  <c r="F220" i="4" s="1"/>
  <c r="F221" i="4" s="1"/>
  <c r="F222" i="4" s="1"/>
  <c r="F223" i="4" s="1"/>
  <c r="F224" i="4" s="1"/>
  <c r="F225" i="4" s="1"/>
  <c r="F226" i="4" s="1"/>
  <c r="F227" i="4" s="1"/>
  <c r="F228" i="4" s="1"/>
  <c r="F229" i="4" s="1"/>
  <c r="F230" i="4" s="1"/>
  <c r="F231" i="4" s="1"/>
  <c r="F232" i="4" s="1"/>
  <c r="F233" i="4" s="1"/>
  <c r="F234" i="4" s="1"/>
  <c r="F235" i="4" s="1"/>
  <c r="F236" i="4" s="1"/>
  <c r="F237" i="4" s="1"/>
  <c r="F238" i="4" s="1"/>
  <c r="F239" i="4" s="1"/>
  <c r="F240" i="4" s="1"/>
  <c r="F241" i="4" s="1"/>
  <c r="F242" i="4" s="1"/>
  <c r="F243" i="4" s="1"/>
  <c r="F244" i="4" s="1"/>
  <c r="F245" i="4" s="1"/>
  <c r="F246" i="4" s="1"/>
  <c r="F247" i="4" s="1"/>
  <c r="F248" i="4" s="1"/>
  <c r="F249" i="4" s="1"/>
  <c r="F250" i="4" s="1"/>
  <c r="F251" i="4" s="1"/>
  <c r="F252" i="4" s="1"/>
  <c r="F253" i="4" s="1"/>
  <c r="F254" i="4" s="1"/>
  <c r="F255" i="4" s="1"/>
  <c r="F256" i="4" s="1"/>
  <c r="F257" i="4" s="1"/>
  <c r="F258" i="4" s="1"/>
  <c r="F259" i="4" s="1"/>
  <c r="F260" i="4" s="1"/>
  <c r="F261" i="4" s="1"/>
  <c r="F262" i="4" s="1"/>
  <c r="F263" i="4" s="1"/>
  <c r="F264" i="4" s="1"/>
  <c r="F265" i="4" s="1"/>
  <c r="F266" i="4" s="1"/>
  <c r="F267" i="4" s="1"/>
  <c r="F268" i="4" s="1"/>
  <c r="F269" i="4" s="1"/>
  <c r="F270" i="4" s="1"/>
  <c r="F271" i="4" s="1"/>
  <c r="F272" i="4" s="1"/>
  <c r="F273" i="4" s="1"/>
  <c r="F274" i="4" s="1"/>
  <c r="F275" i="4" s="1"/>
  <c r="F276" i="4" s="1"/>
  <c r="F277" i="4" s="1"/>
  <c r="F278" i="4" s="1"/>
  <c r="F279" i="4" s="1"/>
  <c r="F280" i="4" s="1"/>
  <c r="F281" i="4" s="1"/>
  <c r="F282" i="4" s="1"/>
  <c r="F283" i="4" s="1"/>
  <c r="F284" i="4" s="1"/>
  <c r="F285" i="4" s="1"/>
  <c r="F286" i="4" s="1"/>
  <c r="F287" i="4" s="1"/>
  <c r="F288" i="4" s="1"/>
  <c r="F289" i="4" s="1"/>
  <c r="F290" i="4" s="1"/>
  <c r="F291" i="4" s="1"/>
  <c r="F292" i="4" s="1"/>
  <c r="F293" i="4" s="1"/>
  <c r="F294" i="4" s="1"/>
  <c r="F295" i="4" s="1"/>
  <c r="F296" i="4" s="1"/>
  <c r="F297" i="4" s="1"/>
  <c r="F298" i="4" s="1"/>
  <c r="F299" i="4" s="1"/>
  <c r="F300" i="4" s="1"/>
  <c r="F301" i="4" s="1"/>
  <c r="F302" i="4" s="1"/>
  <c r="F303" i="4" s="1"/>
  <c r="F304" i="4" s="1"/>
  <c r="F305" i="4" s="1"/>
  <c r="F306" i="4" s="1"/>
  <c r="F307" i="4" s="1"/>
  <c r="F308" i="4" s="1"/>
  <c r="F309" i="4" s="1"/>
  <c r="F310" i="4" s="1"/>
  <c r="F311" i="4" s="1"/>
  <c r="F312" i="4" s="1"/>
  <c r="F313" i="4" s="1"/>
  <c r="F314" i="4" s="1"/>
  <c r="F315" i="4" s="1"/>
  <c r="F316" i="4" s="1"/>
  <c r="F317" i="4" s="1"/>
  <c r="F318" i="4" s="1"/>
  <c r="F319" i="4" s="1"/>
  <c r="F320" i="4" s="1"/>
  <c r="F321" i="4" s="1"/>
  <c r="F322" i="4" s="1"/>
  <c r="F323" i="4" s="1"/>
  <c r="F324" i="4" s="1"/>
  <c r="F325" i="4" s="1"/>
  <c r="F326" i="4" s="1"/>
  <c r="F327" i="4" s="1"/>
  <c r="F328" i="4" s="1"/>
  <c r="F329" i="4" s="1"/>
  <c r="F330" i="4" s="1"/>
  <c r="F331" i="4" s="1"/>
  <c r="F332" i="4" s="1"/>
  <c r="F333" i="4" s="1"/>
  <c r="F334" i="4" s="1"/>
  <c r="F335" i="4" s="1"/>
  <c r="F336" i="4" s="1"/>
  <c r="F337" i="4" s="1"/>
  <c r="F338" i="4" s="1"/>
  <c r="F339" i="4" s="1"/>
  <c r="F340" i="4" s="1"/>
  <c r="F341" i="4" s="1"/>
  <c r="F342" i="4" s="1"/>
  <c r="F343" i="4" s="1"/>
  <c r="F344" i="4" s="1"/>
  <c r="F345" i="4" s="1"/>
  <c r="F346" i="4" s="1"/>
  <c r="F347" i="4" s="1"/>
  <c r="F348" i="4" s="1"/>
  <c r="F349" i="4" s="1"/>
  <c r="F350" i="4" s="1"/>
  <c r="F351" i="4" s="1"/>
  <c r="F352" i="4" s="1"/>
  <c r="F353" i="4" s="1"/>
  <c r="F354" i="4" s="1"/>
  <c r="F355" i="4" s="1"/>
  <c r="F356" i="4" s="1"/>
  <c r="F357" i="4" s="1"/>
  <c r="F358" i="4" s="1"/>
  <c r="F359" i="4" s="1"/>
  <c r="F360" i="4" s="1"/>
  <c r="F361" i="4" s="1"/>
  <c r="F362" i="4" s="1"/>
  <c r="F363" i="4" s="1"/>
  <c r="F364" i="4" s="1"/>
  <c r="F365" i="4" s="1"/>
  <c r="F366" i="4" s="1"/>
  <c r="F367" i="4" s="1"/>
  <c r="F368" i="4" s="1"/>
  <c r="F369" i="4" s="1"/>
  <c r="F370" i="4" s="1"/>
  <c r="F371" i="4" s="1"/>
  <c r="F372" i="4" s="1"/>
  <c r="F373" i="4" s="1"/>
  <c r="F374" i="4" s="1"/>
  <c r="F375" i="4" s="1"/>
  <c r="F376" i="4" s="1"/>
  <c r="F377" i="4" s="1"/>
  <c r="F378" i="4" s="1"/>
  <c r="F379" i="4" s="1"/>
  <c r="F380" i="4" s="1"/>
  <c r="F381" i="4" s="1"/>
  <c r="F382" i="4" s="1"/>
  <c r="F383" i="4" s="1"/>
  <c r="F384" i="4" s="1"/>
  <c r="F385" i="4" s="1"/>
  <c r="F386" i="4" s="1"/>
  <c r="F387" i="4" s="1"/>
  <c r="E4" i="4"/>
  <c r="E5" i="4" s="1"/>
  <c r="E6" i="4" s="1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E101" i="4" s="1"/>
  <c r="E102" i="4" s="1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E114" i="4" s="1"/>
  <c r="E115" i="4" s="1"/>
  <c r="E116" i="4" s="1"/>
  <c r="E117" i="4" s="1"/>
  <c r="E118" i="4" s="1"/>
  <c r="E119" i="4" s="1"/>
  <c r="E120" i="4" s="1"/>
  <c r="E121" i="4" s="1"/>
  <c r="E122" i="4" s="1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E161" i="4" s="1"/>
  <c r="E162" i="4" s="1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E175" i="4" s="1"/>
  <c r="E176" i="4" s="1"/>
  <c r="E177" i="4" s="1"/>
  <c r="E178" i="4" s="1"/>
  <c r="E179" i="4" s="1"/>
  <c r="E180" i="4" s="1"/>
  <c r="E181" i="4" s="1"/>
  <c r="E182" i="4" s="1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E201" i="4" s="1"/>
  <c r="E202" i="4" s="1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E221" i="4" s="1"/>
  <c r="E222" i="4" s="1"/>
  <c r="E223" i="4" s="1"/>
  <c r="E224" i="4" s="1"/>
  <c r="E225" i="4" s="1"/>
  <c r="E226" i="4" s="1"/>
  <c r="E227" i="4" s="1"/>
  <c r="E228" i="4" s="1"/>
  <c r="E229" i="4" s="1"/>
  <c r="E230" i="4" s="1"/>
  <c r="E231" i="4" s="1"/>
  <c r="E232" i="4" s="1"/>
  <c r="E233" i="4" s="1"/>
  <c r="E234" i="4" s="1"/>
  <c r="E235" i="4" s="1"/>
  <c r="E236" i="4" s="1"/>
  <c r="E237" i="4" s="1"/>
  <c r="E238" i="4" s="1"/>
  <c r="E239" i="4" s="1"/>
  <c r="E240" i="4" s="1"/>
  <c r="E241" i="4" s="1"/>
  <c r="E242" i="4" s="1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E281" i="4" s="1"/>
  <c r="E282" i="4" s="1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E301" i="4" s="1"/>
  <c r="E302" i="4" s="1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E321" i="4" s="1"/>
  <c r="E322" i="4" s="1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E341" i="4" s="1"/>
  <c r="E342" i="4" s="1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E361" i="4" s="1"/>
  <c r="E362" i="4" s="1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E381" i="4" s="1"/>
  <c r="E382" i="4" s="1"/>
  <c r="E383" i="4" s="1"/>
  <c r="E384" i="4" s="1"/>
  <c r="E385" i="4" s="1"/>
  <c r="E386" i="4" s="1"/>
  <c r="E387" i="4" s="1"/>
  <c r="U3" i="4"/>
  <c r="T3" i="4"/>
  <c r="D379" i="4"/>
  <c r="D380" i="4" s="1"/>
  <c r="D381" i="4" s="1"/>
  <c r="D382" i="4" s="1"/>
  <c r="D383" i="4" s="1"/>
  <c r="D384" i="4" s="1"/>
  <c r="D385" i="4" s="1"/>
  <c r="D386" i="4" s="1"/>
  <c r="D387" i="4" s="1"/>
  <c r="D367" i="4"/>
  <c r="D368" i="4" s="1"/>
  <c r="D369" i="4" s="1"/>
  <c r="D370" i="4" s="1"/>
  <c r="D371" i="4" s="1"/>
  <c r="D372" i="4" s="1"/>
  <c r="D373" i="4" s="1"/>
  <c r="D374" i="4" s="1"/>
  <c r="D375" i="4" s="1"/>
  <c r="D355" i="4"/>
  <c r="D356" i="4" s="1"/>
  <c r="D357" i="4" s="1"/>
  <c r="D358" i="4" s="1"/>
  <c r="D359" i="4" s="1"/>
  <c r="D360" i="4" s="1"/>
  <c r="D361" i="4" s="1"/>
  <c r="D362" i="4" s="1"/>
  <c r="D363" i="4" s="1"/>
  <c r="D343" i="4"/>
  <c r="D344" i="4" s="1"/>
  <c r="D345" i="4" s="1"/>
  <c r="D346" i="4" s="1"/>
  <c r="D347" i="4" s="1"/>
  <c r="D348" i="4" s="1"/>
  <c r="D349" i="4" s="1"/>
  <c r="D350" i="4" s="1"/>
  <c r="D351" i="4" s="1"/>
  <c r="D331" i="4"/>
  <c r="D332" i="4" s="1"/>
  <c r="D333" i="4" s="1"/>
  <c r="D334" i="4" s="1"/>
  <c r="D335" i="4" s="1"/>
  <c r="D336" i="4" s="1"/>
  <c r="D337" i="4" s="1"/>
  <c r="D338" i="4" s="1"/>
  <c r="D339" i="4" s="1"/>
  <c r="D319" i="4"/>
  <c r="D320" i="4" s="1"/>
  <c r="D321" i="4" s="1"/>
  <c r="D322" i="4" s="1"/>
  <c r="D323" i="4" s="1"/>
  <c r="D324" i="4" s="1"/>
  <c r="D325" i="4" s="1"/>
  <c r="D326" i="4" s="1"/>
  <c r="D327" i="4" s="1"/>
  <c r="D307" i="4"/>
  <c r="D308" i="4" s="1"/>
  <c r="D309" i="4" s="1"/>
  <c r="D310" i="4" s="1"/>
  <c r="D311" i="4" s="1"/>
  <c r="D312" i="4" s="1"/>
  <c r="D313" i="4" s="1"/>
  <c r="D314" i="4" s="1"/>
  <c r="D315" i="4" s="1"/>
  <c r="D295" i="4"/>
  <c r="D296" i="4" s="1"/>
  <c r="D297" i="4" s="1"/>
  <c r="D298" i="4" s="1"/>
  <c r="D299" i="4" s="1"/>
  <c r="D300" i="4" s="1"/>
  <c r="D301" i="4" s="1"/>
  <c r="D302" i="4" s="1"/>
  <c r="D303" i="4" s="1"/>
  <c r="D283" i="4"/>
  <c r="D284" i="4" s="1"/>
  <c r="D285" i="4" s="1"/>
  <c r="D286" i="4" s="1"/>
  <c r="D287" i="4" s="1"/>
  <c r="D288" i="4" s="1"/>
  <c r="D289" i="4" s="1"/>
  <c r="D290" i="4" s="1"/>
  <c r="D291" i="4" s="1"/>
  <c r="D271" i="4"/>
  <c r="D272" i="4" s="1"/>
  <c r="D273" i="4" s="1"/>
  <c r="D274" i="4" s="1"/>
  <c r="D275" i="4" s="1"/>
  <c r="D276" i="4" s="1"/>
  <c r="D277" i="4" s="1"/>
  <c r="D278" i="4" s="1"/>
  <c r="D279" i="4" s="1"/>
  <c r="D259" i="4"/>
  <c r="D260" i="4" s="1"/>
  <c r="D261" i="4" s="1"/>
  <c r="D262" i="4" s="1"/>
  <c r="D263" i="4" s="1"/>
  <c r="D264" i="4" s="1"/>
  <c r="D265" i="4" s="1"/>
  <c r="D266" i="4" s="1"/>
  <c r="D267" i="4" s="1"/>
  <c r="D247" i="4"/>
  <c r="D248" i="4" s="1"/>
  <c r="D249" i="4" s="1"/>
  <c r="D250" i="4" s="1"/>
  <c r="D251" i="4" s="1"/>
  <c r="D252" i="4" s="1"/>
  <c r="D253" i="4" s="1"/>
  <c r="D254" i="4" s="1"/>
  <c r="D255" i="4" s="1"/>
  <c r="D235" i="4"/>
  <c r="D236" i="4" s="1"/>
  <c r="D237" i="4" s="1"/>
  <c r="D238" i="4" s="1"/>
  <c r="D239" i="4" s="1"/>
  <c r="D240" i="4" s="1"/>
  <c r="D241" i="4" s="1"/>
  <c r="D242" i="4" s="1"/>
  <c r="D243" i="4" s="1"/>
  <c r="D223" i="4"/>
  <c r="D224" i="4" s="1"/>
  <c r="D225" i="4" s="1"/>
  <c r="D226" i="4" s="1"/>
  <c r="D227" i="4" s="1"/>
  <c r="D228" i="4" s="1"/>
  <c r="D229" i="4" s="1"/>
  <c r="D230" i="4" s="1"/>
  <c r="D231" i="4" s="1"/>
  <c r="D211" i="4"/>
  <c r="D212" i="4" s="1"/>
  <c r="D213" i="4" s="1"/>
  <c r="D214" i="4" s="1"/>
  <c r="D215" i="4" s="1"/>
  <c r="D216" i="4" s="1"/>
  <c r="D217" i="4" s="1"/>
  <c r="D218" i="4" s="1"/>
  <c r="D219" i="4" s="1"/>
  <c r="D199" i="4"/>
  <c r="D200" i="4" s="1"/>
  <c r="D201" i="4" s="1"/>
  <c r="D202" i="4" s="1"/>
  <c r="D203" i="4" s="1"/>
  <c r="D204" i="4" s="1"/>
  <c r="D205" i="4" s="1"/>
  <c r="D206" i="4" s="1"/>
  <c r="D207" i="4" s="1"/>
  <c r="D188" i="4"/>
  <c r="D189" i="4" s="1"/>
  <c r="D190" i="4" s="1"/>
  <c r="D191" i="4" s="1"/>
  <c r="D192" i="4" s="1"/>
  <c r="D193" i="4" s="1"/>
  <c r="D194" i="4" s="1"/>
  <c r="D195" i="4" s="1"/>
  <c r="D187" i="4"/>
  <c r="D175" i="4"/>
  <c r="D176" i="4" s="1"/>
  <c r="D177" i="4" s="1"/>
  <c r="D178" i="4" s="1"/>
  <c r="D179" i="4" s="1"/>
  <c r="D180" i="4" s="1"/>
  <c r="D181" i="4" s="1"/>
  <c r="D182" i="4" s="1"/>
  <c r="D183" i="4" s="1"/>
  <c r="D164" i="4"/>
  <c r="D165" i="4" s="1"/>
  <c r="D166" i="4" s="1"/>
  <c r="D167" i="4" s="1"/>
  <c r="D168" i="4" s="1"/>
  <c r="D169" i="4" s="1"/>
  <c r="D170" i="4" s="1"/>
  <c r="D171" i="4" s="1"/>
  <c r="D163" i="4"/>
  <c r="D151" i="4"/>
  <c r="D152" i="4" s="1"/>
  <c r="D153" i="4" s="1"/>
  <c r="D154" i="4" s="1"/>
  <c r="D155" i="4" s="1"/>
  <c r="D156" i="4" s="1"/>
  <c r="D157" i="4" s="1"/>
  <c r="D158" i="4" s="1"/>
  <c r="D159" i="4" s="1"/>
  <c r="D139" i="4"/>
  <c r="D140" i="4" s="1"/>
  <c r="D141" i="4" s="1"/>
  <c r="D142" i="4" s="1"/>
  <c r="D143" i="4" s="1"/>
  <c r="D144" i="4" s="1"/>
  <c r="D145" i="4" s="1"/>
  <c r="D146" i="4" s="1"/>
  <c r="D147" i="4" s="1"/>
  <c r="D127" i="4"/>
  <c r="D128" i="4" s="1"/>
  <c r="D129" i="4" s="1"/>
  <c r="D130" i="4" s="1"/>
  <c r="D131" i="4" s="1"/>
  <c r="D132" i="4" s="1"/>
  <c r="D133" i="4" s="1"/>
  <c r="D134" i="4" s="1"/>
  <c r="D135" i="4" s="1"/>
  <c r="D115" i="4"/>
  <c r="D116" i="4" s="1"/>
  <c r="D117" i="4" s="1"/>
  <c r="D118" i="4" s="1"/>
  <c r="D119" i="4" s="1"/>
  <c r="D120" i="4" s="1"/>
  <c r="D121" i="4" s="1"/>
  <c r="D122" i="4" s="1"/>
  <c r="D123" i="4" s="1"/>
  <c r="D103" i="4"/>
  <c r="D104" i="4" s="1"/>
  <c r="D105" i="4" s="1"/>
  <c r="D106" i="4" s="1"/>
  <c r="D107" i="4" s="1"/>
  <c r="D108" i="4" s="1"/>
  <c r="D109" i="4" s="1"/>
  <c r="D110" i="4" s="1"/>
  <c r="D111" i="4" s="1"/>
  <c r="D92" i="4"/>
  <c r="D93" i="4" s="1"/>
  <c r="D94" i="4" s="1"/>
  <c r="D95" i="4" s="1"/>
  <c r="D96" i="4" s="1"/>
  <c r="D97" i="4" s="1"/>
  <c r="D98" i="4" s="1"/>
  <c r="D99" i="4" s="1"/>
  <c r="D91" i="4"/>
  <c r="D80" i="4"/>
  <c r="D81" i="4" s="1"/>
  <c r="D82" i="4" s="1"/>
  <c r="D83" i="4" s="1"/>
  <c r="D84" i="4" s="1"/>
  <c r="D85" i="4" s="1"/>
  <c r="D86" i="4" s="1"/>
  <c r="D87" i="4" s="1"/>
  <c r="D79" i="4"/>
  <c r="D67" i="4"/>
  <c r="D68" i="4" s="1"/>
  <c r="D69" i="4" s="1"/>
  <c r="D70" i="4" s="1"/>
  <c r="D71" i="4" s="1"/>
  <c r="D72" i="4" s="1"/>
  <c r="D73" i="4" s="1"/>
  <c r="D74" i="4" s="1"/>
  <c r="D75" i="4" s="1"/>
  <c r="D55" i="4"/>
  <c r="D56" i="4" s="1"/>
  <c r="D57" i="4" s="1"/>
  <c r="D58" i="4" s="1"/>
  <c r="D59" i="4" s="1"/>
  <c r="D60" i="4" s="1"/>
  <c r="D61" i="4" s="1"/>
  <c r="D62" i="4" s="1"/>
  <c r="D63" i="4" s="1"/>
  <c r="D43" i="4"/>
  <c r="D44" i="4" s="1"/>
  <c r="D45" i="4" s="1"/>
  <c r="D46" i="4" s="1"/>
  <c r="D47" i="4" s="1"/>
  <c r="D48" i="4" s="1"/>
  <c r="D49" i="4" s="1"/>
  <c r="D50" i="4" s="1"/>
  <c r="D51" i="4" s="1"/>
  <c r="D31" i="4"/>
  <c r="D32" i="4" s="1"/>
  <c r="D33" i="4" s="1"/>
  <c r="D34" i="4" s="1"/>
  <c r="D35" i="4" s="1"/>
  <c r="D36" i="4" s="1"/>
  <c r="D37" i="4" s="1"/>
  <c r="D38" i="4" s="1"/>
  <c r="D39" i="4" s="1"/>
  <c r="D20" i="4"/>
  <c r="D21" i="4" s="1"/>
  <c r="D22" i="4" s="1"/>
  <c r="D23" i="4" s="1"/>
  <c r="D24" i="4" s="1"/>
  <c r="D25" i="4" s="1"/>
  <c r="D26" i="4" s="1"/>
  <c r="D27" i="4" s="1"/>
  <c r="D19" i="4"/>
  <c r="D8" i="4"/>
  <c r="D9" i="4" s="1"/>
  <c r="D10" i="4" s="1"/>
  <c r="D11" i="4" s="1"/>
  <c r="D12" i="4" s="1"/>
  <c r="D13" i="4" s="1"/>
  <c r="D14" i="4" s="1"/>
  <c r="D15" i="4" s="1"/>
  <c r="D7" i="4"/>
  <c r="C4" i="4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C288" i="4" s="1"/>
  <c r="C289" i="4" s="1"/>
  <c r="C290" i="4" s="1"/>
  <c r="C291" i="4" s="1"/>
  <c r="C292" i="4" s="1"/>
  <c r="C293" i="4" s="1"/>
  <c r="C294" i="4" s="1"/>
  <c r="C295" i="4" s="1"/>
  <c r="C296" i="4" s="1"/>
  <c r="C297" i="4" s="1"/>
  <c r="C298" i="4" s="1"/>
  <c r="C299" i="4" s="1"/>
  <c r="C300" i="4" s="1"/>
  <c r="C301" i="4" s="1"/>
  <c r="C302" i="4" s="1"/>
  <c r="C303" i="4" s="1"/>
  <c r="C304" i="4" s="1"/>
  <c r="C305" i="4" s="1"/>
  <c r="C306" i="4" s="1"/>
  <c r="C307" i="4" s="1"/>
  <c r="C308" i="4" s="1"/>
  <c r="C309" i="4" s="1"/>
  <c r="C310" i="4" s="1"/>
  <c r="C311" i="4" s="1"/>
  <c r="C312" i="4" s="1"/>
  <c r="C313" i="4" s="1"/>
  <c r="C314" i="4" s="1"/>
  <c r="C315" i="4" s="1"/>
  <c r="C316" i="4" s="1"/>
  <c r="C317" i="4" s="1"/>
  <c r="C318" i="4" s="1"/>
  <c r="C319" i="4" s="1"/>
  <c r="C320" i="4" s="1"/>
  <c r="C321" i="4" s="1"/>
  <c r="C322" i="4" s="1"/>
  <c r="C323" i="4" s="1"/>
  <c r="C324" i="4" s="1"/>
  <c r="C325" i="4" s="1"/>
  <c r="C326" i="4" s="1"/>
  <c r="C327" i="4" s="1"/>
  <c r="C328" i="4" s="1"/>
  <c r="C329" i="4" s="1"/>
  <c r="C330" i="4" s="1"/>
  <c r="C331" i="4" s="1"/>
  <c r="C332" i="4" s="1"/>
  <c r="C333" i="4" s="1"/>
  <c r="C334" i="4" s="1"/>
  <c r="C335" i="4" s="1"/>
  <c r="C336" i="4" s="1"/>
  <c r="C337" i="4" s="1"/>
  <c r="C338" i="4" s="1"/>
  <c r="C339" i="4" s="1"/>
  <c r="C340" i="4" s="1"/>
  <c r="C341" i="4" s="1"/>
  <c r="C342" i="4" s="1"/>
  <c r="C343" i="4" s="1"/>
  <c r="C344" i="4" s="1"/>
  <c r="C345" i="4" s="1"/>
  <c r="C346" i="4" s="1"/>
  <c r="C347" i="4" s="1"/>
  <c r="C348" i="4" s="1"/>
  <c r="C349" i="4" s="1"/>
  <c r="C350" i="4" s="1"/>
  <c r="C351" i="4" s="1"/>
  <c r="C352" i="4" s="1"/>
  <c r="C353" i="4" s="1"/>
  <c r="C354" i="4" s="1"/>
  <c r="C355" i="4" s="1"/>
  <c r="C356" i="4" s="1"/>
  <c r="C357" i="4" s="1"/>
  <c r="C358" i="4" s="1"/>
  <c r="C359" i="4" s="1"/>
  <c r="C360" i="4" s="1"/>
  <c r="C361" i="4" s="1"/>
  <c r="C362" i="4" s="1"/>
  <c r="C363" i="4" s="1"/>
  <c r="C364" i="4" s="1"/>
  <c r="C365" i="4" s="1"/>
  <c r="C366" i="4" s="1"/>
  <c r="C367" i="4" s="1"/>
  <c r="C368" i="4" s="1"/>
  <c r="C369" i="4" s="1"/>
  <c r="C370" i="4" s="1"/>
  <c r="C371" i="4" s="1"/>
  <c r="C372" i="4" s="1"/>
  <c r="C373" i="4" s="1"/>
  <c r="C374" i="4" s="1"/>
  <c r="C375" i="4" s="1"/>
  <c r="C376" i="4" s="1"/>
  <c r="C377" i="4" s="1"/>
  <c r="C378" i="4" s="1"/>
  <c r="C379" i="4" s="1"/>
  <c r="C380" i="4" s="1"/>
  <c r="C381" i="4" s="1"/>
  <c r="C382" i="4" s="1"/>
  <c r="C383" i="4" s="1"/>
  <c r="C384" i="4" s="1"/>
  <c r="C385" i="4" s="1"/>
  <c r="C386" i="4" s="1"/>
  <c r="C387" i="4" s="1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B184" i="4" s="1"/>
  <c r="B185" i="4" s="1"/>
  <c r="B186" i="4" s="1"/>
  <c r="B187" i="4" s="1"/>
  <c r="B188" i="4" s="1"/>
  <c r="B189" i="4" s="1"/>
  <c r="B190" i="4" s="1"/>
  <c r="B191" i="4" s="1"/>
  <c r="B192" i="4" s="1"/>
  <c r="B193" i="4" s="1"/>
  <c r="B194" i="4" s="1"/>
  <c r="B195" i="4" s="1"/>
  <c r="B196" i="4" s="1"/>
  <c r="B197" i="4" s="1"/>
  <c r="B198" i="4" s="1"/>
  <c r="B199" i="4" s="1"/>
  <c r="B200" i="4" s="1"/>
  <c r="B201" i="4" s="1"/>
  <c r="B202" i="4" s="1"/>
  <c r="B203" i="4" s="1"/>
  <c r="B204" i="4" s="1"/>
  <c r="B205" i="4" s="1"/>
  <c r="B206" i="4" s="1"/>
  <c r="B207" i="4" s="1"/>
  <c r="B208" i="4" s="1"/>
  <c r="B209" i="4" s="1"/>
  <c r="B210" i="4" s="1"/>
  <c r="B211" i="4" s="1"/>
  <c r="B212" i="4" s="1"/>
  <c r="B213" i="4" s="1"/>
  <c r="B214" i="4" s="1"/>
  <c r="B215" i="4" s="1"/>
  <c r="B216" i="4" s="1"/>
  <c r="B217" i="4" s="1"/>
  <c r="B218" i="4" s="1"/>
  <c r="B219" i="4" s="1"/>
  <c r="B220" i="4" s="1"/>
  <c r="B221" i="4" s="1"/>
  <c r="B222" i="4" s="1"/>
  <c r="B223" i="4" s="1"/>
  <c r="B224" i="4" s="1"/>
  <c r="B225" i="4" s="1"/>
  <c r="B226" i="4" s="1"/>
  <c r="B227" i="4" s="1"/>
  <c r="B228" i="4" s="1"/>
  <c r="B229" i="4" s="1"/>
  <c r="B230" i="4" s="1"/>
  <c r="B231" i="4" s="1"/>
  <c r="B232" i="4" s="1"/>
  <c r="B233" i="4" s="1"/>
  <c r="B234" i="4" s="1"/>
  <c r="B235" i="4" s="1"/>
  <c r="B236" i="4" s="1"/>
  <c r="B237" i="4" s="1"/>
  <c r="B238" i="4" s="1"/>
  <c r="B239" i="4" s="1"/>
  <c r="B240" i="4" s="1"/>
  <c r="B241" i="4" s="1"/>
  <c r="B242" i="4" s="1"/>
  <c r="B243" i="4" s="1"/>
  <c r="B244" i="4" s="1"/>
  <c r="B245" i="4" s="1"/>
  <c r="B246" i="4" s="1"/>
  <c r="B247" i="4" s="1"/>
  <c r="B248" i="4" s="1"/>
  <c r="B249" i="4" s="1"/>
  <c r="B250" i="4" s="1"/>
  <c r="B251" i="4" s="1"/>
  <c r="B252" i="4" s="1"/>
  <c r="B253" i="4" s="1"/>
  <c r="B254" i="4" s="1"/>
  <c r="B255" i="4" s="1"/>
  <c r="B256" i="4" s="1"/>
  <c r="B257" i="4" s="1"/>
  <c r="B258" i="4" s="1"/>
  <c r="B259" i="4" s="1"/>
  <c r="B260" i="4" s="1"/>
  <c r="B261" i="4" s="1"/>
  <c r="B262" i="4" s="1"/>
  <c r="B263" i="4" s="1"/>
  <c r="B264" i="4" s="1"/>
  <c r="B265" i="4" s="1"/>
  <c r="B266" i="4" s="1"/>
  <c r="B267" i="4" s="1"/>
  <c r="B268" i="4" s="1"/>
  <c r="B269" i="4" s="1"/>
  <c r="B270" i="4" s="1"/>
  <c r="B271" i="4" s="1"/>
  <c r="B272" i="4" s="1"/>
  <c r="B273" i="4" s="1"/>
  <c r="B274" i="4" s="1"/>
  <c r="B275" i="4" s="1"/>
  <c r="B276" i="4" s="1"/>
  <c r="B277" i="4" s="1"/>
  <c r="B278" i="4" s="1"/>
  <c r="B279" i="4" s="1"/>
  <c r="B280" i="4" s="1"/>
  <c r="B281" i="4" s="1"/>
  <c r="B282" i="4" s="1"/>
  <c r="B283" i="4" s="1"/>
  <c r="B284" i="4" s="1"/>
  <c r="B285" i="4" s="1"/>
  <c r="B286" i="4" s="1"/>
  <c r="B287" i="4" s="1"/>
  <c r="B288" i="4" s="1"/>
  <c r="B289" i="4" s="1"/>
  <c r="B290" i="4" s="1"/>
  <c r="B291" i="4" s="1"/>
  <c r="B292" i="4" s="1"/>
  <c r="B293" i="4" s="1"/>
  <c r="B294" i="4" s="1"/>
  <c r="B295" i="4" s="1"/>
  <c r="B296" i="4" s="1"/>
  <c r="B297" i="4" s="1"/>
  <c r="B298" i="4" s="1"/>
  <c r="B299" i="4" s="1"/>
  <c r="B300" i="4" s="1"/>
  <c r="B301" i="4" s="1"/>
  <c r="B302" i="4" s="1"/>
  <c r="B303" i="4" s="1"/>
  <c r="B304" i="4" s="1"/>
  <c r="B305" i="4" s="1"/>
  <c r="B306" i="4" s="1"/>
  <c r="B307" i="4" s="1"/>
  <c r="B308" i="4" s="1"/>
  <c r="B309" i="4" s="1"/>
  <c r="B310" i="4" s="1"/>
  <c r="B311" i="4" s="1"/>
  <c r="B312" i="4" s="1"/>
  <c r="B313" i="4" s="1"/>
  <c r="B314" i="4" s="1"/>
  <c r="B315" i="4" s="1"/>
  <c r="B316" i="4" s="1"/>
  <c r="B317" i="4" s="1"/>
  <c r="B318" i="4" s="1"/>
  <c r="B319" i="4" s="1"/>
  <c r="B320" i="4" s="1"/>
  <c r="B321" i="4" s="1"/>
  <c r="B322" i="4" s="1"/>
  <c r="B323" i="4" s="1"/>
  <c r="B324" i="4" s="1"/>
  <c r="B325" i="4" s="1"/>
  <c r="B326" i="4" s="1"/>
  <c r="B327" i="4" s="1"/>
  <c r="B328" i="4" s="1"/>
  <c r="B329" i="4" s="1"/>
  <c r="B330" i="4" s="1"/>
  <c r="B331" i="4" s="1"/>
  <c r="B332" i="4" s="1"/>
  <c r="B333" i="4" s="1"/>
  <c r="B334" i="4" s="1"/>
  <c r="B335" i="4" s="1"/>
  <c r="B336" i="4" s="1"/>
  <c r="B337" i="4" s="1"/>
  <c r="B338" i="4" s="1"/>
  <c r="B339" i="4" s="1"/>
  <c r="B340" i="4" s="1"/>
  <c r="B341" i="4" s="1"/>
  <c r="B342" i="4" s="1"/>
  <c r="B343" i="4" s="1"/>
  <c r="B344" i="4" s="1"/>
  <c r="B345" i="4" s="1"/>
  <c r="B346" i="4" s="1"/>
  <c r="B347" i="4" s="1"/>
  <c r="B348" i="4" s="1"/>
  <c r="B349" i="4" s="1"/>
  <c r="B350" i="4" s="1"/>
  <c r="B351" i="4" s="1"/>
  <c r="B352" i="4" s="1"/>
  <c r="B353" i="4" s="1"/>
  <c r="B354" i="4" s="1"/>
  <c r="B355" i="4" s="1"/>
  <c r="B356" i="4" s="1"/>
  <c r="B357" i="4" s="1"/>
  <c r="B358" i="4" s="1"/>
  <c r="B359" i="4" s="1"/>
  <c r="B360" i="4" s="1"/>
  <c r="B361" i="4" s="1"/>
  <c r="B362" i="4" s="1"/>
  <c r="B363" i="4" s="1"/>
  <c r="B364" i="4" s="1"/>
  <c r="B365" i="4" s="1"/>
  <c r="B366" i="4" s="1"/>
  <c r="B367" i="4" s="1"/>
  <c r="B368" i="4" s="1"/>
  <c r="B369" i="4" s="1"/>
  <c r="B370" i="4" s="1"/>
  <c r="B371" i="4" s="1"/>
  <c r="B372" i="4" s="1"/>
  <c r="B373" i="4" s="1"/>
  <c r="B374" i="4" s="1"/>
  <c r="B375" i="4" s="1"/>
  <c r="B376" i="4" s="1"/>
  <c r="B377" i="4" s="1"/>
  <c r="B378" i="4" s="1"/>
  <c r="B379" i="4" s="1"/>
  <c r="B380" i="4" s="1"/>
  <c r="B381" i="4" s="1"/>
  <c r="B382" i="4" s="1"/>
  <c r="B383" i="4" s="1"/>
  <c r="B384" i="4" s="1"/>
  <c r="B385" i="4" s="1"/>
  <c r="B386" i="4" s="1"/>
  <c r="B387" i="4" s="1"/>
  <c r="D11" i="1"/>
  <c r="D4" i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S5" i="1" s="1"/>
  <c r="T5" i="1" s="1"/>
  <c r="U5" i="1" s="1"/>
  <c r="V5" i="1" s="1"/>
  <c r="W5" i="1" s="1"/>
  <c r="X5" i="1" s="1"/>
  <c r="X11" i="1" s="1"/>
  <c r="R4" i="4" l="1"/>
  <c r="R5" i="4" s="1"/>
  <c r="R6" i="4" s="1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R218" i="4" s="1"/>
  <c r="R219" i="4" s="1"/>
  <c r="R220" i="4" s="1"/>
  <c r="R221" i="4" s="1"/>
  <c r="R222" i="4" s="1"/>
  <c r="R223" i="4" s="1"/>
  <c r="R224" i="4" s="1"/>
  <c r="R225" i="4" s="1"/>
  <c r="R226" i="4" s="1"/>
  <c r="R227" i="4" s="1"/>
  <c r="R228" i="4" s="1"/>
  <c r="R229" i="4" s="1"/>
  <c r="R230" i="4" s="1"/>
  <c r="R231" i="4" s="1"/>
  <c r="R232" i="4" s="1"/>
  <c r="R233" i="4" s="1"/>
  <c r="R234" i="4" s="1"/>
  <c r="R235" i="4" s="1"/>
  <c r="R236" i="4" s="1"/>
  <c r="R237" i="4" s="1"/>
  <c r="R238" i="4" s="1"/>
  <c r="R239" i="4" s="1"/>
  <c r="R240" i="4" s="1"/>
  <c r="R241" i="4" s="1"/>
  <c r="R242" i="4" s="1"/>
  <c r="R243" i="4" s="1"/>
  <c r="R244" i="4" s="1"/>
  <c r="R245" i="4" s="1"/>
  <c r="R246" i="4" s="1"/>
  <c r="R247" i="4" s="1"/>
  <c r="R248" i="4" s="1"/>
  <c r="R249" i="4" s="1"/>
  <c r="R250" i="4" s="1"/>
  <c r="R251" i="4" s="1"/>
  <c r="R252" i="4" s="1"/>
  <c r="R253" i="4" s="1"/>
  <c r="R254" i="4" s="1"/>
  <c r="R255" i="4" s="1"/>
  <c r="R256" i="4" s="1"/>
  <c r="R257" i="4" s="1"/>
  <c r="R258" i="4" s="1"/>
  <c r="R259" i="4" s="1"/>
  <c r="R260" i="4" s="1"/>
  <c r="R261" i="4" s="1"/>
  <c r="R262" i="4" s="1"/>
  <c r="R263" i="4" s="1"/>
  <c r="R264" i="4" s="1"/>
  <c r="R265" i="4" s="1"/>
  <c r="R266" i="4" s="1"/>
  <c r="R267" i="4" s="1"/>
  <c r="R268" i="4" s="1"/>
  <c r="R269" i="4" s="1"/>
  <c r="R270" i="4" s="1"/>
  <c r="R271" i="4" s="1"/>
  <c r="R272" i="4" s="1"/>
  <c r="R273" i="4" s="1"/>
  <c r="R274" i="4" s="1"/>
  <c r="R275" i="4" s="1"/>
  <c r="R276" i="4" s="1"/>
  <c r="R277" i="4" s="1"/>
  <c r="R278" i="4" s="1"/>
  <c r="R279" i="4" s="1"/>
  <c r="R280" i="4" s="1"/>
  <c r="R281" i="4" s="1"/>
  <c r="R282" i="4" s="1"/>
  <c r="R283" i="4" s="1"/>
  <c r="R284" i="4" s="1"/>
  <c r="R285" i="4" s="1"/>
  <c r="R286" i="4" s="1"/>
  <c r="R287" i="4" s="1"/>
  <c r="R288" i="4" s="1"/>
  <c r="R289" i="4" s="1"/>
  <c r="R290" i="4" s="1"/>
  <c r="R291" i="4" s="1"/>
  <c r="R292" i="4" s="1"/>
  <c r="R293" i="4" s="1"/>
  <c r="R294" i="4" s="1"/>
  <c r="R295" i="4" s="1"/>
  <c r="R296" i="4" s="1"/>
  <c r="R297" i="4" s="1"/>
  <c r="R298" i="4" s="1"/>
  <c r="R299" i="4" s="1"/>
  <c r="R300" i="4" s="1"/>
  <c r="R301" i="4" s="1"/>
  <c r="R302" i="4" s="1"/>
  <c r="R303" i="4" s="1"/>
  <c r="R304" i="4" s="1"/>
  <c r="R305" i="4" s="1"/>
  <c r="R306" i="4" s="1"/>
  <c r="R307" i="4" s="1"/>
  <c r="R308" i="4" s="1"/>
  <c r="R309" i="4" s="1"/>
  <c r="R310" i="4" s="1"/>
  <c r="R311" i="4" s="1"/>
  <c r="R312" i="4" s="1"/>
  <c r="R313" i="4" s="1"/>
  <c r="R314" i="4" s="1"/>
  <c r="R315" i="4" s="1"/>
  <c r="R316" i="4" s="1"/>
  <c r="R317" i="4" s="1"/>
  <c r="R318" i="4" s="1"/>
  <c r="R319" i="4" s="1"/>
  <c r="R320" i="4" s="1"/>
  <c r="R321" i="4" s="1"/>
  <c r="R322" i="4" s="1"/>
  <c r="R323" i="4" s="1"/>
  <c r="R324" i="4" s="1"/>
  <c r="R325" i="4" s="1"/>
  <c r="R326" i="4" s="1"/>
  <c r="R327" i="4" s="1"/>
  <c r="R328" i="4" s="1"/>
  <c r="R329" i="4" s="1"/>
  <c r="R330" i="4" s="1"/>
  <c r="R331" i="4" s="1"/>
  <c r="R332" i="4" s="1"/>
  <c r="R333" i="4" s="1"/>
  <c r="R334" i="4" s="1"/>
  <c r="R335" i="4" s="1"/>
  <c r="R336" i="4" s="1"/>
  <c r="R337" i="4" s="1"/>
  <c r="R338" i="4" s="1"/>
  <c r="R339" i="4" s="1"/>
  <c r="R340" i="4" s="1"/>
  <c r="R341" i="4" s="1"/>
  <c r="R342" i="4" s="1"/>
  <c r="R343" i="4" s="1"/>
  <c r="R344" i="4" s="1"/>
  <c r="R345" i="4" s="1"/>
  <c r="R346" i="4" s="1"/>
  <c r="R347" i="4" s="1"/>
  <c r="R348" i="4" s="1"/>
  <c r="R349" i="4" s="1"/>
  <c r="R350" i="4" s="1"/>
  <c r="R351" i="4" s="1"/>
  <c r="R352" i="4" s="1"/>
  <c r="R353" i="4" s="1"/>
  <c r="R354" i="4" s="1"/>
  <c r="R355" i="4" s="1"/>
  <c r="R356" i="4" s="1"/>
  <c r="R357" i="4" s="1"/>
  <c r="R358" i="4" s="1"/>
  <c r="R359" i="4" s="1"/>
  <c r="R360" i="4" s="1"/>
  <c r="R361" i="4" s="1"/>
  <c r="R362" i="4" s="1"/>
  <c r="R363" i="4" s="1"/>
  <c r="R364" i="4" s="1"/>
  <c r="R365" i="4" s="1"/>
  <c r="R366" i="4" s="1"/>
  <c r="R367" i="4" s="1"/>
  <c r="R368" i="4" s="1"/>
  <c r="R369" i="4" s="1"/>
  <c r="R370" i="4" s="1"/>
  <c r="R371" i="4" s="1"/>
  <c r="R372" i="4" s="1"/>
  <c r="R373" i="4" s="1"/>
  <c r="R374" i="4" s="1"/>
  <c r="R375" i="4" s="1"/>
  <c r="R376" i="4" s="1"/>
  <c r="R377" i="4" s="1"/>
  <c r="R378" i="4" s="1"/>
  <c r="R379" i="4" s="1"/>
  <c r="R380" i="4" s="1"/>
  <c r="R381" i="4" s="1"/>
  <c r="R382" i="4" s="1"/>
  <c r="R383" i="4" s="1"/>
  <c r="R384" i="4" s="1"/>
  <c r="R385" i="4" s="1"/>
  <c r="R386" i="4" s="1"/>
  <c r="R387" i="4" s="1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P218" i="4" s="1"/>
  <c r="P219" i="4" s="1"/>
  <c r="P220" i="4" s="1"/>
  <c r="P221" i="4" s="1"/>
  <c r="P222" i="4" s="1"/>
  <c r="P223" i="4" s="1"/>
  <c r="P224" i="4" s="1"/>
  <c r="P225" i="4" s="1"/>
  <c r="P226" i="4" s="1"/>
  <c r="P227" i="4" s="1"/>
  <c r="P228" i="4" s="1"/>
  <c r="P229" i="4" s="1"/>
  <c r="P230" i="4" s="1"/>
  <c r="P231" i="4" s="1"/>
  <c r="P232" i="4" s="1"/>
  <c r="P233" i="4" s="1"/>
  <c r="P234" i="4" s="1"/>
  <c r="P235" i="4" s="1"/>
  <c r="P236" i="4" s="1"/>
  <c r="P237" i="4" s="1"/>
  <c r="P238" i="4" s="1"/>
  <c r="P239" i="4" s="1"/>
  <c r="P240" i="4" s="1"/>
  <c r="P241" i="4" s="1"/>
  <c r="P242" i="4" s="1"/>
  <c r="P243" i="4" s="1"/>
  <c r="P244" i="4" s="1"/>
  <c r="P245" i="4" s="1"/>
  <c r="P246" i="4" s="1"/>
  <c r="P247" i="4" s="1"/>
  <c r="P248" i="4" s="1"/>
  <c r="P249" i="4" s="1"/>
  <c r="P250" i="4" s="1"/>
  <c r="P251" i="4" s="1"/>
  <c r="P252" i="4" s="1"/>
  <c r="P253" i="4" s="1"/>
  <c r="P254" i="4" s="1"/>
  <c r="P255" i="4" s="1"/>
  <c r="P256" i="4" s="1"/>
  <c r="P257" i="4" s="1"/>
  <c r="P258" i="4" s="1"/>
  <c r="P259" i="4" s="1"/>
  <c r="P260" i="4" s="1"/>
  <c r="P261" i="4" s="1"/>
  <c r="P262" i="4" s="1"/>
  <c r="P263" i="4" s="1"/>
  <c r="P264" i="4" s="1"/>
  <c r="P265" i="4" s="1"/>
  <c r="P266" i="4" s="1"/>
  <c r="P267" i="4" s="1"/>
  <c r="P268" i="4" s="1"/>
  <c r="P269" i="4" s="1"/>
  <c r="P270" i="4" s="1"/>
  <c r="P271" i="4" s="1"/>
  <c r="P272" i="4" s="1"/>
  <c r="P273" i="4" s="1"/>
  <c r="P274" i="4" s="1"/>
  <c r="P275" i="4" s="1"/>
  <c r="P276" i="4" s="1"/>
  <c r="P277" i="4" s="1"/>
  <c r="P278" i="4" s="1"/>
  <c r="P279" i="4" s="1"/>
  <c r="P280" i="4" s="1"/>
  <c r="P281" i="4" s="1"/>
  <c r="P282" i="4" s="1"/>
  <c r="P283" i="4" s="1"/>
  <c r="P284" i="4" s="1"/>
  <c r="P285" i="4" s="1"/>
  <c r="P286" i="4" s="1"/>
  <c r="P287" i="4" s="1"/>
  <c r="P288" i="4" s="1"/>
  <c r="P289" i="4" s="1"/>
  <c r="P290" i="4" s="1"/>
  <c r="P291" i="4" s="1"/>
  <c r="P292" i="4" s="1"/>
  <c r="P293" i="4" s="1"/>
  <c r="P294" i="4" s="1"/>
  <c r="P295" i="4" s="1"/>
  <c r="P296" i="4" s="1"/>
  <c r="P297" i="4" s="1"/>
  <c r="P298" i="4" s="1"/>
  <c r="P299" i="4" s="1"/>
  <c r="P300" i="4" s="1"/>
  <c r="P301" i="4" s="1"/>
  <c r="P302" i="4" s="1"/>
  <c r="P303" i="4" s="1"/>
  <c r="P304" i="4" s="1"/>
  <c r="P305" i="4" s="1"/>
  <c r="P306" i="4" s="1"/>
  <c r="P307" i="4" s="1"/>
  <c r="P308" i="4" s="1"/>
  <c r="P309" i="4" s="1"/>
  <c r="P310" i="4" s="1"/>
  <c r="P311" i="4" s="1"/>
  <c r="P312" i="4" s="1"/>
  <c r="P313" i="4" s="1"/>
  <c r="P314" i="4" s="1"/>
  <c r="P315" i="4" s="1"/>
  <c r="P316" i="4" s="1"/>
  <c r="P317" i="4" s="1"/>
  <c r="P318" i="4" s="1"/>
  <c r="P319" i="4" s="1"/>
  <c r="P320" i="4" s="1"/>
  <c r="P321" i="4" s="1"/>
  <c r="P322" i="4" s="1"/>
  <c r="P323" i="4" s="1"/>
  <c r="P324" i="4" s="1"/>
  <c r="P325" i="4" s="1"/>
  <c r="P326" i="4" s="1"/>
  <c r="P327" i="4" s="1"/>
  <c r="P328" i="4" s="1"/>
  <c r="P329" i="4" s="1"/>
  <c r="P330" i="4" s="1"/>
  <c r="P331" i="4" s="1"/>
  <c r="P332" i="4" s="1"/>
  <c r="P333" i="4" s="1"/>
  <c r="P334" i="4" s="1"/>
  <c r="P335" i="4" s="1"/>
  <c r="P336" i="4" s="1"/>
  <c r="P337" i="4" s="1"/>
  <c r="P338" i="4" s="1"/>
  <c r="P339" i="4" s="1"/>
  <c r="P340" i="4" s="1"/>
  <c r="P341" i="4" s="1"/>
  <c r="P342" i="4" s="1"/>
  <c r="P343" i="4" s="1"/>
  <c r="P344" i="4" s="1"/>
  <c r="P345" i="4" s="1"/>
  <c r="P346" i="4" s="1"/>
  <c r="P347" i="4" s="1"/>
  <c r="P348" i="4" s="1"/>
  <c r="P349" i="4" s="1"/>
  <c r="P350" i="4" s="1"/>
  <c r="P351" i="4" s="1"/>
  <c r="P352" i="4" s="1"/>
  <c r="P353" i="4" s="1"/>
  <c r="P354" i="4" s="1"/>
  <c r="P355" i="4" s="1"/>
  <c r="P356" i="4" s="1"/>
  <c r="P357" i="4" s="1"/>
  <c r="P358" i="4" s="1"/>
  <c r="P359" i="4" s="1"/>
  <c r="P360" i="4" s="1"/>
  <c r="P361" i="4" s="1"/>
  <c r="P362" i="4" s="1"/>
  <c r="P363" i="4" s="1"/>
  <c r="P364" i="4" s="1"/>
  <c r="P365" i="4" s="1"/>
  <c r="P366" i="4" s="1"/>
  <c r="P367" i="4" s="1"/>
  <c r="P368" i="4" s="1"/>
  <c r="P369" i="4" s="1"/>
  <c r="P370" i="4" s="1"/>
  <c r="P371" i="4" s="1"/>
  <c r="P372" i="4" s="1"/>
  <c r="P373" i="4" s="1"/>
  <c r="P374" i="4" s="1"/>
  <c r="P375" i="4" s="1"/>
  <c r="P376" i="4" s="1"/>
  <c r="P377" i="4" s="1"/>
  <c r="P378" i="4" s="1"/>
  <c r="P379" i="4" s="1"/>
  <c r="P380" i="4" s="1"/>
  <c r="P381" i="4" s="1"/>
  <c r="P382" i="4" s="1"/>
  <c r="P383" i="4" s="1"/>
  <c r="P384" i="4" s="1"/>
  <c r="P385" i="4" s="1"/>
  <c r="P386" i="4" s="1"/>
  <c r="P387" i="4" s="1"/>
  <c r="M5" i="4"/>
  <c r="D17" i="1"/>
  <c r="P11" i="1"/>
  <c r="I11" i="1"/>
  <c r="Q11" i="1"/>
  <c r="T11" i="1"/>
  <c r="L11" i="1"/>
  <c r="E11" i="1"/>
  <c r="E17" i="1" s="1"/>
  <c r="M11" i="1"/>
  <c r="U11" i="1"/>
  <c r="J11" i="1"/>
  <c r="K11" i="1"/>
  <c r="F11" i="1"/>
  <c r="N11" i="1"/>
  <c r="V11" i="1"/>
  <c r="H11" i="1"/>
  <c r="R11" i="1"/>
  <c r="S11" i="1"/>
  <c r="G11" i="1"/>
  <c r="O11" i="1"/>
  <c r="W11" i="1"/>
  <c r="E4" i="1"/>
  <c r="T5" i="4" l="1"/>
  <c r="Q5" i="4" s="1"/>
  <c r="M6" i="4"/>
  <c r="F17" i="1"/>
  <c r="G17" i="1" s="1"/>
  <c r="H17" i="1" s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F4" i="1"/>
  <c r="E10" i="1"/>
  <c r="E16" i="1" s="1"/>
  <c r="M7" i="4" l="1"/>
  <c r="T6" i="4"/>
  <c r="Q6" i="4" s="1"/>
  <c r="G4" i="1"/>
  <c r="F10" i="1"/>
  <c r="F16" i="1" s="1"/>
  <c r="M8" i="4" l="1"/>
  <c r="T7" i="4"/>
  <c r="Q7" i="4" s="1"/>
  <c r="H4" i="1"/>
  <c r="G10" i="1"/>
  <c r="G16" i="1" s="1"/>
  <c r="M9" i="4" l="1"/>
  <c r="T8" i="4"/>
  <c r="Q8" i="4" s="1"/>
  <c r="I4" i="1"/>
  <c r="H10" i="1"/>
  <c r="H16" i="1" s="1"/>
  <c r="T9" i="4" l="1"/>
  <c r="Q9" i="4" s="1"/>
  <c r="M10" i="4"/>
  <c r="J4" i="1"/>
  <c r="I10" i="1"/>
  <c r="I16" i="1" s="1"/>
  <c r="M11" i="4" l="1"/>
  <c r="T10" i="4"/>
  <c r="Q10" i="4" s="1"/>
  <c r="K4" i="1"/>
  <c r="J10" i="1"/>
  <c r="J16" i="1" s="1"/>
  <c r="M12" i="4" l="1"/>
  <c r="T11" i="4"/>
  <c r="Q11" i="4" s="1"/>
  <c r="L4" i="1"/>
  <c r="K10" i="1"/>
  <c r="K16" i="1" s="1"/>
  <c r="M13" i="4" l="1"/>
  <c r="T12" i="4"/>
  <c r="Q12" i="4" s="1"/>
  <c r="M4" i="1"/>
  <c r="L10" i="1"/>
  <c r="L16" i="1" s="1"/>
  <c r="T13" i="4" l="1"/>
  <c r="Q13" i="4" s="1"/>
  <c r="M14" i="4"/>
  <c r="N4" i="1"/>
  <c r="M10" i="1"/>
  <c r="M16" i="1" s="1"/>
  <c r="M15" i="4" l="1"/>
  <c r="T14" i="4"/>
  <c r="Q14" i="4" s="1"/>
  <c r="O4" i="1"/>
  <c r="N10" i="1"/>
  <c r="N16" i="1" s="1"/>
  <c r="M16" i="4" l="1"/>
  <c r="T15" i="4"/>
  <c r="Q15" i="4" s="1"/>
  <c r="P4" i="1"/>
  <c r="O10" i="1"/>
  <c r="O16" i="1" s="1"/>
  <c r="M17" i="4" l="1"/>
  <c r="T16" i="4"/>
  <c r="Q16" i="4" s="1"/>
  <c r="Q4" i="1"/>
  <c r="P10" i="1"/>
  <c r="P16" i="1" s="1"/>
  <c r="T17" i="4" l="1"/>
  <c r="Q17" i="4" s="1"/>
  <c r="M18" i="4"/>
  <c r="R4" i="1"/>
  <c r="Q10" i="1"/>
  <c r="Q16" i="1" s="1"/>
  <c r="M19" i="4" l="1"/>
  <c r="T18" i="4"/>
  <c r="Q18" i="4" s="1"/>
  <c r="S4" i="1"/>
  <c r="R10" i="1"/>
  <c r="R16" i="1" s="1"/>
  <c r="M20" i="4" l="1"/>
  <c r="T19" i="4"/>
  <c r="Q19" i="4" s="1"/>
  <c r="T4" i="1"/>
  <c r="S10" i="1"/>
  <c r="S16" i="1" s="1"/>
  <c r="M21" i="4" l="1"/>
  <c r="T20" i="4"/>
  <c r="Q20" i="4" s="1"/>
  <c r="U4" i="1"/>
  <c r="T10" i="1"/>
  <c r="T16" i="1" s="1"/>
  <c r="T21" i="4" l="1"/>
  <c r="Q21" i="4" s="1"/>
  <c r="M22" i="4"/>
  <c r="V4" i="1"/>
  <c r="U10" i="1"/>
  <c r="U16" i="1" s="1"/>
  <c r="M23" i="4" l="1"/>
  <c r="T22" i="4"/>
  <c r="Q22" i="4" s="1"/>
  <c r="W4" i="1"/>
  <c r="V10" i="1"/>
  <c r="V16" i="1" s="1"/>
  <c r="M24" i="4" l="1"/>
  <c r="T23" i="4"/>
  <c r="Q23" i="4" s="1"/>
  <c r="X4" i="1"/>
  <c r="W10" i="1"/>
  <c r="W16" i="1" s="1"/>
  <c r="M25" i="4" l="1"/>
  <c r="T24" i="4"/>
  <c r="Q24" i="4" s="1"/>
  <c r="X10" i="1"/>
  <c r="X16" i="1" s="1"/>
  <c r="T25" i="4" l="1"/>
  <c r="Q25" i="4" s="1"/>
  <c r="M26" i="4"/>
  <c r="M27" i="4" l="1"/>
  <c r="T26" i="4"/>
  <c r="Q26" i="4" s="1"/>
  <c r="M28" i="4" l="1"/>
  <c r="T27" i="4"/>
  <c r="Q27" i="4" s="1"/>
  <c r="M29" i="4" l="1"/>
  <c r="T28" i="4"/>
  <c r="Q28" i="4" s="1"/>
  <c r="T29" i="4" l="1"/>
  <c r="Q29" i="4" s="1"/>
  <c r="M30" i="4"/>
  <c r="M31" i="4" l="1"/>
  <c r="T30" i="4"/>
  <c r="Q30" i="4" s="1"/>
  <c r="M32" i="4" l="1"/>
  <c r="T31" i="4"/>
  <c r="Q31" i="4" s="1"/>
  <c r="M33" i="4" l="1"/>
  <c r="T32" i="4"/>
  <c r="Q32" i="4" s="1"/>
  <c r="T33" i="4" l="1"/>
  <c r="Q33" i="4" s="1"/>
  <c r="M34" i="4"/>
  <c r="M35" i="4" l="1"/>
  <c r="T34" i="4"/>
  <c r="Q34" i="4" s="1"/>
  <c r="M36" i="4" l="1"/>
  <c r="T35" i="4"/>
  <c r="Q35" i="4" s="1"/>
  <c r="M37" i="4" l="1"/>
  <c r="T36" i="4"/>
  <c r="Q36" i="4" s="1"/>
  <c r="T37" i="4" l="1"/>
  <c r="Q37" i="4" s="1"/>
  <c r="M38" i="4"/>
  <c r="M39" i="4" l="1"/>
  <c r="T38" i="4"/>
  <c r="Q38" i="4" s="1"/>
  <c r="M40" i="4" l="1"/>
  <c r="T39" i="4"/>
  <c r="Q39" i="4" s="1"/>
  <c r="M41" i="4" l="1"/>
  <c r="T40" i="4"/>
  <c r="Q40" i="4" s="1"/>
  <c r="T41" i="4" l="1"/>
  <c r="Q41" i="4" s="1"/>
  <c r="M42" i="4"/>
  <c r="M43" i="4" l="1"/>
  <c r="T42" i="4"/>
  <c r="Q42" i="4" s="1"/>
  <c r="M44" i="4" l="1"/>
  <c r="T43" i="4"/>
  <c r="Q43" i="4" s="1"/>
  <c r="M45" i="4" l="1"/>
  <c r="T44" i="4"/>
  <c r="Q44" i="4" s="1"/>
  <c r="T45" i="4" l="1"/>
  <c r="Q45" i="4" s="1"/>
  <c r="M46" i="4"/>
  <c r="M47" i="4" l="1"/>
  <c r="T46" i="4"/>
  <c r="Q46" i="4" s="1"/>
  <c r="M48" i="4" l="1"/>
  <c r="T47" i="4"/>
  <c r="Q47" i="4" s="1"/>
  <c r="M49" i="4" l="1"/>
  <c r="T48" i="4"/>
  <c r="Q48" i="4" s="1"/>
  <c r="T49" i="4" l="1"/>
  <c r="Q49" i="4" s="1"/>
  <c r="M50" i="4"/>
  <c r="M51" i="4" l="1"/>
  <c r="T50" i="4"/>
  <c r="Q50" i="4" s="1"/>
  <c r="M52" i="4" l="1"/>
  <c r="T51" i="4"/>
  <c r="Q51" i="4" s="1"/>
  <c r="T52" i="4" l="1"/>
  <c r="Q52" i="4" s="1"/>
  <c r="M53" i="4"/>
  <c r="M54" i="4" l="1"/>
  <c r="T53" i="4"/>
  <c r="Q53" i="4" s="1"/>
  <c r="M55" i="4" l="1"/>
  <c r="T54" i="4"/>
  <c r="Q54" i="4" s="1"/>
  <c r="M56" i="4" l="1"/>
  <c r="T55" i="4"/>
  <c r="Q55" i="4" s="1"/>
  <c r="T56" i="4" l="1"/>
  <c r="Q56" i="4" s="1"/>
  <c r="M57" i="4"/>
  <c r="M58" i="4" l="1"/>
  <c r="T57" i="4"/>
  <c r="Q57" i="4" s="1"/>
  <c r="M59" i="4" l="1"/>
  <c r="T58" i="4"/>
  <c r="Q58" i="4" s="1"/>
  <c r="M60" i="4" l="1"/>
  <c r="T59" i="4"/>
  <c r="Q59" i="4" s="1"/>
  <c r="T60" i="4" l="1"/>
  <c r="Q60" i="4" s="1"/>
  <c r="M61" i="4"/>
  <c r="M62" i="4" l="1"/>
  <c r="T61" i="4"/>
  <c r="Q61" i="4" s="1"/>
  <c r="M63" i="4" l="1"/>
  <c r="T62" i="4"/>
  <c r="Q62" i="4" s="1"/>
  <c r="M64" i="4" l="1"/>
  <c r="T63" i="4"/>
  <c r="Q63" i="4" s="1"/>
  <c r="T64" i="4" l="1"/>
  <c r="Q64" i="4" s="1"/>
  <c r="M65" i="4"/>
  <c r="M66" i="4" l="1"/>
  <c r="T65" i="4"/>
  <c r="Q65" i="4" s="1"/>
  <c r="M67" i="4" l="1"/>
  <c r="T66" i="4"/>
  <c r="Q66" i="4" s="1"/>
  <c r="M68" i="4" l="1"/>
  <c r="T67" i="4"/>
  <c r="Q67" i="4" s="1"/>
  <c r="T68" i="4" l="1"/>
  <c r="Q68" i="4" s="1"/>
  <c r="M69" i="4"/>
  <c r="M70" i="4" l="1"/>
  <c r="T69" i="4"/>
  <c r="Q69" i="4" s="1"/>
  <c r="M71" i="4" l="1"/>
  <c r="T70" i="4"/>
  <c r="Q70" i="4" s="1"/>
  <c r="M72" i="4" l="1"/>
  <c r="T71" i="4"/>
  <c r="Q71" i="4" s="1"/>
  <c r="T72" i="4" l="1"/>
  <c r="Q72" i="4" s="1"/>
  <c r="M73" i="4"/>
  <c r="M74" i="4" l="1"/>
  <c r="T73" i="4"/>
  <c r="Q73" i="4" s="1"/>
  <c r="M75" i="4" l="1"/>
  <c r="T74" i="4"/>
  <c r="Q74" i="4" s="1"/>
  <c r="M76" i="4" l="1"/>
  <c r="T75" i="4"/>
  <c r="Q75" i="4" s="1"/>
  <c r="T76" i="4" l="1"/>
  <c r="Q76" i="4" s="1"/>
  <c r="M77" i="4"/>
  <c r="M78" i="4" l="1"/>
  <c r="T77" i="4"/>
  <c r="Q77" i="4" s="1"/>
  <c r="M79" i="4" l="1"/>
  <c r="T78" i="4"/>
  <c r="Q78" i="4" s="1"/>
  <c r="M80" i="4" l="1"/>
  <c r="T79" i="4"/>
  <c r="Q79" i="4" s="1"/>
  <c r="T80" i="4" l="1"/>
  <c r="Q80" i="4" s="1"/>
  <c r="M81" i="4"/>
  <c r="M82" i="4" l="1"/>
  <c r="T81" i="4"/>
  <c r="Q81" i="4" s="1"/>
  <c r="M83" i="4" l="1"/>
  <c r="T82" i="4"/>
  <c r="Q82" i="4" s="1"/>
  <c r="M84" i="4" l="1"/>
  <c r="T83" i="4"/>
  <c r="Q83" i="4" s="1"/>
  <c r="T84" i="4" l="1"/>
  <c r="Q84" i="4" s="1"/>
  <c r="M85" i="4"/>
  <c r="M86" i="4" l="1"/>
  <c r="T85" i="4"/>
  <c r="Q85" i="4" s="1"/>
  <c r="M87" i="4" l="1"/>
  <c r="T86" i="4"/>
  <c r="Q86" i="4" s="1"/>
  <c r="M88" i="4" l="1"/>
  <c r="T87" i="4"/>
  <c r="Q87" i="4" s="1"/>
  <c r="T88" i="4" l="1"/>
  <c r="Q88" i="4" s="1"/>
  <c r="M89" i="4"/>
  <c r="M90" i="4" l="1"/>
  <c r="T89" i="4"/>
  <c r="Q89" i="4" s="1"/>
  <c r="M91" i="4" l="1"/>
  <c r="T90" i="4"/>
  <c r="Q90" i="4" s="1"/>
  <c r="M92" i="4" l="1"/>
  <c r="T91" i="4"/>
  <c r="Q91" i="4" s="1"/>
  <c r="T92" i="4" l="1"/>
  <c r="Q92" i="4" s="1"/>
  <c r="M93" i="4"/>
  <c r="M94" i="4" l="1"/>
  <c r="T93" i="4"/>
  <c r="Q93" i="4" s="1"/>
  <c r="M95" i="4" l="1"/>
  <c r="T94" i="4"/>
  <c r="Q94" i="4" s="1"/>
  <c r="M96" i="4" l="1"/>
  <c r="T95" i="4"/>
  <c r="Q95" i="4" s="1"/>
  <c r="T96" i="4" l="1"/>
  <c r="Q96" i="4" s="1"/>
  <c r="M97" i="4"/>
  <c r="M98" i="4" l="1"/>
  <c r="T97" i="4"/>
  <c r="Q97" i="4" s="1"/>
  <c r="T98" i="4" l="1"/>
  <c r="Q98" i="4" s="1"/>
  <c r="M99" i="4"/>
  <c r="M100" i="4" l="1"/>
  <c r="T99" i="4"/>
  <c r="Q99" i="4" s="1"/>
  <c r="T100" i="4" l="1"/>
  <c r="Q100" i="4" s="1"/>
  <c r="M101" i="4"/>
  <c r="M102" i="4" l="1"/>
  <c r="T101" i="4"/>
  <c r="Q101" i="4" s="1"/>
  <c r="M103" i="4" l="1"/>
  <c r="T102" i="4"/>
  <c r="Q102" i="4" s="1"/>
  <c r="T103" i="4" l="1"/>
  <c r="Q103" i="4" s="1"/>
  <c r="M104" i="4"/>
  <c r="T104" i="4" l="1"/>
  <c r="Q104" i="4" s="1"/>
  <c r="M105" i="4"/>
  <c r="M106" i="4" l="1"/>
  <c r="T105" i="4"/>
  <c r="Q105" i="4" s="1"/>
  <c r="M107" i="4" l="1"/>
  <c r="T106" i="4"/>
  <c r="Q106" i="4" s="1"/>
  <c r="M108" i="4" l="1"/>
  <c r="T107" i="4"/>
  <c r="Q107" i="4" s="1"/>
  <c r="T108" i="4" l="1"/>
  <c r="Q108" i="4" s="1"/>
  <c r="M109" i="4"/>
  <c r="M110" i="4" l="1"/>
  <c r="T109" i="4"/>
  <c r="Q109" i="4" s="1"/>
  <c r="M111" i="4" l="1"/>
  <c r="T110" i="4"/>
  <c r="Q110" i="4" s="1"/>
  <c r="T111" i="4" l="1"/>
  <c r="Q111" i="4" s="1"/>
  <c r="M112" i="4"/>
  <c r="T112" i="4" l="1"/>
  <c r="Q112" i="4" s="1"/>
  <c r="M113" i="4"/>
  <c r="M114" i="4" l="1"/>
  <c r="T113" i="4"/>
  <c r="Q113" i="4" s="1"/>
  <c r="M115" i="4" l="1"/>
  <c r="T114" i="4"/>
  <c r="Q114" i="4" s="1"/>
  <c r="T115" i="4" l="1"/>
  <c r="Q115" i="4" s="1"/>
  <c r="M116" i="4"/>
  <c r="T116" i="4" l="1"/>
  <c r="Q116" i="4" s="1"/>
  <c r="M117" i="4"/>
  <c r="M118" i="4" l="1"/>
  <c r="T117" i="4"/>
  <c r="Q117" i="4" s="1"/>
  <c r="M119" i="4" l="1"/>
  <c r="T118" i="4"/>
  <c r="Q118" i="4" s="1"/>
  <c r="T119" i="4" l="1"/>
  <c r="Q119" i="4" s="1"/>
  <c r="M120" i="4"/>
  <c r="T120" i="4" l="1"/>
  <c r="Q120" i="4" s="1"/>
  <c r="M121" i="4"/>
  <c r="M122" i="4" l="1"/>
  <c r="T121" i="4"/>
  <c r="Q121" i="4" s="1"/>
  <c r="M123" i="4" l="1"/>
  <c r="T122" i="4"/>
  <c r="Q122" i="4" s="1"/>
  <c r="M124" i="4" l="1"/>
  <c r="T123" i="4"/>
  <c r="Q123" i="4" s="1"/>
  <c r="T124" i="4" l="1"/>
  <c r="Q124" i="4" s="1"/>
  <c r="M125" i="4"/>
  <c r="M126" i="4" l="1"/>
  <c r="T125" i="4"/>
  <c r="Q125" i="4" s="1"/>
  <c r="M127" i="4" l="1"/>
  <c r="T126" i="4"/>
  <c r="Q126" i="4" s="1"/>
  <c r="T127" i="4" l="1"/>
  <c r="Q127" i="4" s="1"/>
  <c r="M128" i="4"/>
  <c r="T128" i="4" l="1"/>
  <c r="Q128" i="4" s="1"/>
  <c r="M129" i="4"/>
  <c r="M130" i="4" l="1"/>
  <c r="T129" i="4"/>
  <c r="Q129" i="4" s="1"/>
  <c r="M131" i="4" l="1"/>
  <c r="T130" i="4"/>
  <c r="Q130" i="4" s="1"/>
  <c r="M132" i="4" l="1"/>
  <c r="T131" i="4"/>
  <c r="Q131" i="4" s="1"/>
  <c r="T132" i="4" l="1"/>
  <c r="Q132" i="4" s="1"/>
  <c r="M133" i="4"/>
  <c r="M134" i="4" l="1"/>
  <c r="T133" i="4"/>
  <c r="Q133" i="4" s="1"/>
  <c r="M135" i="4" l="1"/>
  <c r="T134" i="4"/>
  <c r="Q134" i="4" s="1"/>
  <c r="M136" i="4" l="1"/>
  <c r="T135" i="4"/>
  <c r="Q135" i="4" s="1"/>
  <c r="T136" i="4" l="1"/>
  <c r="Q136" i="4" s="1"/>
  <c r="M137" i="4"/>
  <c r="M138" i="4" l="1"/>
  <c r="T137" i="4"/>
  <c r="Q137" i="4" s="1"/>
  <c r="M139" i="4" l="1"/>
  <c r="T138" i="4"/>
  <c r="Q138" i="4" s="1"/>
  <c r="T139" i="4" l="1"/>
  <c r="Q139" i="4" s="1"/>
  <c r="M140" i="4"/>
  <c r="T140" i="4" l="1"/>
  <c r="Q140" i="4" s="1"/>
  <c r="M141" i="4"/>
  <c r="M142" i="4" l="1"/>
  <c r="T141" i="4"/>
  <c r="Q141" i="4" s="1"/>
  <c r="M143" i="4" l="1"/>
  <c r="T142" i="4"/>
  <c r="Q142" i="4" s="1"/>
  <c r="M144" i="4" l="1"/>
  <c r="T143" i="4"/>
  <c r="Q143" i="4" s="1"/>
  <c r="T144" i="4" l="1"/>
  <c r="Q144" i="4" s="1"/>
  <c r="M145" i="4"/>
  <c r="M146" i="4" l="1"/>
  <c r="T145" i="4"/>
  <c r="Q145" i="4" s="1"/>
  <c r="M147" i="4" l="1"/>
  <c r="T146" i="4"/>
  <c r="Q146" i="4" s="1"/>
  <c r="T147" i="4" l="1"/>
  <c r="Q147" i="4" s="1"/>
  <c r="M148" i="4"/>
  <c r="T148" i="4" l="1"/>
  <c r="Q148" i="4" s="1"/>
  <c r="M149" i="4"/>
  <c r="M150" i="4" l="1"/>
  <c r="T149" i="4"/>
  <c r="Q149" i="4" s="1"/>
  <c r="M151" i="4" l="1"/>
  <c r="T150" i="4"/>
  <c r="Q150" i="4" s="1"/>
  <c r="T151" i="4" l="1"/>
  <c r="Q151" i="4" s="1"/>
  <c r="M152" i="4"/>
  <c r="T152" i="4" l="1"/>
  <c r="Q152" i="4" s="1"/>
  <c r="M153" i="4"/>
  <c r="M154" i="4" l="1"/>
  <c r="T153" i="4"/>
  <c r="Q153" i="4" s="1"/>
  <c r="M155" i="4" l="1"/>
  <c r="T154" i="4"/>
  <c r="Q154" i="4" s="1"/>
  <c r="M156" i="4" l="1"/>
  <c r="T155" i="4"/>
  <c r="Q155" i="4" s="1"/>
  <c r="T156" i="4" l="1"/>
  <c r="Q156" i="4" s="1"/>
  <c r="M157" i="4"/>
  <c r="M158" i="4" l="1"/>
  <c r="T157" i="4"/>
  <c r="Q157" i="4" s="1"/>
  <c r="T158" i="4" l="1"/>
  <c r="Q158" i="4" s="1"/>
  <c r="M159" i="4"/>
  <c r="M160" i="4" l="1"/>
  <c r="T159" i="4"/>
  <c r="Q159" i="4" s="1"/>
  <c r="T160" i="4" l="1"/>
  <c r="Q160" i="4" s="1"/>
  <c r="M161" i="4"/>
  <c r="M162" i="4" l="1"/>
  <c r="T161" i="4"/>
  <c r="Q161" i="4" s="1"/>
  <c r="T162" i="4" l="1"/>
  <c r="Q162" i="4" s="1"/>
  <c r="M163" i="4"/>
  <c r="M164" i="4" l="1"/>
  <c r="T163" i="4"/>
  <c r="Q163" i="4" s="1"/>
  <c r="T164" i="4" l="1"/>
  <c r="Q164" i="4" s="1"/>
  <c r="M165" i="4"/>
  <c r="M166" i="4" l="1"/>
  <c r="T165" i="4"/>
  <c r="Q165" i="4" s="1"/>
  <c r="T166" i="4" l="1"/>
  <c r="Q166" i="4" s="1"/>
  <c r="M167" i="4"/>
  <c r="M168" i="4" l="1"/>
  <c r="T167" i="4"/>
  <c r="Q167" i="4" s="1"/>
  <c r="T168" i="4" l="1"/>
  <c r="Q168" i="4" s="1"/>
  <c r="M169" i="4"/>
  <c r="M170" i="4" l="1"/>
  <c r="T169" i="4"/>
  <c r="Q169" i="4" s="1"/>
  <c r="T170" i="4" l="1"/>
  <c r="Q170" i="4" s="1"/>
  <c r="M171" i="4"/>
  <c r="T171" i="4" l="1"/>
  <c r="Q171" i="4" s="1"/>
  <c r="M172" i="4"/>
  <c r="M173" i="4" l="1"/>
  <c r="T172" i="4"/>
  <c r="Q172" i="4" s="1"/>
  <c r="M174" i="4" l="1"/>
  <c r="T173" i="4"/>
  <c r="Q173" i="4" s="1"/>
  <c r="T174" i="4" l="1"/>
  <c r="Q174" i="4" s="1"/>
  <c r="M175" i="4"/>
  <c r="T175" i="4" l="1"/>
  <c r="Q175" i="4" s="1"/>
  <c r="M176" i="4"/>
  <c r="M177" i="4" l="1"/>
  <c r="T176" i="4"/>
  <c r="Q176" i="4" s="1"/>
  <c r="M178" i="4" l="1"/>
  <c r="T177" i="4"/>
  <c r="Q177" i="4" s="1"/>
  <c r="T178" i="4" l="1"/>
  <c r="Q178" i="4" s="1"/>
  <c r="M179" i="4"/>
  <c r="T179" i="4" l="1"/>
  <c r="Q179" i="4" s="1"/>
  <c r="M180" i="4"/>
  <c r="M181" i="4" l="1"/>
  <c r="T180" i="4"/>
  <c r="Q180" i="4" s="1"/>
  <c r="M182" i="4" l="1"/>
  <c r="T181" i="4"/>
  <c r="Q181" i="4" s="1"/>
  <c r="T182" i="4" l="1"/>
  <c r="Q182" i="4" s="1"/>
  <c r="M183" i="4"/>
  <c r="T183" i="4" l="1"/>
  <c r="Q183" i="4" s="1"/>
  <c r="M184" i="4"/>
  <c r="M185" i="4" l="1"/>
  <c r="T184" i="4"/>
  <c r="Q184" i="4" s="1"/>
  <c r="M186" i="4" l="1"/>
  <c r="T185" i="4"/>
  <c r="Q185" i="4" s="1"/>
  <c r="T186" i="4" l="1"/>
  <c r="Q186" i="4" s="1"/>
  <c r="M187" i="4"/>
  <c r="T187" i="4" l="1"/>
  <c r="Q187" i="4" s="1"/>
  <c r="M188" i="4"/>
  <c r="M189" i="4" l="1"/>
  <c r="T188" i="4"/>
  <c r="Q188" i="4" s="1"/>
  <c r="M190" i="4" l="1"/>
  <c r="T189" i="4"/>
  <c r="Q189" i="4" s="1"/>
  <c r="T190" i="4" l="1"/>
  <c r="Q190" i="4" s="1"/>
  <c r="M191" i="4"/>
  <c r="T191" i="4" l="1"/>
  <c r="Q191" i="4" s="1"/>
  <c r="M192" i="4"/>
  <c r="M193" i="4" l="1"/>
  <c r="T192" i="4"/>
  <c r="Q192" i="4" s="1"/>
  <c r="M194" i="4" l="1"/>
  <c r="T193" i="4"/>
  <c r="Q193" i="4" s="1"/>
  <c r="T194" i="4" l="1"/>
  <c r="Q194" i="4" s="1"/>
  <c r="M195" i="4"/>
  <c r="T195" i="4" l="1"/>
  <c r="Q195" i="4" s="1"/>
  <c r="M196" i="4"/>
  <c r="M197" i="4" l="1"/>
  <c r="T196" i="4"/>
  <c r="Q196" i="4" s="1"/>
  <c r="M198" i="4" l="1"/>
  <c r="T197" i="4"/>
  <c r="Q197" i="4" s="1"/>
  <c r="T198" i="4" l="1"/>
  <c r="Q198" i="4" s="1"/>
  <c r="M199" i="4"/>
  <c r="T199" i="4" l="1"/>
  <c r="Q199" i="4" s="1"/>
  <c r="M200" i="4"/>
  <c r="M201" i="4" l="1"/>
  <c r="T200" i="4"/>
  <c r="Q200" i="4" s="1"/>
  <c r="M202" i="4" l="1"/>
  <c r="T201" i="4"/>
  <c r="Q201" i="4" s="1"/>
  <c r="T202" i="4" l="1"/>
  <c r="Q202" i="4" s="1"/>
  <c r="M203" i="4"/>
  <c r="T203" i="4" l="1"/>
  <c r="Q203" i="4" s="1"/>
  <c r="M204" i="4"/>
  <c r="M205" i="4" l="1"/>
  <c r="T204" i="4"/>
  <c r="Q204" i="4" s="1"/>
  <c r="M206" i="4" l="1"/>
  <c r="T205" i="4"/>
  <c r="Q205" i="4" s="1"/>
  <c r="T206" i="4" l="1"/>
  <c r="Q206" i="4" s="1"/>
  <c r="M207" i="4"/>
  <c r="T207" i="4" l="1"/>
  <c r="Q207" i="4" s="1"/>
  <c r="M208" i="4"/>
  <c r="M209" i="4" l="1"/>
  <c r="T208" i="4"/>
  <c r="Q208" i="4" s="1"/>
  <c r="M210" i="4" l="1"/>
  <c r="T209" i="4"/>
  <c r="Q209" i="4" s="1"/>
  <c r="T210" i="4" l="1"/>
  <c r="Q210" i="4" s="1"/>
  <c r="M211" i="4"/>
  <c r="T211" i="4" l="1"/>
  <c r="Q211" i="4" s="1"/>
  <c r="M212" i="4"/>
  <c r="M213" i="4" l="1"/>
  <c r="T212" i="4"/>
  <c r="Q212" i="4" s="1"/>
  <c r="M214" i="4" l="1"/>
  <c r="T213" i="4"/>
  <c r="Q213" i="4" s="1"/>
  <c r="T214" i="4" l="1"/>
  <c r="Q214" i="4" s="1"/>
  <c r="M215" i="4"/>
  <c r="T215" i="4" l="1"/>
  <c r="Q215" i="4" s="1"/>
  <c r="M216" i="4"/>
  <c r="M217" i="4" l="1"/>
  <c r="T216" i="4"/>
  <c r="Q216" i="4" s="1"/>
  <c r="M218" i="4" l="1"/>
  <c r="T217" i="4"/>
  <c r="Q217" i="4" s="1"/>
  <c r="T218" i="4" l="1"/>
  <c r="Q218" i="4" s="1"/>
  <c r="M219" i="4"/>
  <c r="T219" i="4" l="1"/>
  <c r="Q219" i="4" s="1"/>
  <c r="M220" i="4"/>
  <c r="M221" i="4" l="1"/>
  <c r="T220" i="4"/>
  <c r="Q220" i="4" s="1"/>
  <c r="M222" i="4" l="1"/>
  <c r="T221" i="4"/>
  <c r="Q221" i="4" s="1"/>
  <c r="T222" i="4" l="1"/>
  <c r="Q222" i="4" s="1"/>
  <c r="M223" i="4"/>
  <c r="T223" i="4" l="1"/>
  <c r="Q223" i="4" s="1"/>
  <c r="M224" i="4"/>
  <c r="M225" i="4" l="1"/>
  <c r="T224" i="4"/>
  <c r="Q224" i="4" s="1"/>
  <c r="M226" i="4" l="1"/>
  <c r="T225" i="4"/>
  <c r="Q225" i="4" s="1"/>
  <c r="T226" i="4" l="1"/>
  <c r="Q226" i="4" s="1"/>
  <c r="M227" i="4"/>
  <c r="M228" i="4" l="1"/>
  <c r="T227" i="4"/>
  <c r="Q227" i="4" s="1"/>
  <c r="T228" i="4" l="1"/>
  <c r="Q228" i="4" s="1"/>
  <c r="M229" i="4"/>
  <c r="M230" i="4" l="1"/>
  <c r="T229" i="4"/>
  <c r="Q229" i="4" s="1"/>
  <c r="T230" i="4" l="1"/>
  <c r="Q230" i="4" s="1"/>
  <c r="M231" i="4"/>
  <c r="M232" i="4" l="1"/>
  <c r="T231" i="4"/>
  <c r="Q231" i="4" s="1"/>
  <c r="T232" i="4" l="1"/>
  <c r="Q232" i="4" s="1"/>
  <c r="M233" i="4"/>
  <c r="M234" i="4" l="1"/>
  <c r="T233" i="4"/>
  <c r="Q233" i="4" s="1"/>
  <c r="T234" i="4" l="1"/>
  <c r="Q234" i="4" s="1"/>
  <c r="M235" i="4"/>
  <c r="M236" i="4" l="1"/>
  <c r="T235" i="4"/>
  <c r="Q235" i="4" s="1"/>
  <c r="T236" i="4" l="1"/>
  <c r="Q236" i="4" s="1"/>
  <c r="M237" i="4"/>
  <c r="M238" i="4" l="1"/>
  <c r="T237" i="4"/>
  <c r="Q237" i="4" s="1"/>
  <c r="T238" i="4" l="1"/>
  <c r="Q238" i="4" s="1"/>
  <c r="M239" i="4"/>
  <c r="M240" i="4" l="1"/>
  <c r="T239" i="4"/>
  <c r="Q239" i="4" s="1"/>
  <c r="M241" i="4" l="1"/>
  <c r="T240" i="4"/>
  <c r="Q240" i="4" s="1"/>
  <c r="M242" i="4" l="1"/>
  <c r="T241" i="4"/>
  <c r="Q241" i="4" s="1"/>
  <c r="T242" i="4" l="1"/>
  <c r="Q242" i="4" s="1"/>
  <c r="M243" i="4"/>
  <c r="T243" i="4" l="1"/>
  <c r="Q243" i="4" s="1"/>
  <c r="M244" i="4"/>
  <c r="M245" i="4" l="1"/>
  <c r="T244" i="4"/>
  <c r="Q244" i="4" s="1"/>
  <c r="M246" i="4" l="1"/>
  <c r="T245" i="4"/>
  <c r="Q245" i="4" s="1"/>
  <c r="T246" i="4" l="1"/>
  <c r="Q246" i="4" s="1"/>
  <c r="M247" i="4"/>
  <c r="T247" i="4" l="1"/>
  <c r="Q247" i="4" s="1"/>
  <c r="M248" i="4"/>
  <c r="M249" i="4" l="1"/>
  <c r="T248" i="4"/>
  <c r="Q248" i="4" s="1"/>
  <c r="M250" i="4" l="1"/>
  <c r="T249" i="4"/>
  <c r="Q249" i="4" s="1"/>
  <c r="T250" i="4" l="1"/>
  <c r="Q250" i="4" s="1"/>
  <c r="M251" i="4"/>
  <c r="T251" i="4" l="1"/>
  <c r="Q251" i="4" s="1"/>
  <c r="M252" i="4"/>
  <c r="M253" i="4" l="1"/>
  <c r="T252" i="4"/>
  <c r="Q252" i="4" s="1"/>
  <c r="M254" i="4" l="1"/>
  <c r="T253" i="4"/>
  <c r="Q253" i="4" s="1"/>
  <c r="T254" i="4" l="1"/>
  <c r="Q254" i="4" s="1"/>
  <c r="M255" i="4"/>
  <c r="T255" i="4" l="1"/>
  <c r="Q255" i="4" s="1"/>
  <c r="M256" i="4"/>
  <c r="M257" i="4" l="1"/>
  <c r="T256" i="4"/>
  <c r="Q256" i="4" s="1"/>
  <c r="M258" i="4" l="1"/>
  <c r="T257" i="4"/>
  <c r="Q257" i="4" s="1"/>
  <c r="T258" i="4" l="1"/>
  <c r="Q258" i="4" s="1"/>
  <c r="M259" i="4"/>
  <c r="T259" i="4" l="1"/>
  <c r="Q259" i="4" s="1"/>
  <c r="M260" i="4"/>
  <c r="M261" i="4" l="1"/>
  <c r="T260" i="4"/>
  <c r="Q260" i="4" s="1"/>
  <c r="M262" i="4" l="1"/>
  <c r="T261" i="4"/>
  <c r="Q261" i="4" s="1"/>
  <c r="T262" i="4" l="1"/>
  <c r="Q262" i="4" s="1"/>
  <c r="M263" i="4"/>
  <c r="T263" i="4" l="1"/>
  <c r="Q263" i="4" s="1"/>
  <c r="M264" i="4"/>
  <c r="M265" i="4" l="1"/>
  <c r="T264" i="4"/>
  <c r="Q264" i="4" s="1"/>
  <c r="M266" i="4" l="1"/>
  <c r="T265" i="4"/>
  <c r="Q265" i="4" s="1"/>
  <c r="M267" i="4" l="1"/>
  <c r="T266" i="4"/>
  <c r="Q266" i="4" s="1"/>
  <c r="M268" i="4" l="1"/>
  <c r="T267" i="4"/>
  <c r="Q267" i="4" s="1"/>
  <c r="T268" i="4" l="1"/>
  <c r="Q268" i="4" s="1"/>
  <c r="M269" i="4"/>
  <c r="M270" i="4" l="1"/>
  <c r="T269" i="4"/>
  <c r="Q269" i="4" s="1"/>
  <c r="T270" i="4" l="1"/>
  <c r="Q270" i="4" s="1"/>
  <c r="M271" i="4"/>
  <c r="M272" i="4" l="1"/>
  <c r="T271" i="4"/>
  <c r="Q271" i="4" s="1"/>
  <c r="T272" i="4" l="1"/>
  <c r="Q272" i="4" s="1"/>
  <c r="M273" i="4"/>
  <c r="M274" i="4" l="1"/>
  <c r="T273" i="4"/>
  <c r="Q273" i="4" s="1"/>
  <c r="T274" i="4" l="1"/>
  <c r="Q274" i="4" s="1"/>
  <c r="M275" i="4"/>
  <c r="M276" i="4" l="1"/>
  <c r="T275" i="4"/>
  <c r="Q275" i="4" s="1"/>
  <c r="M277" i="4" l="1"/>
  <c r="T276" i="4"/>
  <c r="Q276" i="4" s="1"/>
  <c r="M278" i="4" l="1"/>
  <c r="T277" i="4"/>
  <c r="Q277" i="4" s="1"/>
  <c r="T278" i="4" l="1"/>
  <c r="Q278" i="4" s="1"/>
  <c r="M279" i="4"/>
  <c r="T279" i="4" l="1"/>
  <c r="Q279" i="4" s="1"/>
  <c r="M280" i="4"/>
  <c r="M281" i="4" l="1"/>
  <c r="T280" i="4"/>
  <c r="Q280" i="4" s="1"/>
  <c r="M282" i="4" l="1"/>
  <c r="T281" i="4"/>
  <c r="Q281" i="4" s="1"/>
  <c r="T282" i="4" l="1"/>
  <c r="Q282" i="4" s="1"/>
  <c r="M283" i="4"/>
  <c r="T283" i="4" l="1"/>
  <c r="Q283" i="4" s="1"/>
  <c r="M284" i="4"/>
  <c r="M285" i="4" l="1"/>
  <c r="T284" i="4"/>
  <c r="Q284" i="4" s="1"/>
  <c r="M286" i="4" l="1"/>
  <c r="T285" i="4"/>
  <c r="Q285" i="4" s="1"/>
  <c r="T286" i="4" l="1"/>
  <c r="Q286" i="4" s="1"/>
  <c r="M287" i="4"/>
  <c r="T287" i="4" l="1"/>
  <c r="Q287" i="4" s="1"/>
  <c r="M288" i="4"/>
  <c r="M289" i="4" l="1"/>
  <c r="T288" i="4"/>
  <c r="Q288" i="4" s="1"/>
  <c r="M290" i="4" l="1"/>
  <c r="T289" i="4"/>
  <c r="Q289" i="4" s="1"/>
  <c r="T290" i="4" l="1"/>
  <c r="Q290" i="4" s="1"/>
  <c r="M291" i="4"/>
  <c r="T291" i="4" l="1"/>
  <c r="Q291" i="4" s="1"/>
  <c r="M292" i="4"/>
  <c r="M293" i="4" l="1"/>
  <c r="T292" i="4"/>
  <c r="Q292" i="4" s="1"/>
  <c r="M294" i="4" l="1"/>
  <c r="T293" i="4"/>
  <c r="Q293" i="4" s="1"/>
  <c r="T294" i="4" l="1"/>
  <c r="Q294" i="4" s="1"/>
  <c r="M295" i="4"/>
  <c r="T295" i="4" l="1"/>
  <c r="Q295" i="4" s="1"/>
  <c r="M296" i="4"/>
  <c r="M297" i="4" l="1"/>
  <c r="T296" i="4"/>
  <c r="Q296" i="4" s="1"/>
  <c r="M298" i="4" l="1"/>
  <c r="T297" i="4"/>
  <c r="Q297" i="4" s="1"/>
  <c r="M299" i="4" l="1"/>
  <c r="T298" i="4"/>
  <c r="Q298" i="4" s="1"/>
  <c r="T299" i="4" l="1"/>
  <c r="Q299" i="4" s="1"/>
  <c r="M300" i="4"/>
  <c r="M301" i="4" l="1"/>
  <c r="T300" i="4"/>
  <c r="Q300" i="4" s="1"/>
  <c r="M302" i="4" l="1"/>
  <c r="T301" i="4"/>
  <c r="Q301" i="4" s="1"/>
  <c r="M303" i="4" l="1"/>
  <c r="T302" i="4"/>
  <c r="Q302" i="4" s="1"/>
  <c r="T303" i="4" l="1"/>
  <c r="Q303" i="4" s="1"/>
  <c r="M304" i="4"/>
  <c r="M305" i="4" l="1"/>
  <c r="T304" i="4"/>
  <c r="Q304" i="4" s="1"/>
  <c r="M306" i="4" l="1"/>
  <c r="T305" i="4"/>
  <c r="Q305" i="4" s="1"/>
  <c r="M307" i="4" l="1"/>
  <c r="T306" i="4"/>
  <c r="Q306" i="4" s="1"/>
  <c r="T307" i="4" l="1"/>
  <c r="Q307" i="4" s="1"/>
  <c r="M308" i="4"/>
  <c r="M309" i="4" l="1"/>
  <c r="T308" i="4"/>
  <c r="Q308" i="4" s="1"/>
  <c r="M310" i="4" l="1"/>
  <c r="T309" i="4"/>
  <c r="Q309" i="4" s="1"/>
  <c r="M311" i="4" l="1"/>
  <c r="T310" i="4"/>
  <c r="Q310" i="4" s="1"/>
  <c r="T311" i="4" l="1"/>
  <c r="Q311" i="4" s="1"/>
  <c r="M312" i="4"/>
  <c r="M313" i="4" l="1"/>
  <c r="T312" i="4"/>
  <c r="Q312" i="4" s="1"/>
  <c r="M314" i="4" l="1"/>
  <c r="T313" i="4"/>
  <c r="Q313" i="4" s="1"/>
  <c r="T314" i="4" l="1"/>
  <c r="Q314" i="4" s="1"/>
  <c r="M315" i="4"/>
  <c r="T315" i="4" l="1"/>
  <c r="Q315" i="4" s="1"/>
  <c r="M316" i="4"/>
  <c r="M317" i="4" l="1"/>
  <c r="T316" i="4"/>
  <c r="Q316" i="4" s="1"/>
  <c r="M318" i="4" l="1"/>
  <c r="T317" i="4"/>
  <c r="Q317" i="4" s="1"/>
  <c r="M319" i="4" l="1"/>
  <c r="T318" i="4"/>
  <c r="Q318" i="4" s="1"/>
  <c r="T319" i="4" l="1"/>
  <c r="Q319" i="4" s="1"/>
  <c r="M320" i="4"/>
  <c r="M321" i="4" l="1"/>
  <c r="T320" i="4"/>
  <c r="Q320" i="4" s="1"/>
  <c r="M322" i="4" l="1"/>
  <c r="T321" i="4"/>
  <c r="Q321" i="4" s="1"/>
  <c r="T322" i="4" l="1"/>
  <c r="Q322" i="4" s="1"/>
  <c r="M323" i="4"/>
  <c r="T323" i="4" l="1"/>
  <c r="Q323" i="4" s="1"/>
  <c r="M324" i="4"/>
  <c r="M325" i="4" l="1"/>
  <c r="T324" i="4"/>
  <c r="Q324" i="4" s="1"/>
  <c r="M326" i="4" l="1"/>
  <c r="T325" i="4"/>
  <c r="Q325" i="4" s="1"/>
  <c r="M327" i="4" l="1"/>
  <c r="T326" i="4"/>
  <c r="Q326" i="4" s="1"/>
  <c r="M328" i="4" l="1"/>
  <c r="T327" i="4"/>
  <c r="Q327" i="4" s="1"/>
  <c r="M329" i="4" l="1"/>
  <c r="T328" i="4"/>
  <c r="Q328" i="4" s="1"/>
  <c r="T329" i="4" l="1"/>
  <c r="Q329" i="4" s="1"/>
  <c r="M330" i="4"/>
  <c r="M331" i="4" l="1"/>
  <c r="T330" i="4"/>
  <c r="Q330" i="4" s="1"/>
  <c r="T331" i="4" l="1"/>
  <c r="Q331" i="4" s="1"/>
  <c r="M332" i="4"/>
  <c r="T332" i="4" l="1"/>
  <c r="Q332" i="4" s="1"/>
  <c r="M333" i="4"/>
  <c r="T333" i="4" l="1"/>
  <c r="Q333" i="4" s="1"/>
  <c r="M334" i="4"/>
  <c r="M335" i="4" l="1"/>
  <c r="T334" i="4"/>
  <c r="Q334" i="4" s="1"/>
  <c r="M336" i="4" l="1"/>
  <c r="T335" i="4"/>
  <c r="Q335" i="4" s="1"/>
  <c r="T336" i="4" l="1"/>
  <c r="Q336" i="4" s="1"/>
  <c r="M337" i="4"/>
  <c r="T337" i="4" l="1"/>
  <c r="Q337" i="4" s="1"/>
  <c r="M338" i="4"/>
  <c r="M339" i="4" l="1"/>
  <c r="T338" i="4"/>
  <c r="Q338" i="4" s="1"/>
  <c r="M340" i="4" l="1"/>
  <c r="T339" i="4"/>
  <c r="Q339" i="4" s="1"/>
  <c r="T340" i="4" l="1"/>
  <c r="Q340" i="4" s="1"/>
  <c r="M341" i="4"/>
  <c r="M342" i="4" l="1"/>
  <c r="T341" i="4"/>
  <c r="Q341" i="4" s="1"/>
  <c r="T342" i="4" l="1"/>
  <c r="Q342" i="4" s="1"/>
  <c r="M343" i="4"/>
  <c r="M344" i="4" l="1"/>
  <c r="T343" i="4"/>
  <c r="Q343" i="4" s="1"/>
  <c r="T344" i="4" l="1"/>
  <c r="Q344" i="4" s="1"/>
  <c r="M345" i="4"/>
  <c r="M346" i="4" l="1"/>
  <c r="T345" i="4"/>
  <c r="Q345" i="4" s="1"/>
  <c r="T346" i="4" l="1"/>
  <c r="Q346" i="4" s="1"/>
  <c r="M347" i="4"/>
  <c r="M348" i="4" l="1"/>
  <c r="T347" i="4"/>
  <c r="Q347" i="4" s="1"/>
  <c r="T348" i="4" l="1"/>
  <c r="Q348" i="4" s="1"/>
  <c r="M349" i="4"/>
  <c r="M350" i="4" l="1"/>
  <c r="T349" i="4"/>
  <c r="Q349" i="4" s="1"/>
  <c r="M351" i="4" l="1"/>
  <c r="T350" i="4"/>
  <c r="Q350" i="4" s="1"/>
  <c r="M352" i="4" l="1"/>
  <c r="T351" i="4"/>
  <c r="Q351" i="4" s="1"/>
  <c r="T352" i="4" l="1"/>
  <c r="Q352" i="4" s="1"/>
  <c r="M353" i="4"/>
  <c r="M354" i="4" l="1"/>
  <c r="T353" i="4"/>
  <c r="Q353" i="4" s="1"/>
  <c r="M355" i="4" l="1"/>
  <c r="T354" i="4"/>
  <c r="Q354" i="4" s="1"/>
  <c r="M356" i="4" l="1"/>
  <c r="T355" i="4"/>
  <c r="Q355" i="4" s="1"/>
  <c r="T356" i="4" l="1"/>
  <c r="Q356" i="4" s="1"/>
  <c r="M357" i="4"/>
  <c r="M358" i="4" l="1"/>
  <c r="T357" i="4"/>
  <c r="Q357" i="4" s="1"/>
  <c r="T358" i="4" l="1"/>
  <c r="Q358" i="4" s="1"/>
  <c r="M359" i="4"/>
  <c r="M360" i="4" l="1"/>
  <c r="T359" i="4"/>
  <c r="Q359" i="4" s="1"/>
  <c r="T360" i="4" l="1"/>
  <c r="Q360" i="4" s="1"/>
  <c r="M361" i="4"/>
  <c r="M362" i="4" l="1"/>
  <c r="T361" i="4"/>
  <c r="Q361" i="4" s="1"/>
  <c r="T362" i="4" l="1"/>
  <c r="Q362" i="4" s="1"/>
  <c r="M363" i="4"/>
  <c r="M364" i="4" l="1"/>
  <c r="T363" i="4"/>
  <c r="Q363" i="4" s="1"/>
  <c r="T364" i="4" l="1"/>
  <c r="Q364" i="4" s="1"/>
  <c r="M365" i="4"/>
  <c r="M366" i="4" l="1"/>
  <c r="T365" i="4"/>
  <c r="Q365" i="4" s="1"/>
  <c r="M367" i="4" l="1"/>
  <c r="T366" i="4"/>
  <c r="Q366" i="4" s="1"/>
  <c r="M368" i="4" l="1"/>
  <c r="T367" i="4"/>
  <c r="Q367" i="4" s="1"/>
  <c r="T368" i="4" l="1"/>
  <c r="Q368" i="4" s="1"/>
  <c r="M369" i="4"/>
  <c r="M370" i="4" l="1"/>
  <c r="T369" i="4"/>
  <c r="Q369" i="4" s="1"/>
  <c r="M371" i="4" l="1"/>
  <c r="T370" i="4"/>
  <c r="Q370" i="4" s="1"/>
  <c r="M372" i="4" l="1"/>
  <c r="T371" i="4"/>
  <c r="Q371" i="4" s="1"/>
  <c r="T372" i="4" l="1"/>
  <c r="Q372" i="4" s="1"/>
  <c r="M373" i="4"/>
  <c r="M374" i="4" l="1"/>
  <c r="T373" i="4"/>
  <c r="Q373" i="4" s="1"/>
  <c r="T374" i="4" l="1"/>
  <c r="Q374" i="4" s="1"/>
  <c r="M375" i="4"/>
  <c r="M376" i="4" l="1"/>
  <c r="T375" i="4"/>
  <c r="Q375" i="4" s="1"/>
  <c r="T376" i="4" l="1"/>
  <c r="Q376" i="4" s="1"/>
  <c r="M377" i="4"/>
  <c r="M378" i="4" l="1"/>
  <c r="T377" i="4"/>
  <c r="Q377" i="4" s="1"/>
  <c r="T378" i="4" l="1"/>
  <c r="Q378" i="4" s="1"/>
  <c r="M379" i="4"/>
  <c r="M380" i="4" l="1"/>
  <c r="T379" i="4"/>
  <c r="Q379" i="4" s="1"/>
  <c r="T380" i="4" l="1"/>
  <c r="Q380" i="4" s="1"/>
  <c r="M381" i="4"/>
  <c r="M382" i="4" l="1"/>
  <c r="T381" i="4"/>
  <c r="Q381" i="4" s="1"/>
  <c r="M383" i="4" l="1"/>
  <c r="T382" i="4"/>
  <c r="Q382" i="4" s="1"/>
  <c r="M384" i="4" l="1"/>
  <c r="T383" i="4"/>
  <c r="Q383" i="4" s="1"/>
  <c r="T384" i="4" l="1"/>
  <c r="Q384" i="4" s="1"/>
  <c r="M385" i="4"/>
  <c r="M386" i="4" l="1"/>
  <c r="T385" i="4"/>
  <c r="Q385" i="4" s="1"/>
  <c r="M387" i="4" l="1"/>
  <c r="T387" i="4" s="1"/>
  <c r="T386" i="4"/>
  <c r="Q386" i="4" s="1"/>
  <c r="Q387" i="4" l="1"/>
</calcChain>
</file>

<file path=xl/sharedStrings.xml><?xml version="1.0" encoding="utf-8"?>
<sst xmlns="http://schemas.openxmlformats.org/spreadsheetml/2006/main" count="105" uniqueCount="42">
  <si>
    <t>Step</t>
  </si>
  <si>
    <t>Description</t>
  </si>
  <si>
    <t>Metric α</t>
  </si>
  <si>
    <t>v1.06</t>
  </si>
  <si>
    <t>v1.07</t>
  </si>
  <si>
    <t>Base results</t>
  </si>
  <si>
    <t>Updating  2016 assumptions.</t>
  </si>
  <si>
    <r>
      <t xml:space="preserve">Metric </t>
    </r>
    <r>
      <rPr>
        <b/>
        <sz val="15"/>
        <color theme="3"/>
        <rFont val="Calibri"/>
        <family val="2"/>
      </rPr>
      <t>β</t>
    </r>
  </si>
  <si>
    <r>
      <t xml:space="preserve">Metric </t>
    </r>
    <r>
      <rPr>
        <b/>
        <sz val="15"/>
        <color theme="3"/>
        <rFont val="Calibri"/>
        <family val="2"/>
      </rPr>
      <t>γ</t>
    </r>
  </si>
  <si>
    <t>Metric β</t>
  </si>
  <si>
    <t>Metric γ</t>
  </si>
  <si>
    <t>t</t>
  </si>
  <si>
    <t>y</t>
  </si>
  <si>
    <t>m</t>
  </si>
  <si>
    <t>1moTr</t>
  </si>
  <si>
    <t>3moTr</t>
  </si>
  <si>
    <t>6moTr</t>
  </si>
  <si>
    <t>1yrTr</t>
  </si>
  <si>
    <t>2yrTr</t>
  </si>
  <si>
    <t>3yrTr</t>
  </si>
  <si>
    <t>5yrTr</t>
  </si>
  <si>
    <t>7yrTr</t>
  </si>
  <si>
    <t>10yrTr</t>
  </si>
  <si>
    <t>20yrTr</t>
  </si>
  <si>
    <t>30yrTr</t>
  </si>
  <si>
    <t>SPI</t>
  </si>
  <si>
    <t>MSCI</t>
  </si>
  <si>
    <t>CBI</t>
  </si>
  <si>
    <t>SPI idx</t>
  </si>
  <si>
    <t>CBI idx</t>
  </si>
  <si>
    <t>MSCI idx</t>
  </si>
  <si>
    <t>Label</t>
  </si>
  <si>
    <t>Inversion</t>
  </si>
  <si>
    <t>Initial</t>
  </si>
  <si>
    <t>a</t>
  </si>
  <si>
    <t>b</t>
  </si>
  <si>
    <t>c</t>
  </si>
  <si>
    <t>d</t>
  </si>
  <si>
    <t>e</t>
  </si>
  <si>
    <t>f</t>
  </si>
  <si>
    <t>g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</si>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</sst>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9">
    <xf numFmtId="0" fontId="0" fillId="0" borderId="0" xfId="0"/>
    <xf numFmtId="0" fontId="2" fillId="0" borderId="1" xfId="2"/>
    <xf numFmtId="0" fontId="3" fillId="0" borderId="2" xfId="3"/>
    <xf numFmtId="9" fontId="0" fillId="0" borderId="0" xfId="1" applyFon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0" xfId="0" applyFont="1"/>
    <xf numFmtId="0" fontId="4" fillId="2" borderId="0" xfId="0" applyFont="1" applyFill="1"/>
    <xf numFmtId="0" fontId="0" fillId="2" borderId="0" xfId="0" applyFill="1"/>
  </cellXfs>
  <cellStyles count="4">
    <cellStyle name="Heading 1" xfId="2" builtinId="16"/>
    <cellStyle name="Heading 2" xfId="3" builtinId="17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Metric </a:t>
            </a:r>
            <a:r>
              <a:rPr lang="el-GR"/>
              <a:t>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data!$B$16</c:f>
              <c:strCache>
                <c:ptCount val="1"/>
                <c:pt idx="0">
                  <c:v>v1.06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data!$D$16:$X$16</c:f>
              <c:numCache>
                <c:formatCode>0%</c:formatCode>
                <c:ptCount val="21"/>
                <c:pt idx="0">
                  <c:v>5.89</c:v>
                </c:pt>
                <c:pt idx="1">
                  <c:v>5.8946806405755972</c:v>
                </c:pt>
                <c:pt idx="2">
                  <c:v>5.8220464547809057</c:v>
                </c:pt>
                <c:pt idx="3">
                  <c:v>5.8208332143048818</c:v>
                </c:pt>
                <c:pt idx="4">
                  <c:v>5.8150299148083482</c:v>
                </c:pt>
                <c:pt idx="5">
                  <c:v>5.8092904577061413</c:v>
                </c:pt>
                <c:pt idx="6">
                  <c:v>5.8094189663949338</c:v>
                </c:pt>
                <c:pt idx="7">
                  <c:v>5.7949490869674367</c:v>
                </c:pt>
                <c:pt idx="8">
                  <c:v>5.7949376212552277</c:v>
                </c:pt>
                <c:pt idx="9">
                  <c:v>5.8166987992561276</c:v>
                </c:pt>
                <c:pt idx="10">
                  <c:v>5.8096285695673959</c:v>
                </c:pt>
                <c:pt idx="11">
                  <c:v>5.7972093914352048</c:v>
                </c:pt>
                <c:pt idx="12">
                  <c:v>5.8225478120641174</c:v>
                </c:pt>
                <c:pt idx="13">
                  <c:v>5.8196039321171682</c:v>
                </c:pt>
                <c:pt idx="14">
                  <c:v>5.8778473205881578</c:v>
                </c:pt>
                <c:pt idx="15">
                  <c:v>5.8821055428246982</c:v>
                </c:pt>
                <c:pt idx="16">
                  <c:v>5.8614913213261159</c:v>
                </c:pt>
                <c:pt idx="17">
                  <c:v>5.8601983203598067</c:v>
                </c:pt>
                <c:pt idx="18">
                  <c:v>5.8461238583407402</c:v>
                </c:pt>
                <c:pt idx="19">
                  <c:v>5.8875562067102214</c:v>
                </c:pt>
                <c:pt idx="20">
                  <c:v>5.8564757228381978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B4-4B0B-BA5F-ED344356157F}"/>
            </c:ext>
          </c:extLst>
        </c:ser>
        <c:ser>
          <c:idx val="1"/>
          <c:order val="1"/>
          <c:tx>
            <c:strRef>
              <c:f>data!$B$17</c:f>
              <c:strCache>
                <c:ptCount val="1"/>
                <c:pt idx="0">
                  <c:v>v1.07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data!$D$15:$X$15</c:f>
              <c:numCache>
                <c:formatCode>General</c:formatCode>
                <c:ptCount val="21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  <c:pt idx="8">
                  <c:v>2024</c:v>
                </c:pt>
                <c:pt idx="9">
                  <c:v>2025</c:v>
                </c:pt>
                <c:pt idx="10">
                  <c:v>2026</c:v>
                </c:pt>
                <c:pt idx="11">
                  <c:v>2027</c:v>
                </c:pt>
                <c:pt idx="12">
                  <c:v>2028</c:v>
                </c:pt>
                <c:pt idx="13">
                  <c:v>2029</c:v>
                </c:pt>
                <c:pt idx="14">
                  <c:v>2030</c:v>
                </c:pt>
                <c:pt idx="15">
                  <c:v>2031</c:v>
                </c:pt>
                <c:pt idx="16">
                  <c:v>2032</c:v>
                </c:pt>
                <c:pt idx="17">
                  <c:v>2033</c:v>
                </c:pt>
                <c:pt idx="18">
                  <c:v>2034</c:v>
                </c:pt>
                <c:pt idx="19">
                  <c:v>2035</c:v>
                </c:pt>
                <c:pt idx="20">
                  <c:v>2036</c:v>
                </c:pt>
              </c:numCache>
            </c:numRef>
          </c:cat>
          <c:val>
            <c:numRef>
              <c:f>data!$D$17:$X$17</c:f>
              <c:numCache>
                <c:formatCode>0%</c:formatCode>
                <c:ptCount val="21"/>
                <c:pt idx="0">
                  <c:v>5.89</c:v>
                </c:pt>
                <c:pt idx="1">
                  <c:v>5.8900586964437114</c:v>
                </c:pt>
                <c:pt idx="2">
                  <c:v>5.8423647099348877</c:v>
                </c:pt>
                <c:pt idx="3">
                  <c:v>5.8949348649360571</c:v>
                </c:pt>
                <c:pt idx="4">
                  <c:v>5.8764055713559529</c:v>
                </c:pt>
                <c:pt idx="5">
                  <c:v>5.7838493340995019</c:v>
                </c:pt>
                <c:pt idx="6">
                  <c:v>5.8764947122640514</c:v>
                </c:pt>
                <c:pt idx="7">
                  <c:v>5.8045281442211385</c:v>
                </c:pt>
                <c:pt idx="8">
                  <c:v>5.6895049541732599</c:v>
                </c:pt>
                <c:pt idx="9">
                  <c:v>5.6650794651115453</c:v>
                </c:pt>
                <c:pt idx="10">
                  <c:v>5.672955386536322</c:v>
                </c:pt>
                <c:pt idx="11">
                  <c:v>5.7487234794432709</c:v>
                </c:pt>
                <c:pt idx="12">
                  <c:v>5.7275949409472329</c:v>
                </c:pt>
                <c:pt idx="13">
                  <c:v>5.7520294572104316</c:v>
                </c:pt>
                <c:pt idx="14">
                  <c:v>5.7041941435711232</c:v>
                </c:pt>
                <c:pt idx="15">
                  <c:v>5.7202135581210047</c:v>
                </c:pt>
                <c:pt idx="16">
                  <c:v>5.7295900298025888</c:v>
                </c:pt>
                <c:pt idx="17">
                  <c:v>5.8402027594748809</c:v>
                </c:pt>
                <c:pt idx="18">
                  <c:v>5.8884655268176047</c:v>
                </c:pt>
                <c:pt idx="19">
                  <c:v>5.9077479258661016</c:v>
                </c:pt>
                <c:pt idx="20">
                  <c:v>5.9051865361880962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2B4-4B0B-BA5F-ED3443561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32176"/>
        <c:axId val="475230208"/>
      </c:lineChart>
      <c:catAx>
        <c:axId val="4752321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30208"/>
        <c:crosses val="autoZero"/>
        <c:auto val="1"/>
        <c:lblAlgn val="ctr"/>
        <c:lblOffset val="100"/>
        <c:noMultiLvlLbl val="0"/>
      </c:catAx>
      <c:valAx>
        <c:axId val="47523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3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Yield Curve</a:t>
            </a:r>
            <a:r>
              <a:rPr lang="en-US" baseline="0"/>
              <a:t> Projection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692372216359553E-2"/>
          <c:y val="1.2583092061945866E-2"/>
          <c:w val="0.84595866133325737"/>
          <c:h val="0.85570852612495607"/>
        </c:manualLayout>
      </c:layout>
      <c:lineChart>
        <c:grouping val="standard"/>
        <c:varyColors val="0"/>
        <c:ser>
          <c:idx val="3"/>
          <c:order val="1"/>
          <c:tx>
            <c:strRef>
              <c:f>'idx data'!$G$2</c:f>
              <c:strCache>
                <c:ptCount val="1"/>
                <c:pt idx="0">
                  <c:v>1yrTr</c:v>
                </c:pt>
              </c:strCache>
            </c:strRef>
          </c:tx>
          <c:spPr>
            <a:ln w="28575" cap="rnd">
              <a:solidFill>
                <a:schemeClr val="accent5">
                  <a:tint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'idx data'!$A$3:$A$387</c:f>
              <c:numCache>
                <c:formatCode>General</c:formatCode>
                <c:ptCount val="3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</c:numCache>
            </c:numRef>
          </c:cat>
          <c:val>
            <c:numRef>
              <c:f>'idx data'!$G$3:$G$387</c:f>
              <c:numCache>
                <c:formatCode>General</c:formatCode>
                <c:ptCount val="385"/>
                <c:pt idx="0">
                  <c:v>1.1599999999999999E-2</c:v>
                </c:pt>
                <c:pt idx="1">
                  <c:v>1.1504E-2</c:v>
                </c:pt>
                <c:pt idx="2">
                  <c:v>1.1454000000000001E-2</c:v>
                </c:pt>
                <c:pt idx="3">
                  <c:v>1.1443999999999999E-2</c:v>
                </c:pt>
                <c:pt idx="4">
                  <c:v>1.1448E-2</c:v>
                </c:pt>
                <c:pt idx="5">
                  <c:v>1.1403999999999999E-2</c:v>
                </c:pt>
                <c:pt idx="6">
                  <c:v>1.1349E-2</c:v>
                </c:pt>
                <c:pt idx="7">
                  <c:v>1.1299E-2</c:v>
                </c:pt>
                <c:pt idx="8">
                  <c:v>1.1228999999999999E-2</c:v>
                </c:pt>
                <c:pt idx="9">
                  <c:v>1.1138E-2</c:v>
                </c:pt>
                <c:pt idx="10">
                  <c:v>1.1223E-2</c:v>
                </c:pt>
                <c:pt idx="11">
                  <c:v>1.1214E-2</c:v>
                </c:pt>
                <c:pt idx="12">
                  <c:v>1.1119E-2</c:v>
                </c:pt>
                <c:pt idx="13">
                  <c:v>1.1133000000000001E-2</c:v>
                </c:pt>
                <c:pt idx="14">
                  <c:v>1.1107000000000001E-2</c:v>
                </c:pt>
                <c:pt idx="15">
                  <c:v>1.1049E-2</c:v>
                </c:pt>
                <c:pt idx="16">
                  <c:v>1.1140000000000001E-2</c:v>
                </c:pt>
                <c:pt idx="17">
                  <c:v>1.1169E-2</c:v>
                </c:pt>
                <c:pt idx="18">
                  <c:v>1.1098E-2</c:v>
                </c:pt>
                <c:pt idx="19">
                  <c:v>1.1164E-2</c:v>
                </c:pt>
                <c:pt idx="20">
                  <c:v>1.1237E-2</c:v>
                </c:pt>
                <c:pt idx="21">
                  <c:v>1.1143E-2</c:v>
                </c:pt>
                <c:pt idx="22">
                  <c:v>1.1089E-2</c:v>
                </c:pt>
                <c:pt idx="23">
                  <c:v>1.1065999999999999E-2</c:v>
                </c:pt>
                <c:pt idx="24">
                  <c:v>1.111E-2</c:v>
                </c:pt>
                <c:pt idx="25">
                  <c:v>1.1065E-2</c:v>
                </c:pt>
                <c:pt idx="26">
                  <c:v>1.106E-2</c:v>
                </c:pt>
                <c:pt idx="27">
                  <c:v>1.1077999999999999E-2</c:v>
                </c:pt>
                <c:pt idx="28">
                  <c:v>1.1053E-2</c:v>
                </c:pt>
                <c:pt idx="29">
                  <c:v>1.1049E-2</c:v>
                </c:pt>
                <c:pt idx="30">
                  <c:v>1.0956E-2</c:v>
                </c:pt>
                <c:pt idx="31">
                  <c:v>1.0864E-2</c:v>
                </c:pt>
                <c:pt idx="32">
                  <c:v>1.0862999999999999E-2</c:v>
                </c:pt>
                <c:pt idx="33">
                  <c:v>1.0899000000000001E-2</c:v>
                </c:pt>
                <c:pt idx="34">
                  <c:v>1.0966E-2</c:v>
                </c:pt>
                <c:pt idx="35">
                  <c:v>1.0914E-2</c:v>
                </c:pt>
                <c:pt idx="36">
                  <c:v>1.0851E-2</c:v>
                </c:pt>
                <c:pt idx="37">
                  <c:v>1.0822999999999999E-2</c:v>
                </c:pt>
                <c:pt idx="38">
                  <c:v>1.0907999999999999E-2</c:v>
                </c:pt>
                <c:pt idx="39">
                  <c:v>1.094E-2</c:v>
                </c:pt>
                <c:pt idx="40">
                  <c:v>1.0900999999999999E-2</c:v>
                </c:pt>
                <c:pt idx="41">
                  <c:v>1.0828000000000001E-2</c:v>
                </c:pt>
                <c:pt idx="42">
                  <c:v>1.0881999999999999E-2</c:v>
                </c:pt>
                <c:pt idx="43">
                  <c:v>1.0962E-2</c:v>
                </c:pt>
                <c:pt idx="44">
                  <c:v>1.102E-2</c:v>
                </c:pt>
                <c:pt idx="45">
                  <c:v>1.0947999999999999E-2</c:v>
                </c:pt>
                <c:pt idx="46">
                  <c:v>1.0857E-2</c:v>
                </c:pt>
                <c:pt idx="47">
                  <c:v>1.0847000000000001E-2</c:v>
                </c:pt>
                <c:pt idx="48">
                  <c:v>1.081E-2</c:v>
                </c:pt>
                <c:pt idx="49">
                  <c:v>1.074E-2</c:v>
                </c:pt>
                <c:pt idx="50">
                  <c:v>1.073E-2</c:v>
                </c:pt>
                <c:pt idx="51">
                  <c:v>1.0796E-2</c:v>
                </c:pt>
                <c:pt idx="52">
                  <c:v>1.0808999999999999E-2</c:v>
                </c:pt>
                <c:pt idx="53">
                  <c:v>1.0846E-2</c:v>
                </c:pt>
                <c:pt idx="54">
                  <c:v>1.0791E-2</c:v>
                </c:pt>
                <c:pt idx="55">
                  <c:v>1.0713E-2</c:v>
                </c:pt>
                <c:pt idx="56">
                  <c:v>1.0654E-2</c:v>
                </c:pt>
                <c:pt idx="57">
                  <c:v>1.0606000000000001E-2</c:v>
                </c:pt>
                <c:pt idx="58">
                  <c:v>1.0706E-2</c:v>
                </c:pt>
                <c:pt idx="59">
                  <c:v>1.0609E-2</c:v>
                </c:pt>
                <c:pt idx="60">
                  <c:v>1.0676E-2</c:v>
                </c:pt>
                <c:pt idx="61">
                  <c:v>1.0664E-2</c:v>
                </c:pt>
                <c:pt idx="62">
                  <c:v>1.0658000000000001E-2</c:v>
                </c:pt>
                <c:pt idx="63">
                  <c:v>1.0562E-2</c:v>
                </c:pt>
                <c:pt idx="64">
                  <c:v>1.0621999999999999E-2</c:v>
                </c:pt>
                <c:pt idx="65">
                  <c:v>1.0593999999999999E-2</c:v>
                </c:pt>
                <c:pt idx="66">
                  <c:v>1.0506E-2</c:v>
                </c:pt>
                <c:pt idx="67">
                  <c:v>1.0421E-2</c:v>
                </c:pt>
                <c:pt idx="68">
                  <c:v>1.0377000000000001E-2</c:v>
                </c:pt>
                <c:pt idx="69">
                  <c:v>1.0362E-2</c:v>
                </c:pt>
                <c:pt idx="70">
                  <c:v>1.0442E-2</c:v>
                </c:pt>
                <c:pt idx="71">
                  <c:v>1.0532E-2</c:v>
                </c:pt>
                <c:pt idx="72">
                  <c:v>1.0436000000000001E-2</c:v>
                </c:pt>
                <c:pt idx="73">
                  <c:v>1.0456999999999999E-2</c:v>
                </c:pt>
                <c:pt idx="74">
                  <c:v>1.0369E-2</c:v>
                </c:pt>
                <c:pt idx="75">
                  <c:v>1.0333E-2</c:v>
                </c:pt>
                <c:pt idx="76">
                  <c:v>1.0316000000000001E-2</c:v>
                </c:pt>
                <c:pt idx="77">
                  <c:v>1.0394E-2</c:v>
                </c:pt>
                <c:pt idx="78">
                  <c:v>1.0449999999999999E-2</c:v>
                </c:pt>
                <c:pt idx="79">
                  <c:v>1.0456E-2</c:v>
                </c:pt>
                <c:pt idx="80">
                  <c:v>1.0513E-2</c:v>
                </c:pt>
                <c:pt idx="81">
                  <c:v>1.0605E-2</c:v>
                </c:pt>
                <c:pt idx="82">
                  <c:v>1.0612E-2</c:v>
                </c:pt>
                <c:pt idx="83">
                  <c:v>1.0513E-2</c:v>
                </c:pt>
                <c:pt idx="84">
                  <c:v>1.0415000000000001E-2</c:v>
                </c:pt>
                <c:pt idx="85">
                  <c:v>1.0351000000000001E-2</c:v>
                </c:pt>
                <c:pt idx="86">
                  <c:v>1.0285000000000001E-2</c:v>
                </c:pt>
                <c:pt idx="87">
                  <c:v>1.0229E-2</c:v>
                </c:pt>
                <c:pt idx="88">
                  <c:v>1.0165E-2</c:v>
                </c:pt>
                <c:pt idx="89">
                  <c:v>1.0093E-2</c:v>
                </c:pt>
                <c:pt idx="90">
                  <c:v>1.0045999999999999E-2</c:v>
                </c:pt>
                <c:pt idx="91">
                  <c:v>1.0142999999999999E-2</c:v>
                </c:pt>
                <c:pt idx="92">
                  <c:v>1.0139E-2</c:v>
                </c:pt>
                <c:pt idx="93">
                  <c:v>1.0127000000000001E-2</c:v>
                </c:pt>
                <c:pt idx="94">
                  <c:v>1.0030000000000001E-2</c:v>
                </c:pt>
                <c:pt idx="95">
                  <c:v>1.0012999999999999E-2</c:v>
                </c:pt>
                <c:pt idx="96">
                  <c:v>1.0044000000000001E-2</c:v>
                </c:pt>
                <c:pt idx="97">
                  <c:v>1.0005E-2</c:v>
                </c:pt>
                <c:pt idx="98">
                  <c:v>1.0018000000000001E-2</c:v>
                </c:pt>
                <c:pt idx="99">
                  <c:v>1.001E-2</c:v>
                </c:pt>
                <c:pt idx="100">
                  <c:v>1.0024999999999999E-2</c:v>
                </c:pt>
                <c:pt idx="101">
                  <c:v>9.9959999999999997E-3</c:v>
                </c:pt>
                <c:pt idx="102">
                  <c:v>9.9900000000000006E-3</c:v>
                </c:pt>
                <c:pt idx="103">
                  <c:v>1.0056000000000001E-2</c:v>
                </c:pt>
                <c:pt idx="104">
                  <c:v>1.0083999999999999E-2</c:v>
                </c:pt>
                <c:pt idx="105">
                  <c:v>1.0109999999999999E-2</c:v>
                </c:pt>
                <c:pt idx="106">
                  <c:v>1.0182E-2</c:v>
                </c:pt>
                <c:pt idx="107">
                  <c:v>1.0113E-2</c:v>
                </c:pt>
                <c:pt idx="108">
                  <c:v>1.0129000000000001E-2</c:v>
                </c:pt>
                <c:pt idx="109">
                  <c:v>1.0173E-2</c:v>
                </c:pt>
                <c:pt idx="110">
                  <c:v>1.0222999999999999E-2</c:v>
                </c:pt>
                <c:pt idx="111">
                  <c:v>1.0156E-2</c:v>
                </c:pt>
                <c:pt idx="112">
                  <c:v>1.0085E-2</c:v>
                </c:pt>
                <c:pt idx="113">
                  <c:v>9.9989999999999992E-3</c:v>
                </c:pt>
                <c:pt idx="114">
                  <c:v>9.9089999999999994E-3</c:v>
                </c:pt>
                <c:pt idx="115">
                  <c:v>9.9249999999999998E-3</c:v>
                </c:pt>
                <c:pt idx="116">
                  <c:v>1.0004000000000001E-2</c:v>
                </c:pt>
                <c:pt idx="117">
                  <c:v>9.953E-3</c:v>
                </c:pt>
                <c:pt idx="118">
                  <c:v>9.9939999999999994E-3</c:v>
                </c:pt>
                <c:pt idx="119">
                  <c:v>1.0059E-2</c:v>
                </c:pt>
                <c:pt idx="120">
                  <c:v>1.0021E-2</c:v>
                </c:pt>
                <c:pt idx="121">
                  <c:v>1.0085999999999999E-2</c:v>
                </c:pt>
                <c:pt idx="122">
                  <c:v>1.0031999999999999E-2</c:v>
                </c:pt>
                <c:pt idx="123">
                  <c:v>9.9749999999999995E-3</c:v>
                </c:pt>
                <c:pt idx="124">
                  <c:v>9.9900000000000006E-3</c:v>
                </c:pt>
                <c:pt idx="125">
                  <c:v>9.9129999999999999E-3</c:v>
                </c:pt>
                <c:pt idx="126">
                  <c:v>9.8840000000000004E-3</c:v>
                </c:pt>
                <c:pt idx="127">
                  <c:v>9.7959999999999992E-3</c:v>
                </c:pt>
                <c:pt idx="128">
                  <c:v>9.8099999999999993E-3</c:v>
                </c:pt>
                <c:pt idx="129">
                  <c:v>9.7809999999999998E-3</c:v>
                </c:pt>
                <c:pt idx="130">
                  <c:v>9.6889999999999997E-3</c:v>
                </c:pt>
                <c:pt idx="131">
                  <c:v>9.6310000000000007E-3</c:v>
                </c:pt>
                <c:pt idx="132">
                  <c:v>9.6500000000000006E-3</c:v>
                </c:pt>
                <c:pt idx="133">
                  <c:v>9.5840000000000005E-3</c:v>
                </c:pt>
                <c:pt idx="134">
                  <c:v>9.5949999999999994E-3</c:v>
                </c:pt>
                <c:pt idx="135">
                  <c:v>9.6670000000000002E-3</c:v>
                </c:pt>
                <c:pt idx="136">
                  <c:v>9.7179999999999992E-3</c:v>
                </c:pt>
                <c:pt idx="137">
                  <c:v>9.7050000000000001E-3</c:v>
                </c:pt>
                <c:pt idx="138">
                  <c:v>9.7040000000000008E-3</c:v>
                </c:pt>
                <c:pt idx="139">
                  <c:v>9.7459999999999995E-3</c:v>
                </c:pt>
                <c:pt idx="140">
                  <c:v>9.8370000000000003E-3</c:v>
                </c:pt>
                <c:pt idx="141">
                  <c:v>9.8650000000000005E-3</c:v>
                </c:pt>
                <c:pt idx="142">
                  <c:v>9.9170000000000005E-3</c:v>
                </c:pt>
                <c:pt idx="143">
                  <c:v>9.8860000000000007E-3</c:v>
                </c:pt>
                <c:pt idx="144">
                  <c:v>9.8370000000000003E-3</c:v>
                </c:pt>
                <c:pt idx="145">
                  <c:v>9.8689999999999993E-3</c:v>
                </c:pt>
                <c:pt idx="146">
                  <c:v>9.8700000000000003E-3</c:v>
                </c:pt>
                <c:pt idx="147">
                  <c:v>9.8930000000000008E-3</c:v>
                </c:pt>
                <c:pt idx="148">
                  <c:v>9.9019999999999993E-3</c:v>
                </c:pt>
                <c:pt idx="149">
                  <c:v>9.894E-3</c:v>
                </c:pt>
                <c:pt idx="150">
                  <c:v>9.9129999999999999E-3</c:v>
                </c:pt>
                <c:pt idx="151">
                  <c:v>1.0012E-2</c:v>
                </c:pt>
                <c:pt idx="152">
                  <c:v>1.0109E-2</c:v>
                </c:pt>
                <c:pt idx="153">
                  <c:v>1.0187999999999999E-2</c:v>
                </c:pt>
                <c:pt idx="154">
                  <c:v>1.0118E-2</c:v>
                </c:pt>
                <c:pt idx="155">
                  <c:v>1.0177E-2</c:v>
                </c:pt>
                <c:pt idx="156">
                  <c:v>1.0276E-2</c:v>
                </c:pt>
                <c:pt idx="157">
                  <c:v>1.0251E-2</c:v>
                </c:pt>
                <c:pt idx="158">
                  <c:v>1.0184E-2</c:v>
                </c:pt>
                <c:pt idx="159">
                  <c:v>1.0097E-2</c:v>
                </c:pt>
                <c:pt idx="160">
                  <c:v>1.013E-2</c:v>
                </c:pt>
                <c:pt idx="161">
                  <c:v>1.0142999999999999E-2</c:v>
                </c:pt>
                <c:pt idx="162">
                  <c:v>1.0156E-2</c:v>
                </c:pt>
                <c:pt idx="163">
                  <c:v>1.0201999999999999E-2</c:v>
                </c:pt>
                <c:pt idx="164">
                  <c:v>1.0208999999999999E-2</c:v>
                </c:pt>
                <c:pt idx="165">
                  <c:v>1.0279999999999999E-2</c:v>
                </c:pt>
                <c:pt idx="166">
                  <c:v>1.0345999999999999E-2</c:v>
                </c:pt>
                <c:pt idx="167">
                  <c:v>1.035E-2</c:v>
                </c:pt>
                <c:pt idx="168">
                  <c:v>1.0278000000000001E-2</c:v>
                </c:pt>
                <c:pt idx="169">
                  <c:v>1.0326E-2</c:v>
                </c:pt>
                <c:pt idx="170">
                  <c:v>1.0378E-2</c:v>
                </c:pt>
                <c:pt idx="171">
                  <c:v>1.0356000000000001E-2</c:v>
                </c:pt>
                <c:pt idx="172">
                  <c:v>1.0345999999999999E-2</c:v>
                </c:pt>
                <c:pt idx="173">
                  <c:v>1.0418E-2</c:v>
                </c:pt>
                <c:pt idx="174">
                  <c:v>1.0466E-2</c:v>
                </c:pt>
                <c:pt idx="175">
                  <c:v>1.038E-2</c:v>
                </c:pt>
                <c:pt idx="176">
                  <c:v>1.0410000000000001E-2</c:v>
                </c:pt>
                <c:pt idx="177">
                  <c:v>1.0489999999999999E-2</c:v>
                </c:pt>
                <c:pt idx="178">
                  <c:v>1.0545000000000001E-2</c:v>
                </c:pt>
                <c:pt idx="179">
                  <c:v>1.0534E-2</c:v>
                </c:pt>
                <c:pt idx="180">
                  <c:v>1.0468999999999999E-2</c:v>
                </c:pt>
                <c:pt idx="181">
                  <c:v>1.0390999999999999E-2</c:v>
                </c:pt>
                <c:pt idx="182">
                  <c:v>1.0326999999999999E-2</c:v>
                </c:pt>
                <c:pt idx="183">
                  <c:v>1.0330000000000001E-2</c:v>
                </c:pt>
                <c:pt idx="184">
                  <c:v>1.0370000000000001E-2</c:v>
                </c:pt>
                <c:pt idx="185">
                  <c:v>1.0338E-2</c:v>
                </c:pt>
                <c:pt idx="186">
                  <c:v>1.0241999999999999E-2</c:v>
                </c:pt>
                <c:pt idx="187">
                  <c:v>1.0187E-2</c:v>
                </c:pt>
                <c:pt idx="188">
                  <c:v>1.0239E-2</c:v>
                </c:pt>
                <c:pt idx="189">
                  <c:v>1.0189999999999999E-2</c:v>
                </c:pt>
                <c:pt idx="190">
                  <c:v>1.0207000000000001E-2</c:v>
                </c:pt>
                <c:pt idx="191">
                  <c:v>1.0156E-2</c:v>
                </c:pt>
                <c:pt idx="192">
                  <c:v>1.0149999999999999E-2</c:v>
                </c:pt>
                <c:pt idx="193">
                  <c:v>1.0126E-2</c:v>
                </c:pt>
                <c:pt idx="194">
                  <c:v>1.0092E-2</c:v>
                </c:pt>
                <c:pt idx="195">
                  <c:v>1.0189999999999999E-2</c:v>
                </c:pt>
                <c:pt idx="196">
                  <c:v>1.0217E-2</c:v>
                </c:pt>
                <c:pt idx="197">
                  <c:v>1.0194999999999999E-2</c:v>
                </c:pt>
                <c:pt idx="198">
                  <c:v>1.0231000000000001E-2</c:v>
                </c:pt>
                <c:pt idx="199">
                  <c:v>1.0281999999999999E-2</c:v>
                </c:pt>
                <c:pt idx="200">
                  <c:v>1.0337000000000001E-2</c:v>
                </c:pt>
                <c:pt idx="201">
                  <c:v>1.0319999999999999E-2</c:v>
                </c:pt>
                <c:pt idx="202">
                  <c:v>1.0404E-2</c:v>
                </c:pt>
                <c:pt idx="203">
                  <c:v>1.0316000000000001E-2</c:v>
                </c:pt>
                <c:pt idx="204">
                  <c:v>1.0383999999999999E-2</c:v>
                </c:pt>
                <c:pt idx="205">
                  <c:v>1.0347E-2</c:v>
                </c:pt>
                <c:pt idx="206">
                  <c:v>1.0347E-2</c:v>
                </c:pt>
                <c:pt idx="207">
                  <c:v>1.0387E-2</c:v>
                </c:pt>
                <c:pt idx="208">
                  <c:v>1.0397E-2</c:v>
                </c:pt>
                <c:pt idx="209">
                  <c:v>1.0345E-2</c:v>
                </c:pt>
                <c:pt idx="210">
                  <c:v>1.0272E-2</c:v>
                </c:pt>
                <c:pt idx="211">
                  <c:v>1.0227E-2</c:v>
                </c:pt>
                <c:pt idx="212">
                  <c:v>1.0189999999999999E-2</c:v>
                </c:pt>
                <c:pt idx="213">
                  <c:v>1.0236E-2</c:v>
                </c:pt>
                <c:pt idx="214">
                  <c:v>1.0276E-2</c:v>
                </c:pt>
                <c:pt idx="215">
                  <c:v>1.0328E-2</c:v>
                </c:pt>
                <c:pt idx="216">
                  <c:v>1.0388E-2</c:v>
                </c:pt>
                <c:pt idx="217">
                  <c:v>1.0352E-2</c:v>
                </c:pt>
                <c:pt idx="218">
                  <c:v>1.0371999999999999E-2</c:v>
                </c:pt>
                <c:pt idx="219">
                  <c:v>1.0401000000000001E-2</c:v>
                </c:pt>
                <c:pt idx="220">
                  <c:v>1.0342E-2</c:v>
                </c:pt>
                <c:pt idx="221">
                  <c:v>1.0343E-2</c:v>
                </c:pt>
                <c:pt idx="222">
                  <c:v>1.0299000000000001E-2</c:v>
                </c:pt>
                <c:pt idx="223">
                  <c:v>1.0246E-2</c:v>
                </c:pt>
                <c:pt idx="224">
                  <c:v>1.0163999999999999E-2</c:v>
                </c:pt>
                <c:pt idx="225">
                  <c:v>1.0215E-2</c:v>
                </c:pt>
                <c:pt idx="226">
                  <c:v>1.0208E-2</c:v>
                </c:pt>
                <c:pt idx="227">
                  <c:v>1.0276E-2</c:v>
                </c:pt>
                <c:pt idx="228">
                  <c:v>1.0198E-2</c:v>
                </c:pt>
                <c:pt idx="229">
                  <c:v>1.0196999999999999E-2</c:v>
                </c:pt>
                <c:pt idx="230">
                  <c:v>1.0207000000000001E-2</c:v>
                </c:pt>
                <c:pt idx="231">
                  <c:v>1.0253999999999999E-2</c:v>
                </c:pt>
                <c:pt idx="232">
                  <c:v>1.0305999999999999E-2</c:v>
                </c:pt>
                <c:pt idx="233">
                  <c:v>1.0277E-2</c:v>
                </c:pt>
                <c:pt idx="234">
                  <c:v>1.0245000000000001E-2</c:v>
                </c:pt>
                <c:pt idx="235">
                  <c:v>1.0246999999999999E-2</c:v>
                </c:pt>
                <c:pt idx="236">
                  <c:v>1.0215E-2</c:v>
                </c:pt>
                <c:pt idx="237">
                  <c:v>1.0222E-2</c:v>
                </c:pt>
                <c:pt idx="238">
                  <c:v>1.0129000000000001E-2</c:v>
                </c:pt>
                <c:pt idx="239">
                  <c:v>1.005E-2</c:v>
                </c:pt>
                <c:pt idx="240">
                  <c:v>1.01E-2</c:v>
                </c:pt>
                <c:pt idx="241">
                  <c:v>1.0102E-2</c:v>
                </c:pt>
                <c:pt idx="242">
                  <c:v>1.0119E-2</c:v>
                </c:pt>
                <c:pt idx="243">
                  <c:v>1.0201999999999999E-2</c:v>
                </c:pt>
                <c:pt idx="244">
                  <c:v>1.0302E-2</c:v>
                </c:pt>
                <c:pt idx="245">
                  <c:v>1.0369E-2</c:v>
                </c:pt>
                <c:pt idx="246">
                  <c:v>1.0300999999999999E-2</c:v>
                </c:pt>
                <c:pt idx="247">
                  <c:v>1.0357E-2</c:v>
                </c:pt>
                <c:pt idx="248">
                  <c:v>1.0269E-2</c:v>
                </c:pt>
                <c:pt idx="249">
                  <c:v>1.0198E-2</c:v>
                </c:pt>
                <c:pt idx="250">
                  <c:v>1.0127000000000001E-2</c:v>
                </c:pt>
                <c:pt idx="251">
                  <c:v>1.0226000000000001E-2</c:v>
                </c:pt>
                <c:pt idx="252">
                  <c:v>1.0127000000000001E-2</c:v>
                </c:pt>
                <c:pt idx="253">
                  <c:v>1.0047E-2</c:v>
                </c:pt>
                <c:pt idx="254">
                  <c:v>1.0127000000000001E-2</c:v>
                </c:pt>
                <c:pt idx="255">
                  <c:v>1.0134000000000001E-2</c:v>
                </c:pt>
                <c:pt idx="256">
                  <c:v>1.0184E-2</c:v>
                </c:pt>
                <c:pt idx="257">
                  <c:v>1.0233000000000001E-2</c:v>
                </c:pt>
                <c:pt idx="258">
                  <c:v>1.0170999999999999E-2</c:v>
                </c:pt>
                <c:pt idx="259">
                  <c:v>1.0159E-2</c:v>
                </c:pt>
                <c:pt idx="260">
                  <c:v>1.0108000000000001E-2</c:v>
                </c:pt>
                <c:pt idx="261">
                  <c:v>1.0153000000000001E-2</c:v>
                </c:pt>
                <c:pt idx="262">
                  <c:v>1.0163E-2</c:v>
                </c:pt>
                <c:pt idx="263">
                  <c:v>1.0071999999999999E-2</c:v>
                </c:pt>
                <c:pt idx="264">
                  <c:v>1.0018000000000001E-2</c:v>
                </c:pt>
                <c:pt idx="265">
                  <c:v>1.0005E-2</c:v>
                </c:pt>
                <c:pt idx="266">
                  <c:v>9.9579999999999998E-3</c:v>
                </c:pt>
                <c:pt idx="267">
                  <c:v>1.0041E-2</c:v>
                </c:pt>
                <c:pt idx="268">
                  <c:v>1.0141000000000001E-2</c:v>
                </c:pt>
                <c:pt idx="269">
                  <c:v>1.0198E-2</c:v>
                </c:pt>
                <c:pt idx="270">
                  <c:v>1.0193000000000001E-2</c:v>
                </c:pt>
                <c:pt idx="271">
                  <c:v>1.0193000000000001E-2</c:v>
                </c:pt>
                <c:pt idx="272">
                  <c:v>1.0234999999999999E-2</c:v>
                </c:pt>
                <c:pt idx="273">
                  <c:v>1.0245000000000001E-2</c:v>
                </c:pt>
                <c:pt idx="274">
                  <c:v>1.0307E-2</c:v>
                </c:pt>
                <c:pt idx="275">
                  <c:v>1.0229E-2</c:v>
                </c:pt>
                <c:pt idx="276">
                  <c:v>1.0302E-2</c:v>
                </c:pt>
                <c:pt idx="277">
                  <c:v>1.0381E-2</c:v>
                </c:pt>
                <c:pt idx="278">
                  <c:v>1.0429000000000001E-2</c:v>
                </c:pt>
                <c:pt idx="279">
                  <c:v>1.044E-2</c:v>
                </c:pt>
                <c:pt idx="280">
                  <c:v>1.0425E-2</c:v>
                </c:pt>
                <c:pt idx="281">
                  <c:v>1.0338999999999999E-2</c:v>
                </c:pt>
                <c:pt idx="282">
                  <c:v>1.0293E-2</c:v>
                </c:pt>
                <c:pt idx="283">
                  <c:v>1.0371E-2</c:v>
                </c:pt>
                <c:pt idx="284">
                  <c:v>1.0316000000000001E-2</c:v>
                </c:pt>
                <c:pt idx="285">
                  <c:v>1.0304000000000001E-2</c:v>
                </c:pt>
                <c:pt idx="286">
                  <c:v>1.0205000000000001E-2</c:v>
                </c:pt>
                <c:pt idx="287">
                  <c:v>1.0193000000000001E-2</c:v>
                </c:pt>
                <c:pt idx="288">
                  <c:v>1.0142E-2</c:v>
                </c:pt>
                <c:pt idx="289">
                  <c:v>1.0226000000000001E-2</c:v>
                </c:pt>
                <c:pt idx="290">
                  <c:v>1.0128E-2</c:v>
                </c:pt>
                <c:pt idx="291">
                  <c:v>1.0074E-2</c:v>
                </c:pt>
                <c:pt idx="292">
                  <c:v>1.0076999999999999E-2</c:v>
                </c:pt>
                <c:pt idx="293">
                  <c:v>1.0074E-2</c:v>
                </c:pt>
                <c:pt idx="294">
                  <c:v>1.0076999999999999E-2</c:v>
                </c:pt>
                <c:pt idx="295">
                  <c:v>1.0099E-2</c:v>
                </c:pt>
                <c:pt idx="296">
                  <c:v>1.0023000000000001E-2</c:v>
                </c:pt>
                <c:pt idx="297">
                  <c:v>1.0113E-2</c:v>
                </c:pt>
                <c:pt idx="298">
                  <c:v>1.0201E-2</c:v>
                </c:pt>
                <c:pt idx="299">
                  <c:v>1.014E-2</c:v>
                </c:pt>
                <c:pt idx="300">
                  <c:v>1.0175999999999999E-2</c:v>
                </c:pt>
                <c:pt idx="301">
                  <c:v>1.0102E-2</c:v>
                </c:pt>
                <c:pt idx="302">
                  <c:v>1.0111999999999999E-2</c:v>
                </c:pt>
                <c:pt idx="303">
                  <c:v>1.0119E-2</c:v>
                </c:pt>
                <c:pt idx="304">
                  <c:v>1.0167000000000001E-2</c:v>
                </c:pt>
                <c:pt idx="305">
                  <c:v>1.0137E-2</c:v>
                </c:pt>
                <c:pt idx="306">
                  <c:v>1.0175E-2</c:v>
                </c:pt>
                <c:pt idx="307">
                  <c:v>1.0156999999999999E-2</c:v>
                </c:pt>
                <c:pt idx="308">
                  <c:v>1.0253E-2</c:v>
                </c:pt>
                <c:pt idx="309">
                  <c:v>1.0311000000000001E-2</c:v>
                </c:pt>
                <c:pt idx="310">
                  <c:v>1.0272E-2</c:v>
                </c:pt>
                <c:pt idx="311">
                  <c:v>1.0200000000000001E-2</c:v>
                </c:pt>
                <c:pt idx="312">
                  <c:v>1.0174000000000001E-2</c:v>
                </c:pt>
                <c:pt idx="313">
                  <c:v>1.0181000000000001E-2</c:v>
                </c:pt>
                <c:pt idx="314">
                  <c:v>1.0104999999999999E-2</c:v>
                </c:pt>
                <c:pt idx="315">
                  <c:v>1.0048E-2</c:v>
                </c:pt>
                <c:pt idx="316">
                  <c:v>1.01E-2</c:v>
                </c:pt>
                <c:pt idx="317">
                  <c:v>1.0017E-2</c:v>
                </c:pt>
                <c:pt idx="318">
                  <c:v>9.9410000000000002E-3</c:v>
                </c:pt>
                <c:pt idx="319">
                  <c:v>1.0042000000000001E-2</c:v>
                </c:pt>
                <c:pt idx="320">
                  <c:v>1.0087E-2</c:v>
                </c:pt>
                <c:pt idx="321">
                  <c:v>1.0163E-2</c:v>
                </c:pt>
                <c:pt idx="322">
                  <c:v>1.0156999999999999E-2</c:v>
                </c:pt>
                <c:pt idx="323">
                  <c:v>1.0166E-2</c:v>
                </c:pt>
                <c:pt idx="324">
                  <c:v>1.0192E-2</c:v>
                </c:pt>
                <c:pt idx="325">
                  <c:v>1.0222999999999999E-2</c:v>
                </c:pt>
                <c:pt idx="326">
                  <c:v>1.0246E-2</c:v>
                </c:pt>
                <c:pt idx="327">
                  <c:v>1.0345999999999999E-2</c:v>
                </c:pt>
                <c:pt idx="328">
                  <c:v>1.0378999999999999E-2</c:v>
                </c:pt>
                <c:pt idx="329">
                  <c:v>1.0368E-2</c:v>
                </c:pt>
                <c:pt idx="330">
                  <c:v>1.0390999999999999E-2</c:v>
                </c:pt>
                <c:pt idx="331">
                  <c:v>1.0343E-2</c:v>
                </c:pt>
                <c:pt idx="332">
                  <c:v>1.0406E-2</c:v>
                </c:pt>
                <c:pt idx="333">
                  <c:v>1.0349000000000001E-2</c:v>
                </c:pt>
                <c:pt idx="334">
                  <c:v>1.0293E-2</c:v>
                </c:pt>
                <c:pt idx="335">
                  <c:v>1.0377000000000001E-2</c:v>
                </c:pt>
                <c:pt idx="336">
                  <c:v>1.0323000000000001E-2</c:v>
                </c:pt>
                <c:pt idx="337">
                  <c:v>1.0357999999999999E-2</c:v>
                </c:pt>
                <c:pt idx="338">
                  <c:v>1.0356000000000001E-2</c:v>
                </c:pt>
                <c:pt idx="339">
                  <c:v>1.0279E-2</c:v>
                </c:pt>
                <c:pt idx="340">
                  <c:v>1.0274E-2</c:v>
                </c:pt>
                <c:pt idx="341">
                  <c:v>1.0316000000000001E-2</c:v>
                </c:pt>
                <c:pt idx="342">
                  <c:v>1.0322E-2</c:v>
                </c:pt>
                <c:pt idx="343">
                  <c:v>1.0300999999999999E-2</c:v>
                </c:pt>
                <c:pt idx="344">
                  <c:v>1.022E-2</c:v>
                </c:pt>
                <c:pt idx="345">
                  <c:v>1.0255999999999999E-2</c:v>
                </c:pt>
                <c:pt idx="346">
                  <c:v>1.0161999999999999E-2</c:v>
                </c:pt>
                <c:pt idx="347">
                  <c:v>1.0097E-2</c:v>
                </c:pt>
                <c:pt idx="348">
                  <c:v>1.0071E-2</c:v>
                </c:pt>
                <c:pt idx="349">
                  <c:v>1.0109E-2</c:v>
                </c:pt>
                <c:pt idx="350">
                  <c:v>1.0102999999999999E-2</c:v>
                </c:pt>
                <c:pt idx="351">
                  <c:v>1.0023000000000001E-2</c:v>
                </c:pt>
                <c:pt idx="352">
                  <c:v>9.9439999999999997E-3</c:v>
                </c:pt>
                <c:pt idx="353">
                  <c:v>9.9389999999999999E-3</c:v>
                </c:pt>
                <c:pt idx="354">
                  <c:v>9.9740000000000002E-3</c:v>
                </c:pt>
                <c:pt idx="355">
                  <c:v>1.0035000000000001E-2</c:v>
                </c:pt>
                <c:pt idx="356">
                  <c:v>1.0023000000000001E-2</c:v>
                </c:pt>
                <c:pt idx="357">
                  <c:v>9.9989999999999992E-3</c:v>
                </c:pt>
                <c:pt idx="358">
                  <c:v>9.9539999999999993E-3</c:v>
                </c:pt>
                <c:pt idx="359">
                  <c:v>9.9740000000000002E-3</c:v>
                </c:pt>
                <c:pt idx="360">
                  <c:v>1.0066E-2</c:v>
                </c:pt>
                <c:pt idx="361">
                  <c:v>1.0116999999999999E-2</c:v>
                </c:pt>
                <c:pt idx="362">
                  <c:v>1.0168E-2</c:v>
                </c:pt>
                <c:pt idx="363">
                  <c:v>1.008E-2</c:v>
                </c:pt>
                <c:pt idx="364">
                  <c:v>1.0125E-2</c:v>
                </c:pt>
                <c:pt idx="365">
                  <c:v>1.0214000000000001E-2</c:v>
                </c:pt>
                <c:pt idx="366">
                  <c:v>1.0281E-2</c:v>
                </c:pt>
                <c:pt idx="367">
                  <c:v>1.0203E-2</c:v>
                </c:pt>
                <c:pt idx="368">
                  <c:v>1.0299000000000001E-2</c:v>
                </c:pt>
                <c:pt idx="369">
                  <c:v>1.0388E-2</c:v>
                </c:pt>
                <c:pt idx="370">
                  <c:v>1.042E-2</c:v>
                </c:pt>
                <c:pt idx="371">
                  <c:v>1.0421E-2</c:v>
                </c:pt>
                <c:pt idx="372">
                  <c:v>1.0366999999999999E-2</c:v>
                </c:pt>
                <c:pt idx="373">
                  <c:v>1.0374E-2</c:v>
                </c:pt>
                <c:pt idx="374">
                  <c:v>1.0364E-2</c:v>
                </c:pt>
                <c:pt idx="375">
                  <c:v>1.0347E-2</c:v>
                </c:pt>
                <c:pt idx="376">
                  <c:v>1.0262E-2</c:v>
                </c:pt>
                <c:pt idx="377">
                  <c:v>1.0246999999999999E-2</c:v>
                </c:pt>
                <c:pt idx="378">
                  <c:v>1.0286E-2</c:v>
                </c:pt>
                <c:pt idx="379">
                  <c:v>1.03E-2</c:v>
                </c:pt>
                <c:pt idx="380">
                  <c:v>1.0224E-2</c:v>
                </c:pt>
                <c:pt idx="381">
                  <c:v>1.0156E-2</c:v>
                </c:pt>
                <c:pt idx="382">
                  <c:v>1.0185E-2</c:v>
                </c:pt>
                <c:pt idx="383">
                  <c:v>1.0248999999999999E-2</c:v>
                </c:pt>
                <c:pt idx="384">
                  <c:v>1.0274999999999999E-2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71-49FD-B33D-D374FE395580}"/>
            </c:ext>
          </c:extLst>
        </c:ser>
        <c:ser>
          <c:idx val="1"/>
          <c:order val="2"/>
          <c:tx>
            <c:strRef>
              <c:f>'idx data'!$E$2</c:f>
              <c:strCache>
                <c:ptCount val="1"/>
                <c:pt idx="0">
                  <c:v>3moTr</c:v>
                </c:pt>
              </c:strCache>
            </c:strRef>
          </c:tx>
          <c:spPr>
            <a:ln w="28575" cap="rnd">
              <a:solidFill>
                <a:schemeClr val="accent5">
                  <a:tint val="4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'idx data'!$A$3:$A$387</c:f>
              <c:numCache>
                <c:formatCode>General</c:formatCode>
                <c:ptCount val="3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</c:numCache>
            </c:numRef>
          </c:cat>
          <c:val>
            <c:numRef>
              <c:f>'idx data'!$E$3:$E$387</c:f>
              <c:numCache>
                <c:formatCode>General</c:formatCode>
                <c:ptCount val="385"/>
                <c:pt idx="0">
                  <c:v>9.7999999999999997E-3</c:v>
                </c:pt>
                <c:pt idx="1">
                  <c:v>9.8650000000000005E-3</c:v>
                </c:pt>
                <c:pt idx="2">
                  <c:v>9.8200000000000006E-3</c:v>
                </c:pt>
                <c:pt idx="3">
                  <c:v>9.8619999999999992E-3</c:v>
                </c:pt>
                <c:pt idx="4">
                  <c:v>9.8650000000000005E-3</c:v>
                </c:pt>
                <c:pt idx="5">
                  <c:v>9.9509999999999998E-3</c:v>
                </c:pt>
                <c:pt idx="6">
                  <c:v>9.9220000000000003E-3</c:v>
                </c:pt>
                <c:pt idx="7">
                  <c:v>9.8580000000000004E-3</c:v>
                </c:pt>
                <c:pt idx="8">
                  <c:v>9.8890000000000002E-3</c:v>
                </c:pt>
                <c:pt idx="9">
                  <c:v>9.7909999999999994E-3</c:v>
                </c:pt>
                <c:pt idx="10">
                  <c:v>9.7070000000000004E-3</c:v>
                </c:pt>
                <c:pt idx="11">
                  <c:v>9.7429999999999999E-3</c:v>
                </c:pt>
                <c:pt idx="12">
                  <c:v>9.783E-3</c:v>
                </c:pt>
                <c:pt idx="13">
                  <c:v>9.8659999999999998E-3</c:v>
                </c:pt>
                <c:pt idx="14">
                  <c:v>9.8709999999999996E-3</c:v>
                </c:pt>
                <c:pt idx="15">
                  <c:v>9.8499999999999994E-3</c:v>
                </c:pt>
                <c:pt idx="16">
                  <c:v>9.8169999999999993E-3</c:v>
                </c:pt>
                <c:pt idx="17">
                  <c:v>9.868E-3</c:v>
                </c:pt>
                <c:pt idx="18">
                  <c:v>9.8960000000000003E-3</c:v>
                </c:pt>
                <c:pt idx="19">
                  <c:v>9.8670000000000008E-3</c:v>
                </c:pt>
                <c:pt idx="20">
                  <c:v>9.9270000000000001E-3</c:v>
                </c:pt>
                <c:pt idx="21">
                  <c:v>9.8969999999999995E-3</c:v>
                </c:pt>
                <c:pt idx="22">
                  <c:v>9.8219999999999991E-3</c:v>
                </c:pt>
                <c:pt idx="23">
                  <c:v>9.8980000000000005E-3</c:v>
                </c:pt>
                <c:pt idx="24">
                  <c:v>9.9839999999999998E-3</c:v>
                </c:pt>
                <c:pt idx="25">
                  <c:v>9.894E-3</c:v>
                </c:pt>
                <c:pt idx="26">
                  <c:v>9.9830000000000006E-3</c:v>
                </c:pt>
                <c:pt idx="27">
                  <c:v>1.0075000000000001E-2</c:v>
                </c:pt>
                <c:pt idx="28">
                  <c:v>1.0173E-2</c:v>
                </c:pt>
                <c:pt idx="29">
                  <c:v>1.0165E-2</c:v>
                </c:pt>
                <c:pt idx="30">
                  <c:v>1.0186000000000001E-2</c:v>
                </c:pt>
                <c:pt idx="31">
                  <c:v>1.0244E-2</c:v>
                </c:pt>
                <c:pt idx="32">
                  <c:v>1.0194999999999999E-2</c:v>
                </c:pt>
                <c:pt idx="33">
                  <c:v>1.0159E-2</c:v>
                </c:pt>
                <c:pt idx="34">
                  <c:v>1.0102999999999999E-2</c:v>
                </c:pt>
                <c:pt idx="35">
                  <c:v>1.0129000000000001E-2</c:v>
                </c:pt>
                <c:pt idx="36">
                  <c:v>1.014E-2</c:v>
                </c:pt>
                <c:pt idx="37">
                  <c:v>1.0218E-2</c:v>
                </c:pt>
                <c:pt idx="38">
                  <c:v>1.0206E-2</c:v>
                </c:pt>
                <c:pt idx="39">
                  <c:v>1.0207000000000001E-2</c:v>
                </c:pt>
                <c:pt idx="40">
                  <c:v>1.0284E-2</c:v>
                </c:pt>
                <c:pt idx="41">
                  <c:v>1.0257E-2</c:v>
                </c:pt>
                <c:pt idx="42">
                  <c:v>1.0168999999999999E-2</c:v>
                </c:pt>
                <c:pt idx="43">
                  <c:v>1.0114E-2</c:v>
                </c:pt>
                <c:pt idx="44">
                  <c:v>1.0207000000000001E-2</c:v>
                </c:pt>
                <c:pt idx="45">
                  <c:v>1.0181000000000001E-2</c:v>
                </c:pt>
                <c:pt idx="46">
                  <c:v>1.018E-2</c:v>
                </c:pt>
                <c:pt idx="47">
                  <c:v>1.0174000000000001E-2</c:v>
                </c:pt>
                <c:pt idx="48">
                  <c:v>1.0271000000000001E-2</c:v>
                </c:pt>
                <c:pt idx="49">
                  <c:v>1.0255999999999999E-2</c:v>
                </c:pt>
                <c:pt idx="50">
                  <c:v>1.0343E-2</c:v>
                </c:pt>
                <c:pt idx="51">
                  <c:v>1.0392999999999999E-2</c:v>
                </c:pt>
                <c:pt idx="52">
                  <c:v>1.0449E-2</c:v>
                </c:pt>
                <c:pt idx="53">
                  <c:v>1.0496999999999999E-2</c:v>
                </c:pt>
                <c:pt idx="54">
                  <c:v>1.0515999999999999E-2</c:v>
                </c:pt>
                <c:pt idx="55">
                  <c:v>1.0572E-2</c:v>
                </c:pt>
                <c:pt idx="56">
                  <c:v>1.0505E-2</c:v>
                </c:pt>
                <c:pt idx="57">
                  <c:v>1.0456E-2</c:v>
                </c:pt>
                <c:pt idx="58">
                  <c:v>1.0449999999999999E-2</c:v>
                </c:pt>
                <c:pt idx="59">
                  <c:v>1.0456E-2</c:v>
                </c:pt>
                <c:pt idx="60">
                  <c:v>1.0475999999999999E-2</c:v>
                </c:pt>
                <c:pt idx="61">
                  <c:v>1.0401000000000001E-2</c:v>
                </c:pt>
                <c:pt idx="62">
                  <c:v>1.0401000000000001E-2</c:v>
                </c:pt>
                <c:pt idx="63">
                  <c:v>1.0467000000000001E-2</c:v>
                </c:pt>
                <c:pt idx="64">
                  <c:v>1.0435E-2</c:v>
                </c:pt>
                <c:pt idx="65">
                  <c:v>1.047E-2</c:v>
                </c:pt>
                <c:pt idx="66">
                  <c:v>1.0383E-2</c:v>
                </c:pt>
                <c:pt idx="67">
                  <c:v>1.0392E-2</c:v>
                </c:pt>
                <c:pt idx="68">
                  <c:v>1.0468999999999999E-2</c:v>
                </c:pt>
                <c:pt idx="69">
                  <c:v>1.0399E-2</c:v>
                </c:pt>
                <c:pt idx="70">
                  <c:v>1.0444E-2</c:v>
                </c:pt>
                <c:pt idx="71">
                  <c:v>1.0357999999999999E-2</c:v>
                </c:pt>
                <c:pt idx="72">
                  <c:v>1.0300999999999999E-2</c:v>
                </c:pt>
                <c:pt idx="73">
                  <c:v>1.0244E-2</c:v>
                </c:pt>
                <c:pt idx="74">
                  <c:v>1.0252000000000001E-2</c:v>
                </c:pt>
                <c:pt idx="75">
                  <c:v>1.0276E-2</c:v>
                </c:pt>
                <c:pt idx="76">
                  <c:v>1.0286E-2</c:v>
                </c:pt>
                <c:pt idx="77">
                  <c:v>1.0234E-2</c:v>
                </c:pt>
                <c:pt idx="78">
                  <c:v>1.0243E-2</c:v>
                </c:pt>
                <c:pt idx="79">
                  <c:v>1.0291E-2</c:v>
                </c:pt>
                <c:pt idx="80">
                  <c:v>1.0253999999999999E-2</c:v>
                </c:pt>
                <c:pt idx="81">
                  <c:v>1.0344000000000001E-2</c:v>
                </c:pt>
                <c:pt idx="82">
                  <c:v>1.0324E-2</c:v>
                </c:pt>
                <c:pt idx="83">
                  <c:v>1.0248E-2</c:v>
                </c:pt>
                <c:pt idx="84">
                  <c:v>1.0189E-2</c:v>
                </c:pt>
                <c:pt idx="85">
                  <c:v>1.0272E-2</c:v>
                </c:pt>
                <c:pt idx="86">
                  <c:v>1.0276E-2</c:v>
                </c:pt>
                <c:pt idx="87">
                  <c:v>1.0199E-2</c:v>
                </c:pt>
                <c:pt idx="88">
                  <c:v>1.0154E-2</c:v>
                </c:pt>
                <c:pt idx="89">
                  <c:v>1.0213E-2</c:v>
                </c:pt>
                <c:pt idx="90">
                  <c:v>1.0172E-2</c:v>
                </c:pt>
                <c:pt idx="91">
                  <c:v>1.0252000000000001E-2</c:v>
                </c:pt>
                <c:pt idx="92">
                  <c:v>1.0283E-2</c:v>
                </c:pt>
                <c:pt idx="93">
                  <c:v>1.0267999999999999E-2</c:v>
                </c:pt>
                <c:pt idx="94">
                  <c:v>1.0262E-2</c:v>
                </c:pt>
                <c:pt idx="95">
                  <c:v>1.0292000000000001E-2</c:v>
                </c:pt>
                <c:pt idx="96">
                  <c:v>1.0335E-2</c:v>
                </c:pt>
                <c:pt idx="97">
                  <c:v>1.0342E-2</c:v>
                </c:pt>
                <c:pt idx="98">
                  <c:v>1.0418999999999999E-2</c:v>
                </c:pt>
                <c:pt idx="99">
                  <c:v>1.038E-2</c:v>
                </c:pt>
                <c:pt idx="100">
                  <c:v>1.0416E-2</c:v>
                </c:pt>
                <c:pt idx="101">
                  <c:v>1.0374E-2</c:v>
                </c:pt>
                <c:pt idx="102">
                  <c:v>1.0453E-2</c:v>
                </c:pt>
                <c:pt idx="103">
                  <c:v>1.0359E-2</c:v>
                </c:pt>
                <c:pt idx="104">
                  <c:v>1.0279999999999999E-2</c:v>
                </c:pt>
                <c:pt idx="105">
                  <c:v>1.031E-2</c:v>
                </c:pt>
                <c:pt idx="106">
                  <c:v>1.0342E-2</c:v>
                </c:pt>
                <c:pt idx="107">
                  <c:v>1.0255999999999999E-2</c:v>
                </c:pt>
                <c:pt idx="108">
                  <c:v>1.0321E-2</c:v>
                </c:pt>
                <c:pt idx="109">
                  <c:v>1.0237E-2</c:v>
                </c:pt>
                <c:pt idx="110">
                  <c:v>1.027E-2</c:v>
                </c:pt>
                <c:pt idx="111">
                  <c:v>1.026E-2</c:v>
                </c:pt>
                <c:pt idx="112">
                  <c:v>1.0319E-2</c:v>
                </c:pt>
                <c:pt idx="113">
                  <c:v>1.0274999999999999E-2</c:v>
                </c:pt>
                <c:pt idx="114">
                  <c:v>1.0284E-2</c:v>
                </c:pt>
                <c:pt idx="115">
                  <c:v>1.0278000000000001E-2</c:v>
                </c:pt>
                <c:pt idx="116">
                  <c:v>1.0377000000000001E-2</c:v>
                </c:pt>
                <c:pt idx="117">
                  <c:v>1.0477E-2</c:v>
                </c:pt>
                <c:pt idx="118">
                  <c:v>1.0397E-2</c:v>
                </c:pt>
                <c:pt idx="119">
                  <c:v>1.0463999999999999E-2</c:v>
                </c:pt>
                <c:pt idx="120">
                  <c:v>1.0444999999999999E-2</c:v>
                </c:pt>
                <c:pt idx="121">
                  <c:v>1.0499E-2</c:v>
                </c:pt>
                <c:pt idx="122">
                  <c:v>1.0468E-2</c:v>
                </c:pt>
                <c:pt idx="123">
                  <c:v>1.0482999999999999E-2</c:v>
                </c:pt>
                <c:pt idx="124">
                  <c:v>1.0508999999999999E-2</c:v>
                </c:pt>
                <c:pt idx="125">
                  <c:v>1.0595E-2</c:v>
                </c:pt>
                <c:pt idx="126">
                  <c:v>1.0668E-2</c:v>
                </c:pt>
                <c:pt idx="127">
                  <c:v>1.0598E-2</c:v>
                </c:pt>
                <c:pt idx="128">
                  <c:v>1.0526000000000001E-2</c:v>
                </c:pt>
                <c:pt idx="129">
                  <c:v>1.0522E-2</c:v>
                </c:pt>
                <c:pt idx="130">
                  <c:v>1.0586999999999999E-2</c:v>
                </c:pt>
                <c:pt idx="131">
                  <c:v>1.0616E-2</c:v>
                </c:pt>
                <c:pt idx="132">
                  <c:v>1.0657E-2</c:v>
                </c:pt>
                <c:pt idx="133">
                  <c:v>1.0701E-2</c:v>
                </c:pt>
                <c:pt idx="134">
                  <c:v>1.0682000000000001E-2</c:v>
                </c:pt>
                <c:pt idx="135">
                  <c:v>1.0668E-2</c:v>
                </c:pt>
                <c:pt idx="136">
                  <c:v>1.0599000000000001E-2</c:v>
                </c:pt>
                <c:pt idx="137">
                  <c:v>1.0666E-2</c:v>
                </c:pt>
                <c:pt idx="138">
                  <c:v>1.0632000000000001E-2</c:v>
                </c:pt>
                <c:pt idx="139">
                  <c:v>1.0670000000000001E-2</c:v>
                </c:pt>
                <c:pt idx="140">
                  <c:v>1.0583E-2</c:v>
                </c:pt>
                <c:pt idx="141">
                  <c:v>1.0623E-2</c:v>
                </c:pt>
                <c:pt idx="142">
                  <c:v>1.0718E-2</c:v>
                </c:pt>
                <c:pt idx="143">
                  <c:v>1.0659999999999999E-2</c:v>
                </c:pt>
                <c:pt idx="144">
                  <c:v>1.0735E-2</c:v>
                </c:pt>
                <c:pt idx="145">
                  <c:v>1.0808E-2</c:v>
                </c:pt>
                <c:pt idx="146">
                  <c:v>1.0869E-2</c:v>
                </c:pt>
                <c:pt idx="147">
                  <c:v>1.0926999999999999E-2</c:v>
                </c:pt>
                <c:pt idx="148">
                  <c:v>1.0906000000000001E-2</c:v>
                </c:pt>
                <c:pt idx="149">
                  <c:v>1.0838E-2</c:v>
                </c:pt>
                <c:pt idx="150">
                  <c:v>1.0779E-2</c:v>
                </c:pt>
                <c:pt idx="151">
                  <c:v>1.0834999999999999E-2</c:v>
                </c:pt>
                <c:pt idx="152">
                  <c:v>1.0921999999999999E-2</c:v>
                </c:pt>
                <c:pt idx="153">
                  <c:v>1.0994E-2</c:v>
                </c:pt>
                <c:pt idx="154">
                  <c:v>1.1035E-2</c:v>
                </c:pt>
                <c:pt idx="155">
                  <c:v>1.1126E-2</c:v>
                </c:pt>
                <c:pt idx="156">
                  <c:v>1.1076000000000001E-2</c:v>
                </c:pt>
                <c:pt idx="157">
                  <c:v>1.1105E-2</c:v>
                </c:pt>
                <c:pt idx="158">
                  <c:v>1.1131E-2</c:v>
                </c:pt>
                <c:pt idx="159">
                  <c:v>1.1117999999999999E-2</c:v>
                </c:pt>
                <c:pt idx="160">
                  <c:v>1.1057000000000001E-2</c:v>
                </c:pt>
                <c:pt idx="161">
                  <c:v>1.1157E-2</c:v>
                </c:pt>
                <c:pt idx="162">
                  <c:v>1.1198E-2</c:v>
                </c:pt>
                <c:pt idx="163">
                  <c:v>1.1277000000000001E-2</c:v>
                </c:pt>
                <c:pt idx="164">
                  <c:v>1.1247E-2</c:v>
                </c:pt>
                <c:pt idx="165">
                  <c:v>1.1313999999999999E-2</c:v>
                </c:pt>
                <c:pt idx="166">
                  <c:v>1.1272000000000001E-2</c:v>
                </c:pt>
                <c:pt idx="167">
                  <c:v>1.1254999999999999E-2</c:v>
                </c:pt>
                <c:pt idx="168">
                  <c:v>1.1202999999999999E-2</c:v>
                </c:pt>
                <c:pt idx="169">
                  <c:v>1.1180000000000001E-2</c:v>
                </c:pt>
                <c:pt idx="170">
                  <c:v>1.1136E-2</c:v>
                </c:pt>
                <c:pt idx="171">
                  <c:v>1.1046E-2</c:v>
                </c:pt>
                <c:pt idx="172">
                  <c:v>1.1136999999999999E-2</c:v>
                </c:pt>
                <c:pt idx="173">
                  <c:v>1.1153E-2</c:v>
                </c:pt>
                <c:pt idx="174">
                  <c:v>1.1200999999999999E-2</c:v>
                </c:pt>
                <c:pt idx="175">
                  <c:v>1.1155E-2</c:v>
                </c:pt>
                <c:pt idx="176">
                  <c:v>1.1181999999999999E-2</c:v>
                </c:pt>
                <c:pt idx="177">
                  <c:v>1.1212E-2</c:v>
                </c:pt>
                <c:pt idx="178">
                  <c:v>1.1309E-2</c:v>
                </c:pt>
                <c:pt idx="179">
                  <c:v>1.1320999999999999E-2</c:v>
                </c:pt>
                <c:pt idx="180">
                  <c:v>1.1252E-2</c:v>
                </c:pt>
                <c:pt idx="181">
                  <c:v>1.1209E-2</c:v>
                </c:pt>
                <c:pt idx="182">
                  <c:v>1.1193E-2</c:v>
                </c:pt>
                <c:pt idx="183">
                  <c:v>1.1129999999999999E-2</c:v>
                </c:pt>
                <c:pt idx="184">
                  <c:v>1.1216E-2</c:v>
                </c:pt>
                <c:pt idx="185">
                  <c:v>1.1259999999999999E-2</c:v>
                </c:pt>
                <c:pt idx="186">
                  <c:v>1.1308E-2</c:v>
                </c:pt>
                <c:pt idx="187">
                  <c:v>1.1310000000000001E-2</c:v>
                </c:pt>
                <c:pt idx="188">
                  <c:v>1.1383000000000001E-2</c:v>
                </c:pt>
                <c:pt idx="189">
                  <c:v>1.1351E-2</c:v>
                </c:pt>
                <c:pt idx="190">
                  <c:v>1.1287999999999999E-2</c:v>
                </c:pt>
                <c:pt idx="191">
                  <c:v>1.1350000000000001E-2</c:v>
                </c:pt>
                <c:pt idx="192">
                  <c:v>1.1296E-2</c:v>
                </c:pt>
                <c:pt idx="193">
                  <c:v>1.1328E-2</c:v>
                </c:pt>
                <c:pt idx="194">
                  <c:v>1.1247E-2</c:v>
                </c:pt>
                <c:pt idx="195">
                  <c:v>1.1214E-2</c:v>
                </c:pt>
                <c:pt idx="196">
                  <c:v>1.1136999999999999E-2</c:v>
                </c:pt>
                <c:pt idx="197">
                  <c:v>1.1154000000000001E-2</c:v>
                </c:pt>
                <c:pt idx="198">
                  <c:v>1.1103999999999999E-2</c:v>
                </c:pt>
                <c:pt idx="199">
                  <c:v>1.1188E-2</c:v>
                </c:pt>
                <c:pt idx="200">
                  <c:v>1.1098999999999999E-2</c:v>
                </c:pt>
                <c:pt idx="201">
                  <c:v>1.1030999999999999E-2</c:v>
                </c:pt>
                <c:pt idx="202">
                  <c:v>1.1115E-2</c:v>
                </c:pt>
                <c:pt idx="203">
                  <c:v>1.1121000000000001E-2</c:v>
                </c:pt>
                <c:pt idx="204">
                  <c:v>1.1032999999999999E-2</c:v>
                </c:pt>
                <c:pt idx="205">
                  <c:v>1.108E-2</c:v>
                </c:pt>
                <c:pt idx="206">
                  <c:v>1.0989000000000001E-2</c:v>
                </c:pt>
                <c:pt idx="207">
                  <c:v>1.0909E-2</c:v>
                </c:pt>
                <c:pt idx="208">
                  <c:v>1.0859000000000001E-2</c:v>
                </c:pt>
                <c:pt idx="209">
                  <c:v>1.0803E-2</c:v>
                </c:pt>
                <c:pt idx="210">
                  <c:v>1.0803E-2</c:v>
                </c:pt>
                <c:pt idx="211">
                  <c:v>1.0855999999999999E-2</c:v>
                </c:pt>
                <c:pt idx="212">
                  <c:v>1.09E-2</c:v>
                </c:pt>
                <c:pt idx="213">
                  <c:v>1.0810999999999999E-2</c:v>
                </c:pt>
                <c:pt idx="214">
                  <c:v>1.0907E-2</c:v>
                </c:pt>
                <c:pt idx="215">
                  <c:v>1.0867999999999999E-2</c:v>
                </c:pt>
                <c:pt idx="216">
                  <c:v>1.09E-2</c:v>
                </c:pt>
                <c:pt idx="217">
                  <c:v>1.1001E-2</c:v>
                </c:pt>
                <c:pt idx="218">
                  <c:v>1.1002E-2</c:v>
                </c:pt>
                <c:pt idx="219">
                  <c:v>1.0947E-2</c:v>
                </c:pt>
                <c:pt idx="220">
                  <c:v>1.0892000000000001E-2</c:v>
                </c:pt>
                <c:pt idx="221">
                  <c:v>1.0992E-2</c:v>
                </c:pt>
                <c:pt idx="222">
                  <c:v>1.0911000000000001E-2</c:v>
                </c:pt>
                <c:pt idx="223">
                  <c:v>1.0843E-2</c:v>
                </c:pt>
                <c:pt idx="224">
                  <c:v>1.0792E-2</c:v>
                </c:pt>
                <c:pt idx="225">
                  <c:v>1.089E-2</c:v>
                </c:pt>
                <c:pt idx="226">
                  <c:v>1.0969E-2</c:v>
                </c:pt>
                <c:pt idx="227">
                  <c:v>1.1050000000000001E-2</c:v>
                </c:pt>
                <c:pt idx="228">
                  <c:v>1.1121000000000001E-2</c:v>
                </c:pt>
                <c:pt idx="229">
                  <c:v>1.1148999999999999E-2</c:v>
                </c:pt>
                <c:pt idx="230">
                  <c:v>1.1247E-2</c:v>
                </c:pt>
                <c:pt idx="231">
                  <c:v>1.1165E-2</c:v>
                </c:pt>
                <c:pt idx="232">
                  <c:v>1.1195999999999999E-2</c:v>
                </c:pt>
                <c:pt idx="233">
                  <c:v>1.1176E-2</c:v>
                </c:pt>
                <c:pt idx="234">
                  <c:v>1.1239000000000001E-2</c:v>
                </c:pt>
                <c:pt idx="235">
                  <c:v>1.1181999999999999E-2</c:v>
                </c:pt>
                <c:pt idx="236">
                  <c:v>1.1171E-2</c:v>
                </c:pt>
                <c:pt idx="237">
                  <c:v>1.1212E-2</c:v>
                </c:pt>
                <c:pt idx="238">
                  <c:v>1.1173000000000001E-2</c:v>
                </c:pt>
                <c:pt idx="239">
                  <c:v>1.1183999999999999E-2</c:v>
                </c:pt>
                <c:pt idx="240">
                  <c:v>1.1122999999999999E-2</c:v>
                </c:pt>
                <c:pt idx="241">
                  <c:v>1.1126E-2</c:v>
                </c:pt>
                <c:pt idx="242">
                  <c:v>1.1061E-2</c:v>
                </c:pt>
                <c:pt idx="243">
                  <c:v>1.1112E-2</c:v>
                </c:pt>
                <c:pt idx="244">
                  <c:v>1.1077999999999999E-2</c:v>
                </c:pt>
                <c:pt idx="245">
                  <c:v>1.1128000000000001E-2</c:v>
                </c:pt>
                <c:pt idx="246">
                  <c:v>1.1157E-2</c:v>
                </c:pt>
                <c:pt idx="247">
                  <c:v>1.1113E-2</c:v>
                </c:pt>
                <c:pt idx="248">
                  <c:v>1.1167E-2</c:v>
                </c:pt>
                <c:pt idx="249">
                  <c:v>1.1194000000000001E-2</c:v>
                </c:pt>
                <c:pt idx="250">
                  <c:v>1.1259E-2</c:v>
                </c:pt>
                <c:pt idx="251">
                  <c:v>1.1171E-2</c:v>
                </c:pt>
                <c:pt idx="252">
                  <c:v>1.1128000000000001E-2</c:v>
                </c:pt>
                <c:pt idx="253">
                  <c:v>1.1037999999999999E-2</c:v>
                </c:pt>
                <c:pt idx="254">
                  <c:v>1.1096E-2</c:v>
                </c:pt>
                <c:pt idx="255">
                  <c:v>1.1013999999999999E-2</c:v>
                </c:pt>
                <c:pt idx="256">
                  <c:v>1.0933999999999999E-2</c:v>
                </c:pt>
                <c:pt idx="257">
                  <c:v>1.0975E-2</c:v>
                </c:pt>
                <c:pt idx="258">
                  <c:v>1.0933999999999999E-2</c:v>
                </c:pt>
                <c:pt idx="259">
                  <c:v>1.0893E-2</c:v>
                </c:pt>
                <c:pt idx="260">
                  <c:v>1.0971E-2</c:v>
                </c:pt>
                <c:pt idx="261">
                  <c:v>1.1016E-2</c:v>
                </c:pt>
                <c:pt idx="262">
                  <c:v>1.1013E-2</c:v>
                </c:pt>
                <c:pt idx="263">
                  <c:v>1.1062000000000001E-2</c:v>
                </c:pt>
                <c:pt idx="264">
                  <c:v>1.1136E-2</c:v>
                </c:pt>
                <c:pt idx="265">
                  <c:v>1.1209999999999999E-2</c:v>
                </c:pt>
                <c:pt idx="266">
                  <c:v>1.1180000000000001E-2</c:v>
                </c:pt>
                <c:pt idx="267">
                  <c:v>1.1279000000000001E-2</c:v>
                </c:pt>
                <c:pt idx="268">
                  <c:v>1.1294999999999999E-2</c:v>
                </c:pt>
                <c:pt idx="269">
                  <c:v>1.1388000000000001E-2</c:v>
                </c:pt>
                <c:pt idx="270">
                  <c:v>1.1315E-2</c:v>
                </c:pt>
                <c:pt idx="271">
                  <c:v>1.1287E-2</c:v>
                </c:pt>
                <c:pt idx="272">
                  <c:v>1.1358E-2</c:v>
                </c:pt>
                <c:pt idx="273">
                  <c:v>1.1361E-2</c:v>
                </c:pt>
                <c:pt idx="274">
                  <c:v>1.1306999999999999E-2</c:v>
                </c:pt>
                <c:pt idx="275">
                  <c:v>1.1227000000000001E-2</c:v>
                </c:pt>
                <c:pt idx="276">
                  <c:v>1.1271E-2</c:v>
                </c:pt>
                <c:pt idx="277">
                  <c:v>1.1193E-2</c:v>
                </c:pt>
                <c:pt idx="278">
                  <c:v>1.1235999999999999E-2</c:v>
                </c:pt>
                <c:pt idx="279">
                  <c:v>1.1218000000000001E-2</c:v>
                </c:pt>
                <c:pt idx="280">
                  <c:v>1.1169E-2</c:v>
                </c:pt>
                <c:pt idx="281">
                  <c:v>1.1140000000000001E-2</c:v>
                </c:pt>
                <c:pt idx="282">
                  <c:v>1.1082E-2</c:v>
                </c:pt>
                <c:pt idx="283">
                  <c:v>1.1070999999999999E-2</c:v>
                </c:pt>
                <c:pt idx="284">
                  <c:v>1.112E-2</c:v>
                </c:pt>
                <c:pt idx="285">
                  <c:v>1.1178E-2</c:v>
                </c:pt>
                <c:pt idx="286">
                  <c:v>1.1132E-2</c:v>
                </c:pt>
                <c:pt idx="287">
                  <c:v>1.1141E-2</c:v>
                </c:pt>
                <c:pt idx="288">
                  <c:v>1.1214E-2</c:v>
                </c:pt>
                <c:pt idx="289">
                  <c:v>1.1214E-2</c:v>
                </c:pt>
                <c:pt idx="290">
                  <c:v>1.124E-2</c:v>
                </c:pt>
                <c:pt idx="291">
                  <c:v>1.1315E-2</c:v>
                </c:pt>
                <c:pt idx="292">
                  <c:v>1.1363E-2</c:v>
                </c:pt>
                <c:pt idx="293">
                  <c:v>1.1266999999999999E-2</c:v>
                </c:pt>
                <c:pt idx="294">
                  <c:v>1.1185E-2</c:v>
                </c:pt>
                <c:pt idx="295">
                  <c:v>1.1278E-2</c:v>
                </c:pt>
                <c:pt idx="296">
                  <c:v>1.1377E-2</c:v>
                </c:pt>
                <c:pt idx="297">
                  <c:v>1.1327E-2</c:v>
                </c:pt>
                <c:pt idx="298">
                  <c:v>1.1235999999999999E-2</c:v>
                </c:pt>
                <c:pt idx="299">
                  <c:v>1.1186E-2</c:v>
                </c:pt>
                <c:pt idx="300">
                  <c:v>1.1164E-2</c:v>
                </c:pt>
                <c:pt idx="301">
                  <c:v>1.1142000000000001E-2</c:v>
                </c:pt>
                <c:pt idx="302">
                  <c:v>1.1112E-2</c:v>
                </c:pt>
                <c:pt idx="303">
                  <c:v>1.1032E-2</c:v>
                </c:pt>
                <c:pt idx="304">
                  <c:v>1.1032999999999999E-2</c:v>
                </c:pt>
                <c:pt idx="305">
                  <c:v>1.1117999999999999E-2</c:v>
                </c:pt>
                <c:pt idx="306">
                  <c:v>1.1155E-2</c:v>
                </c:pt>
                <c:pt idx="307">
                  <c:v>1.1062000000000001E-2</c:v>
                </c:pt>
                <c:pt idx="308">
                  <c:v>1.1006E-2</c:v>
                </c:pt>
                <c:pt idx="309">
                  <c:v>1.1105E-2</c:v>
                </c:pt>
                <c:pt idx="310">
                  <c:v>1.103E-2</c:v>
                </c:pt>
                <c:pt idx="311">
                  <c:v>1.0959999999999999E-2</c:v>
                </c:pt>
                <c:pt idx="312">
                  <c:v>1.1011999999999999E-2</c:v>
                </c:pt>
                <c:pt idx="313">
                  <c:v>1.0914E-2</c:v>
                </c:pt>
                <c:pt idx="314">
                  <c:v>1.0828000000000001E-2</c:v>
                </c:pt>
                <c:pt idx="315">
                  <c:v>1.0914999999999999E-2</c:v>
                </c:pt>
                <c:pt idx="316">
                  <c:v>1.0831E-2</c:v>
                </c:pt>
                <c:pt idx="317">
                  <c:v>1.0924E-2</c:v>
                </c:pt>
                <c:pt idx="318">
                  <c:v>1.1001E-2</c:v>
                </c:pt>
                <c:pt idx="319">
                  <c:v>1.0913000000000001E-2</c:v>
                </c:pt>
                <c:pt idx="320">
                  <c:v>1.0843999999999999E-2</c:v>
                </c:pt>
                <c:pt idx="321">
                  <c:v>1.0753E-2</c:v>
                </c:pt>
                <c:pt idx="322">
                  <c:v>1.0808999999999999E-2</c:v>
                </c:pt>
                <c:pt idx="323">
                  <c:v>1.0728E-2</c:v>
                </c:pt>
                <c:pt idx="324">
                  <c:v>1.0786E-2</c:v>
                </c:pt>
                <c:pt idx="325">
                  <c:v>1.0691000000000001E-2</c:v>
                </c:pt>
                <c:pt idx="326">
                  <c:v>1.0769000000000001E-2</c:v>
                </c:pt>
                <c:pt idx="327">
                  <c:v>1.0864E-2</c:v>
                </c:pt>
                <c:pt idx="328">
                  <c:v>1.0834999999999999E-2</c:v>
                </c:pt>
                <c:pt idx="329">
                  <c:v>1.0855E-2</c:v>
                </c:pt>
                <c:pt idx="330">
                  <c:v>1.0880000000000001E-2</c:v>
                </c:pt>
                <c:pt idx="331">
                  <c:v>1.0954999999999999E-2</c:v>
                </c:pt>
                <c:pt idx="332">
                  <c:v>1.095E-2</c:v>
                </c:pt>
                <c:pt idx="333">
                  <c:v>1.0966E-2</c:v>
                </c:pt>
                <c:pt idx="334">
                  <c:v>1.0916E-2</c:v>
                </c:pt>
                <c:pt idx="335">
                  <c:v>1.0862E-2</c:v>
                </c:pt>
                <c:pt idx="336">
                  <c:v>1.091E-2</c:v>
                </c:pt>
                <c:pt idx="337">
                  <c:v>1.0846E-2</c:v>
                </c:pt>
                <c:pt idx="338">
                  <c:v>1.0788000000000001E-2</c:v>
                </c:pt>
                <c:pt idx="339">
                  <c:v>1.0711999999999999E-2</c:v>
                </c:pt>
                <c:pt idx="340">
                  <c:v>1.0723999999999999E-2</c:v>
                </c:pt>
                <c:pt idx="341">
                  <c:v>1.0791E-2</c:v>
                </c:pt>
                <c:pt idx="342">
                  <c:v>1.0751999999999999E-2</c:v>
                </c:pt>
                <c:pt idx="343">
                  <c:v>1.0722000000000001E-2</c:v>
                </c:pt>
                <c:pt idx="344">
                  <c:v>1.082E-2</c:v>
                </c:pt>
                <c:pt idx="345">
                  <c:v>1.0808E-2</c:v>
                </c:pt>
                <c:pt idx="346">
                  <c:v>1.0833000000000001E-2</c:v>
                </c:pt>
                <c:pt idx="347">
                  <c:v>1.0803E-2</c:v>
                </c:pt>
                <c:pt idx="348">
                  <c:v>1.0836999999999999E-2</c:v>
                </c:pt>
                <c:pt idx="349">
                  <c:v>1.085E-2</c:v>
                </c:pt>
                <c:pt idx="350">
                  <c:v>1.078E-2</c:v>
                </c:pt>
                <c:pt idx="351">
                  <c:v>1.0799E-2</c:v>
                </c:pt>
                <c:pt idx="352">
                  <c:v>1.0866000000000001E-2</c:v>
                </c:pt>
                <c:pt idx="353">
                  <c:v>1.0774000000000001E-2</c:v>
                </c:pt>
                <c:pt idx="354">
                  <c:v>1.0758999999999999E-2</c:v>
                </c:pt>
                <c:pt idx="355">
                  <c:v>1.0671E-2</c:v>
                </c:pt>
                <c:pt idx="356">
                  <c:v>1.0758E-2</c:v>
                </c:pt>
                <c:pt idx="357">
                  <c:v>1.0669E-2</c:v>
                </c:pt>
                <c:pt idx="358">
                  <c:v>1.0678999999999999E-2</c:v>
                </c:pt>
                <c:pt idx="359">
                  <c:v>1.0678E-2</c:v>
                </c:pt>
                <c:pt idx="360">
                  <c:v>1.0763999999999999E-2</c:v>
                </c:pt>
                <c:pt idx="361">
                  <c:v>1.086E-2</c:v>
                </c:pt>
                <c:pt idx="362">
                  <c:v>1.0866000000000001E-2</c:v>
                </c:pt>
                <c:pt idx="363">
                  <c:v>1.0786E-2</c:v>
                </c:pt>
                <c:pt idx="364">
                  <c:v>1.0708000000000001E-2</c:v>
                </c:pt>
                <c:pt idx="365">
                  <c:v>1.074E-2</c:v>
                </c:pt>
                <c:pt idx="366">
                  <c:v>1.0772E-2</c:v>
                </c:pt>
                <c:pt idx="367">
                  <c:v>1.0718E-2</c:v>
                </c:pt>
                <c:pt idx="368">
                  <c:v>1.0793000000000001E-2</c:v>
                </c:pt>
                <c:pt idx="369">
                  <c:v>1.0821000000000001E-2</c:v>
                </c:pt>
                <c:pt idx="370">
                  <c:v>1.0836E-2</c:v>
                </c:pt>
                <c:pt idx="371">
                  <c:v>1.0822E-2</c:v>
                </c:pt>
                <c:pt idx="372">
                  <c:v>1.0880000000000001E-2</c:v>
                </c:pt>
                <c:pt idx="373">
                  <c:v>1.0940999999999999E-2</c:v>
                </c:pt>
                <c:pt idx="374">
                  <c:v>1.1008E-2</c:v>
                </c:pt>
                <c:pt idx="375">
                  <c:v>1.0985999999999999E-2</c:v>
                </c:pt>
                <c:pt idx="376">
                  <c:v>1.0943E-2</c:v>
                </c:pt>
                <c:pt idx="377">
                  <c:v>1.0877E-2</c:v>
                </c:pt>
                <c:pt idx="378">
                  <c:v>1.0781000000000001E-2</c:v>
                </c:pt>
                <c:pt idx="379">
                  <c:v>1.0735E-2</c:v>
                </c:pt>
                <c:pt idx="380">
                  <c:v>1.0709E-2</c:v>
                </c:pt>
                <c:pt idx="381">
                  <c:v>1.0671E-2</c:v>
                </c:pt>
                <c:pt idx="382">
                  <c:v>1.0732E-2</c:v>
                </c:pt>
                <c:pt idx="383">
                  <c:v>1.0695E-2</c:v>
                </c:pt>
                <c:pt idx="384">
                  <c:v>1.0685999999999999E-2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71-49FD-B33D-D374FE395580}"/>
            </c:ext>
          </c:extLst>
        </c:ser>
        <c:ser>
          <c:idx val="0"/>
          <c:order val="3"/>
          <c:tx>
            <c:strRef>
              <c:f>'idx data'!$D$2</c:f>
              <c:strCache>
                <c:ptCount val="1"/>
                <c:pt idx="0">
                  <c:v>1moTr</c:v>
                </c:pt>
              </c:strCache>
            </c:strRef>
          </c:tx>
          <c:spPr>
            <a:ln w="28575" cap="rnd">
              <a:solidFill>
                <a:schemeClr val="accent5">
                  <a:tint val="3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'idx data'!$A$3:$A$387</c:f>
              <c:numCache>
                <c:formatCode>General</c:formatCode>
                <c:ptCount val="3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</c:numCache>
            </c:numRef>
          </c:cat>
          <c:val>
            <c:numRef>
              <c:f>'idx data'!$D$3:$D$387</c:f>
              <c:numCache>
                <c:formatCode>General</c:formatCode>
                <c:ptCount val="385"/>
                <c:pt idx="0">
                  <c:v>8.199999999999999E-3</c:v>
                </c:pt>
                <c:pt idx="1">
                  <c:v>8.1019999999999998E-3</c:v>
                </c:pt>
                <c:pt idx="2">
                  <c:v>8.0920000000000002E-3</c:v>
                </c:pt>
                <c:pt idx="3">
                  <c:v>8.0099999999999998E-3</c:v>
                </c:pt>
                <c:pt idx="4">
                  <c:v>8.0289999999999997E-3</c:v>
                </c:pt>
                <c:pt idx="5">
                  <c:v>8.0719999999999993E-3</c:v>
                </c:pt>
                <c:pt idx="6">
                  <c:v>8.1399999999999997E-3</c:v>
                </c:pt>
                <c:pt idx="7">
                  <c:v>8.0870000000000004E-3</c:v>
                </c:pt>
                <c:pt idx="8">
                  <c:v>8.1089999999999999E-3</c:v>
                </c:pt>
                <c:pt idx="9">
                  <c:v>8.0590000000000002E-3</c:v>
                </c:pt>
                <c:pt idx="10">
                  <c:v>7.9649999999999999E-3</c:v>
                </c:pt>
                <c:pt idx="11">
                  <c:v>8.0370000000000007E-3</c:v>
                </c:pt>
                <c:pt idx="12">
                  <c:v>8.0499999999999999E-3</c:v>
                </c:pt>
                <c:pt idx="13">
                  <c:v>7.9889999999999996E-3</c:v>
                </c:pt>
                <c:pt idx="14">
                  <c:v>7.9489999999999995E-3</c:v>
                </c:pt>
                <c:pt idx="15">
                  <c:v>7.9579999999999998E-3</c:v>
                </c:pt>
                <c:pt idx="16">
                  <c:v>8.0280000000000004E-3</c:v>
                </c:pt>
                <c:pt idx="17">
                  <c:v>8.0479999999999996E-3</c:v>
                </c:pt>
                <c:pt idx="18">
                  <c:v>8.0999999999999996E-3</c:v>
                </c:pt>
                <c:pt idx="19">
                  <c:v>8.0689999999999998E-3</c:v>
                </c:pt>
                <c:pt idx="20">
                  <c:v>8.0339999999999995E-3</c:v>
                </c:pt>
                <c:pt idx="21">
                  <c:v>8.0210000000000004E-3</c:v>
                </c:pt>
                <c:pt idx="22">
                  <c:v>7.9399999999999991E-3</c:v>
                </c:pt>
                <c:pt idx="23">
                  <c:v>7.8589999999999997E-3</c:v>
                </c:pt>
                <c:pt idx="24">
                  <c:v>7.8209999999999998E-3</c:v>
                </c:pt>
                <c:pt idx="25">
                  <c:v>7.8220000000000008E-3</c:v>
                </c:pt>
                <c:pt idx="26">
                  <c:v>7.7739999999999997E-3</c:v>
                </c:pt>
                <c:pt idx="27">
                  <c:v>7.8209999999999998E-3</c:v>
                </c:pt>
                <c:pt idx="28">
                  <c:v>7.7730000000000004E-3</c:v>
                </c:pt>
                <c:pt idx="29">
                  <c:v>7.8200000000000006E-3</c:v>
                </c:pt>
                <c:pt idx="30">
                  <c:v>7.8530000000000006E-3</c:v>
                </c:pt>
                <c:pt idx="31">
                  <c:v>7.7970000000000001E-3</c:v>
                </c:pt>
                <c:pt idx="32">
                  <c:v>7.8499999999999993E-3</c:v>
                </c:pt>
                <c:pt idx="33">
                  <c:v>7.8359999999999992E-3</c:v>
                </c:pt>
                <c:pt idx="34">
                  <c:v>7.8899999999999994E-3</c:v>
                </c:pt>
                <c:pt idx="35">
                  <c:v>7.9500000000000005E-3</c:v>
                </c:pt>
                <c:pt idx="36">
                  <c:v>7.901E-3</c:v>
                </c:pt>
                <c:pt idx="37">
                  <c:v>7.8340000000000007E-3</c:v>
                </c:pt>
                <c:pt idx="38">
                  <c:v>7.8700000000000003E-3</c:v>
                </c:pt>
                <c:pt idx="39">
                  <c:v>7.8829999999999994E-3</c:v>
                </c:pt>
                <c:pt idx="40">
                  <c:v>7.9660000000000009E-3</c:v>
                </c:pt>
                <c:pt idx="41">
                  <c:v>7.9699999999999997E-3</c:v>
                </c:pt>
                <c:pt idx="42">
                  <c:v>7.8890000000000002E-3</c:v>
                </c:pt>
                <c:pt idx="43">
                  <c:v>7.8980000000000005E-3</c:v>
                </c:pt>
                <c:pt idx="44">
                  <c:v>7.9649999999999999E-3</c:v>
                </c:pt>
                <c:pt idx="45">
                  <c:v>7.9310000000000005E-3</c:v>
                </c:pt>
                <c:pt idx="46">
                  <c:v>7.9539999999999993E-3</c:v>
                </c:pt>
                <c:pt idx="47">
                  <c:v>7.8770000000000003E-3</c:v>
                </c:pt>
                <c:pt idx="48">
                  <c:v>7.9559999999999995E-3</c:v>
                </c:pt>
                <c:pt idx="49">
                  <c:v>7.9810000000000002E-3</c:v>
                </c:pt>
                <c:pt idx="50">
                  <c:v>7.9620000000000003E-3</c:v>
                </c:pt>
                <c:pt idx="51">
                  <c:v>7.8639999999999995E-3</c:v>
                </c:pt>
                <c:pt idx="52">
                  <c:v>7.9419999999999994E-3</c:v>
                </c:pt>
                <c:pt idx="53">
                  <c:v>7.9139999999999992E-3</c:v>
                </c:pt>
                <c:pt idx="54">
                  <c:v>8.005E-3</c:v>
                </c:pt>
                <c:pt idx="55">
                  <c:v>7.979E-3</c:v>
                </c:pt>
                <c:pt idx="56">
                  <c:v>8.0409999999999995E-3</c:v>
                </c:pt>
                <c:pt idx="57">
                  <c:v>8.1359999999999991E-3</c:v>
                </c:pt>
                <c:pt idx="58">
                  <c:v>8.0669999999999995E-3</c:v>
                </c:pt>
                <c:pt idx="59">
                  <c:v>8.0909999999999992E-3</c:v>
                </c:pt>
                <c:pt idx="60">
                  <c:v>8.0420000000000005E-3</c:v>
                </c:pt>
                <c:pt idx="61">
                  <c:v>8.0190000000000001E-3</c:v>
                </c:pt>
                <c:pt idx="62">
                  <c:v>8.0929999999999995E-3</c:v>
                </c:pt>
                <c:pt idx="63">
                  <c:v>8.1829999999999993E-3</c:v>
                </c:pt>
                <c:pt idx="64">
                  <c:v>8.1130000000000004E-3</c:v>
                </c:pt>
                <c:pt idx="65">
                  <c:v>8.1829999999999993E-3</c:v>
                </c:pt>
                <c:pt idx="66">
                  <c:v>8.1689999999999992E-3</c:v>
                </c:pt>
                <c:pt idx="67">
                  <c:v>8.1220000000000007E-3</c:v>
                </c:pt>
                <c:pt idx="68">
                  <c:v>8.0280000000000004E-3</c:v>
                </c:pt>
                <c:pt idx="69">
                  <c:v>7.9509999999999997E-3</c:v>
                </c:pt>
                <c:pt idx="70">
                  <c:v>7.9360000000000003E-3</c:v>
                </c:pt>
                <c:pt idx="71">
                  <c:v>8.0359999999999997E-3</c:v>
                </c:pt>
                <c:pt idx="72">
                  <c:v>8.0160000000000006E-3</c:v>
                </c:pt>
                <c:pt idx="73">
                  <c:v>7.9299999999999995E-3</c:v>
                </c:pt>
                <c:pt idx="74">
                  <c:v>7.9340000000000001E-3</c:v>
                </c:pt>
                <c:pt idx="75">
                  <c:v>7.8499999999999993E-3</c:v>
                </c:pt>
                <c:pt idx="76">
                  <c:v>7.9419999999999994E-3</c:v>
                </c:pt>
                <c:pt idx="77">
                  <c:v>7.9439999999999997E-3</c:v>
                </c:pt>
                <c:pt idx="78">
                  <c:v>7.901E-3</c:v>
                </c:pt>
                <c:pt idx="79">
                  <c:v>7.8860000000000006E-3</c:v>
                </c:pt>
                <c:pt idx="80">
                  <c:v>7.9299999999999995E-3</c:v>
                </c:pt>
                <c:pt idx="81">
                  <c:v>7.8630000000000002E-3</c:v>
                </c:pt>
                <c:pt idx="82">
                  <c:v>7.9340000000000001E-3</c:v>
                </c:pt>
                <c:pt idx="83">
                  <c:v>8.0090000000000005E-3</c:v>
                </c:pt>
                <c:pt idx="84">
                  <c:v>7.9579999999999998E-3</c:v>
                </c:pt>
                <c:pt idx="85">
                  <c:v>7.9679999999999994E-3</c:v>
                </c:pt>
                <c:pt idx="86">
                  <c:v>8.0619999999999997E-3</c:v>
                </c:pt>
                <c:pt idx="87">
                  <c:v>7.9740000000000002E-3</c:v>
                </c:pt>
                <c:pt idx="88">
                  <c:v>7.9050000000000006E-3</c:v>
                </c:pt>
                <c:pt idx="89">
                  <c:v>7.8869999999999999E-3</c:v>
                </c:pt>
                <c:pt idx="90">
                  <c:v>7.7910000000000002E-3</c:v>
                </c:pt>
                <c:pt idx="91">
                  <c:v>7.6969999999999998E-3</c:v>
                </c:pt>
                <c:pt idx="92">
                  <c:v>7.7629999999999999E-3</c:v>
                </c:pt>
                <c:pt idx="93">
                  <c:v>7.8169999999999993E-3</c:v>
                </c:pt>
                <c:pt idx="94">
                  <c:v>7.9089999999999994E-3</c:v>
                </c:pt>
                <c:pt idx="95">
                  <c:v>8.0009999999999994E-3</c:v>
                </c:pt>
                <c:pt idx="96">
                  <c:v>7.9450000000000007E-3</c:v>
                </c:pt>
                <c:pt idx="97">
                  <c:v>7.979E-3</c:v>
                </c:pt>
                <c:pt idx="98">
                  <c:v>7.9129999999999999E-3</c:v>
                </c:pt>
                <c:pt idx="99">
                  <c:v>7.9590000000000008E-3</c:v>
                </c:pt>
                <c:pt idx="100">
                  <c:v>7.8860000000000006E-3</c:v>
                </c:pt>
                <c:pt idx="101">
                  <c:v>7.901E-3</c:v>
                </c:pt>
                <c:pt idx="102">
                  <c:v>7.8259999999999996E-3</c:v>
                </c:pt>
                <c:pt idx="103">
                  <c:v>7.8110000000000002E-3</c:v>
                </c:pt>
                <c:pt idx="104">
                  <c:v>7.7419999999999998E-3</c:v>
                </c:pt>
                <c:pt idx="105">
                  <c:v>7.6610000000000003E-3</c:v>
                </c:pt>
                <c:pt idx="106">
                  <c:v>7.672E-3</c:v>
                </c:pt>
                <c:pt idx="107">
                  <c:v>7.724E-3</c:v>
                </c:pt>
                <c:pt idx="108">
                  <c:v>7.6680000000000003E-3</c:v>
                </c:pt>
                <c:pt idx="109">
                  <c:v>7.7609999999999997E-3</c:v>
                </c:pt>
                <c:pt idx="110">
                  <c:v>7.8379999999999995E-3</c:v>
                </c:pt>
                <c:pt idx="111">
                  <c:v>7.8100000000000001E-3</c:v>
                </c:pt>
                <c:pt idx="112">
                  <c:v>7.7470000000000004E-3</c:v>
                </c:pt>
                <c:pt idx="113">
                  <c:v>7.8100000000000001E-3</c:v>
                </c:pt>
                <c:pt idx="114">
                  <c:v>7.7799999999999996E-3</c:v>
                </c:pt>
                <c:pt idx="115">
                  <c:v>7.8309999999999994E-3</c:v>
                </c:pt>
                <c:pt idx="116">
                  <c:v>7.8139999999999998E-3</c:v>
                </c:pt>
                <c:pt idx="117">
                  <c:v>7.7460000000000003E-3</c:v>
                </c:pt>
                <c:pt idx="118">
                  <c:v>7.7629999999999999E-3</c:v>
                </c:pt>
                <c:pt idx="119">
                  <c:v>7.6750000000000004E-3</c:v>
                </c:pt>
                <c:pt idx="120">
                  <c:v>7.7580000000000001E-3</c:v>
                </c:pt>
                <c:pt idx="121">
                  <c:v>7.6730000000000001E-3</c:v>
                </c:pt>
                <c:pt idx="122">
                  <c:v>7.5989999999999999E-3</c:v>
                </c:pt>
                <c:pt idx="123">
                  <c:v>7.6600000000000001E-3</c:v>
                </c:pt>
                <c:pt idx="124">
                  <c:v>7.7140000000000004E-3</c:v>
                </c:pt>
                <c:pt idx="125">
                  <c:v>7.7580000000000001E-3</c:v>
                </c:pt>
                <c:pt idx="126">
                  <c:v>7.6689999999999996E-3</c:v>
                </c:pt>
                <c:pt idx="127">
                  <c:v>7.7299999999999999E-3</c:v>
                </c:pt>
                <c:pt idx="128">
                  <c:v>7.8139999999999998E-3</c:v>
                </c:pt>
                <c:pt idx="129">
                  <c:v>7.9050000000000006E-3</c:v>
                </c:pt>
                <c:pt idx="130">
                  <c:v>7.9150000000000002E-3</c:v>
                </c:pt>
                <c:pt idx="131">
                  <c:v>7.8869999999999999E-3</c:v>
                </c:pt>
                <c:pt idx="132">
                  <c:v>7.979E-3</c:v>
                </c:pt>
                <c:pt idx="133">
                  <c:v>7.9050000000000006E-3</c:v>
                </c:pt>
                <c:pt idx="134">
                  <c:v>7.8139999999999998E-3</c:v>
                </c:pt>
                <c:pt idx="135">
                  <c:v>7.7809999999999997E-3</c:v>
                </c:pt>
                <c:pt idx="136">
                  <c:v>7.7939999999999997E-3</c:v>
                </c:pt>
                <c:pt idx="137">
                  <c:v>7.894E-3</c:v>
                </c:pt>
                <c:pt idx="138">
                  <c:v>7.8220000000000008E-3</c:v>
                </c:pt>
                <c:pt idx="139">
                  <c:v>7.9170000000000004E-3</c:v>
                </c:pt>
                <c:pt idx="140">
                  <c:v>7.9819999999999995E-3</c:v>
                </c:pt>
                <c:pt idx="141">
                  <c:v>7.9249999999999998E-3</c:v>
                </c:pt>
                <c:pt idx="142">
                  <c:v>7.8530000000000006E-3</c:v>
                </c:pt>
                <c:pt idx="143">
                  <c:v>7.7799999999999996E-3</c:v>
                </c:pt>
                <c:pt idx="144">
                  <c:v>7.8040000000000002E-3</c:v>
                </c:pt>
                <c:pt idx="145">
                  <c:v>7.7679999999999997E-3</c:v>
                </c:pt>
                <c:pt idx="146">
                  <c:v>7.6759999999999997E-3</c:v>
                </c:pt>
                <c:pt idx="147">
                  <c:v>7.6429999999999996E-3</c:v>
                </c:pt>
                <c:pt idx="148">
                  <c:v>7.5579999999999996E-3</c:v>
                </c:pt>
                <c:pt idx="149">
                  <c:v>7.5339999999999999E-3</c:v>
                </c:pt>
                <c:pt idx="150">
                  <c:v>7.5500000000000003E-3</c:v>
                </c:pt>
                <c:pt idx="151">
                  <c:v>7.4679999999999998E-3</c:v>
                </c:pt>
                <c:pt idx="152">
                  <c:v>7.4209999999999996E-3</c:v>
                </c:pt>
                <c:pt idx="153">
                  <c:v>7.522E-3</c:v>
                </c:pt>
                <c:pt idx="154">
                  <c:v>7.607E-3</c:v>
                </c:pt>
                <c:pt idx="155">
                  <c:v>7.6290000000000004E-3</c:v>
                </c:pt>
                <c:pt idx="156">
                  <c:v>7.6229999999999996E-3</c:v>
                </c:pt>
                <c:pt idx="157">
                  <c:v>7.7210000000000004E-3</c:v>
                </c:pt>
                <c:pt idx="158">
                  <c:v>7.7210000000000004E-3</c:v>
                </c:pt>
                <c:pt idx="159">
                  <c:v>7.626E-3</c:v>
                </c:pt>
                <c:pt idx="160">
                  <c:v>7.5929999999999999E-3</c:v>
                </c:pt>
                <c:pt idx="161">
                  <c:v>7.5119999999999996E-3</c:v>
                </c:pt>
                <c:pt idx="162">
                  <c:v>7.4840000000000002E-3</c:v>
                </c:pt>
                <c:pt idx="163">
                  <c:v>7.5129999999999997E-3</c:v>
                </c:pt>
                <c:pt idx="164">
                  <c:v>7.5249999999999996E-3</c:v>
                </c:pt>
                <c:pt idx="165">
                  <c:v>7.4359999999999999E-3</c:v>
                </c:pt>
                <c:pt idx="166">
                  <c:v>7.3419999999999996E-3</c:v>
                </c:pt>
                <c:pt idx="167">
                  <c:v>7.2509999999999996E-3</c:v>
                </c:pt>
                <c:pt idx="168">
                  <c:v>7.2859999999999999E-3</c:v>
                </c:pt>
                <c:pt idx="169">
                  <c:v>7.2700000000000004E-3</c:v>
                </c:pt>
                <c:pt idx="170">
                  <c:v>7.3530000000000002E-3</c:v>
                </c:pt>
                <c:pt idx="171">
                  <c:v>7.358E-3</c:v>
                </c:pt>
                <c:pt idx="172">
                  <c:v>7.2690000000000003E-3</c:v>
                </c:pt>
                <c:pt idx="173">
                  <c:v>7.2420000000000002E-3</c:v>
                </c:pt>
                <c:pt idx="174">
                  <c:v>7.2139999999999999E-3</c:v>
                </c:pt>
                <c:pt idx="175">
                  <c:v>7.1859999999999997E-3</c:v>
                </c:pt>
                <c:pt idx="176">
                  <c:v>7.2709999999999997E-3</c:v>
                </c:pt>
                <c:pt idx="177">
                  <c:v>7.3119999999999999E-3</c:v>
                </c:pt>
                <c:pt idx="178">
                  <c:v>7.2630000000000004E-3</c:v>
                </c:pt>
                <c:pt idx="179">
                  <c:v>7.3600000000000002E-3</c:v>
                </c:pt>
                <c:pt idx="180">
                  <c:v>7.3569999999999998E-3</c:v>
                </c:pt>
                <c:pt idx="181">
                  <c:v>7.4310000000000001E-3</c:v>
                </c:pt>
                <c:pt idx="182">
                  <c:v>7.5119999999999996E-3</c:v>
                </c:pt>
                <c:pt idx="183">
                  <c:v>7.5979999999999997E-3</c:v>
                </c:pt>
                <c:pt idx="184">
                  <c:v>7.5059999999999997E-3</c:v>
                </c:pt>
                <c:pt idx="185">
                  <c:v>7.4840000000000002E-3</c:v>
                </c:pt>
                <c:pt idx="186">
                  <c:v>7.3879999999999996E-3</c:v>
                </c:pt>
                <c:pt idx="187">
                  <c:v>7.391E-3</c:v>
                </c:pt>
                <c:pt idx="188">
                  <c:v>7.4469999999999996E-3</c:v>
                </c:pt>
                <c:pt idx="189">
                  <c:v>7.5399999999999998E-3</c:v>
                </c:pt>
                <c:pt idx="190">
                  <c:v>7.4580000000000002E-3</c:v>
                </c:pt>
                <c:pt idx="191">
                  <c:v>7.463E-3</c:v>
                </c:pt>
                <c:pt idx="192">
                  <c:v>7.4359999999999999E-3</c:v>
                </c:pt>
                <c:pt idx="193">
                  <c:v>7.4419999999999998E-3</c:v>
                </c:pt>
                <c:pt idx="194">
                  <c:v>7.3889999999999997E-3</c:v>
                </c:pt>
                <c:pt idx="195">
                  <c:v>7.3130000000000001E-3</c:v>
                </c:pt>
                <c:pt idx="196">
                  <c:v>7.2249999999999997E-3</c:v>
                </c:pt>
                <c:pt idx="197">
                  <c:v>7.1669999999999998E-3</c:v>
                </c:pt>
                <c:pt idx="198">
                  <c:v>7.1770000000000002E-3</c:v>
                </c:pt>
                <c:pt idx="199">
                  <c:v>7.1840000000000003E-3</c:v>
                </c:pt>
                <c:pt idx="200">
                  <c:v>7.1219999999999999E-3</c:v>
                </c:pt>
                <c:pt idx="201">
                  <c:v>7.1720000000000004E-3</c:v>
                </c:pt>
                <c:pt idx="202">
                  <c:v>7.1739999999999998E-3</c:v>
                </c:pt>
                <c:pt idx="203">
                  <c:v>7.1060000000000003E-3</c:v>
                </c:pt>
                <c:pt idx="204">
                  <c:v>7.1650000000000004E-3</c:v>
                </c:pt>
                <c:pt idx="205">
                  <c:v>7.208E-3</c:v>
                </c:pt>
                <c:pt idx="206">
                  <c:v>7.2519999999999998E-3</c:v>
                </c:pt>
                <c:pt idx="207">
                  <c:v>7.1970000000000003E-3</c:v>
                </c:pt>
                <c:pt idx="208">
                  <c:v>7.234E-3</c:v>
                </c:pt>
                <c:pt idx="209">
                  <c:v>7.1640000000000002E-3</c:v>
                </c:pt>
                <c:pt idx="210">
                  <c:v>7.1919999999999996E-3</c:v>
                </c:pt>
                <c:pt idx="211">
                  <c:v>7.1760000000000001E-3</c:v>
                </c:pt>
                <c:pt idx="212">
                  <c:v>7.0949999999999997E-3</c:v>
                </c:pt>
                <c:pt idx="213">
                  <c:v>7.0920000000000002E-3</c:v>
                </c:pt>
                <c:pt idx="214">
                  <c:v>7.1919999999999996E-3</c:v>
                </c:pt>
                <c:pt idx="215">
                  <c:v>7.2370000000000004E-3</c:v>
                </c:pt>
                <c:pt idx="216">
                  <c:v>7.306E-3</c:v>
                </c:pt>
                <c:pt idx="217">
                  <c:v>7.2389999999999998E-3</c:v>
                </c:pt>
                <c:pt idx="218">
                  <c:v>7.2979999999999998E-3</c:v>
                </c:pt>
                <c:pt idx="219">
                  <c:v>7.3119999999999999E-3</c:v>
                </c:pt>
                <c:pt idx="220">
                  <c:v>7.3749999999999996E-3</c:v>
                </c:pt>
                <c:pt idx="221">
                  <c:v>7.3309999999999998E-3</c:v>
                </c:pt>
                <c:pt idx="222">
                  <c:v>7.3670000000000003E-3</c:v>
                </c:pt>
                <c:pt idx="223">
                  <c:v>7.3509999999999999E-3</c:v>
                </c:pt>
                <c:pt idx="224">
                  <c:v>7.3419999999999996E-3</c:v>
                </c:pt>
                <c:pt idx="225">
                  <c:v>7.4180000000000001E-3</c:v>
                </c:pt>
                <c:pt idx="226">
                  <c:v>7.4650000000000003E-3</c:v>
                </c:pt>
                <c:pt idx="227">
                  <c:v>7.4790000000000004E-3</c:v>
                </c:pt>
                <c:pt idx="228">
                  <c:v>7.5529999999999998E-3</c:v>
                </c:pt>
                <c:pt idx="229">
                  <c:v>7.5240000000000003E-3</c:v>
                </c:pt>
                <c:pt idx="230">
                  <c:v>7.5030000000000001E-3</c:v>
                </c:pt>
                <c:pt idx="231">
                  <c:v>7.4060000000000003E-3</c:v>
                </c:pt>
                <c:pt idx="232">
                  <c:v>7.4799999999999997E-3</c:v>
                </c:pt>
                <c:pt idx="233">
                  <c:v>7.3990000000000002E-3</c:v>
                </c:pt>
                <c:pt idx="234">
                  <c:v>7.4570000000000001E-3</c:v>
                </c:pt>
                <c:pt idx="235">
                  <c:v>7.4580000000000002E-3</c:v>
                </c:pt>
                <c:pt idx="236">
                  <c:v>7.3980000000000001E-3</c:v>
                </c:pt>
                <c:pt idx="237">
                  <c:v>7.3359999999999996E-3</c:v>
                </c:pt>
                <c:pt idx="238">
                  <c:v>7.3930000000000003E-3</c:v>
                </c:pt>
                <c:pt idx="239">
                  <c:v>7.3229999999999996E-3</c:v>
                </c:pt>
                <c:pt idx="240">
                  <c:v>7.2709999999999997E-3</c:v>
                </c:pt>
                <c:pt idx="241">
                  <c:v>7.1970000000000003E-3</c:v>
                </c:pt>
                <c:pt idx="242">
                  <c:v>7.2630000000000004E-3</c:v>
                </c:pt>
                <c:pt idx="243">
                  <c:v>7.1939999999999999E-3</c:v>
                </c:pt>
                <c:pt idx="244">
                  <c:v>7.28E-3</c:v>
                </c:pt>
                <c:pt idx="245">
                  <c:v>7.2849999999999998E-3</c:v>
                </c:pt>
                <c:pt idx="246">
                  <c:v>7.2139999999999999E-3</c:v>
                </c:pt>
                <c:pt idx="247">
                  <c:v>7.2480000000000001E-3</c:v>
                </c:pt>
                <c:pt idx="248">
                  <c:v>7.1630000000000001E-3</c:v>
                </c:pt>
                <c:pt idx="249">
                  <c:v>7.2560000000000003E-3</c:v>
                </c:pt>
                <c:pt idx="250">
                  <c:v>7.1640000000000002E-3</c:v>
                </c:pt>
                <c:pt idx="251">
                  <c:v>7.0889999999999998E-3</c:v>
                </c:pt>
                <c:pt idx="252">
                  <c:v>7.1679999999999999E-3</c:v>
                </c:pt>
                <c:pt idx="253">
                  <c:v>7.0899999999999999E-3</c:v>
                </c:pt>
                <c:pt idx="254">
                  <c:v>7.0309999999999999E-3</c:v>
                </c:pt>
                <c:pt idx="255">
                  <c:v>7.1199999999999996E-3</c:v>
                </c:pt>
                <c:pt idx="256">
                  <c:v>7.0850000000000002E-3</c:v>
                </c:pt>
                <c:pt idx="257">
                  <c:v>7.025E-3</c:v>
                </c:pt>
                <c:pt idx="258">
                  <c:v>6.9319999999999998E-3</c:v>
                </c:pt>
                <c:pt idx="259">
                  <c:v>6.9670000000000001E-3</c:v>
                </c:pt>
                <c:pt idx="260">
                  <c:v>6.9160000000000003E-3</c:v>
                </c:pt>
                <c:pt idx="261">
                  <c:v>6.8669999999999998E-3</c:v>
                </c:pt>
                <c:pt idx="262">
                  <c:v>6.8970000000000004E-3</c:v>
                </c:pt>
                <c:pt idx="263">
                  <c:v>6.8960000000000002E-3</c:v>
                </c:pt>
                <c:pt idx="264">
                  <c:v>6.8570000000000002E-3</c:v>
                </c:pt>
                <c:pt idx="265">
                  <c:v>6.9220000000000002E-3</c:v>
                </c:pt>
                <c:pt idx="266">
                  <c:v>6.881E-3</c:v>
                </c:pt>
                <c:pt idx="267">
                  <c:v>6.8279999999999999E-3</c:v>
                </c:pt>
                <c:pt idx="268">
                  <c:v>6.8560000000000001E-3</c:v>
                </c:pt>
                <c:pt idx="269">
                  <c:v>6.9249999999999997E-3</c:v>
                </c:pt>
                <c:pt idx="270">
                  <c:v>6.8719999999999996E-3</c:v>
                </c:pt>
                <c:pt idx="271">
                  <c:v>6.9069999999999999E-3</c:v>
                </c:pt>
                <c:pt idx="272">
                  <c:v>6.9690000000000004E-3</c:v>
                </c:pt>
                <c:pt idx="273">
                  <c:v>6.8830000000000002E-3</c:v>
                </c:pt>
                <c:pt idx="274">
                  <c:v>6.8500000000000002E-3</c:v>
                </c:pt>
                <c:pt idx="275">
                  <c:v>6.8669999999999998E-3</c:v>
                </c:pt>
                <c:pt idx="276">
                  <c:v>6.8110000000000002E-3</c:v>
                </c:pt>
                <c:pt idx="277">
                  <c:v>6.829E-3</c:v>
                </c:pt>
                <c:pt idx="278">
                  <c:v>6.8739999999999999E-3</c:v>
                </c:pt>
                <c:pt idx="279">
                  <c:v>6.9329999999999999E-3</c:v>
                </c:pt>
                <c:pt idx="280">
                  <c:v>6.8450000000000004E-3</c:v>
                </c:pt>
                <c:pt idx="281">
                  <c:v>6.8979999999999996E-3</c:v>
                </c:pt>
                <c:pt idx="282">
                  <c:v>6.8300000000000001E-3</c:v>
                </c:pt>
                <c:pt idx="283">
                  <c:v>6.7999999999999996E-3</c:v>
                </c:pt>
                <c:pt idx="284">
                  <c:v>6.8999999999999999E-3</c:v>
                </c:pt>
                <c:pt idx="285">
                  <c:v>6.8859999999999998E-3</c:v>
                </c:pt>
                <c:pt idx="286">
                  <c:v>6.9309999999999997E-3</c:v>
                </c:pt>
                <c:pt idx="287">
                  <c:v>7.012E-3</c:v>
                </c:pt>
                <c:pt idx="288">
                  <c:v>6.9979999999999999E-3</c:v>
                </c:pt>
                <c:pt idx="289">
                  <c:v>7.051E-3</c:v>
                </c:pt>
                <c:pt idx="290">
                  <c:v>7.0369999999999999E-3</c:v>
                </c:pt>
                <c:pt idx="291">
                  <c:v>7.0369999999999999E-3</c:v>
                </c:pt>
                <c:pt idx="292">
                  <c:v>7.0419999999999996E-3</c:v>
                </c:pt>
                <c:pt idx="293">
                  <c:v>7.0159999999999997E-3</c:v>
                </c:pt>
                <c:pt idx="294">
                  <c:v>7.0219999999999996E-3</c:v>
                </c:pt>
                <c:pt idx="295">
                  <c:v>7.0860000000000003E-3</c:v>
                </c:pt>
                <c:pt idx="296">
                  <c:v>7.0320000000000001E-3</c:v>
                </c:pt>
                <c:pt idx="297">
                  <c:v>6.992E-3</c:v>
                </c:pt>
                <c:pt idx="298">
                  <c:v>7.051E-3</c:v>
                </c:pt>
                <c:pt idx="299">
                  <c:v>6.9760000000000004E-3</c:v>
                </c:pt>
                <c:pt idx="300">
                  <c:v>6.8989999999999998E-3</c:v>
                </c:pt>
                <c:pt idx="301">
                  <c:v>6.9420000000000003E-3</c:v>
                </c:pt>
                <c:pt idx="302">
                  <c:v>7.0309999999999999E-3</c:v>
                </c:pt>
                <c:pt idx="303">
                  <c:v>7.1199999999999996E-3</c:v>
                </c:pt>
                <c:pt idx="304">
                  <c:v>7.149E-3</c:v>
                </c:pt>
                <c:pt idx="305">
                  <c:v>7.1850000000000004E-3</c:v>
                </c:pt>
                <c:pt idx="306">
                  <c:v>7.143E-3</c:v>
                </c:pt>
                <c:pt idx="307">
                  <c:v>7.0559999999999998E-3</c:v>
                </c:pt>
                <c:pt idx="308">
                  <c:v>7.0749999999999997E-3</c:v>
                </c:pt>
                <c:pt idx="309">
                  <c:v>7.162E-3</c:v>
                </c:pt>
                <c:pt idx="310">
                  <c:v>7.2309999999999996E-3</c:v>
                </c:pt>
                <c:pt idx="311">
                  <c:v>7.1879999999999999E-3</c:v>
                </c:pt>
                <c:pt idx="312">
                  <c:v>7.1640000000000002E-3</c:v>
                </c:pt>
                <c:pt idx="313">
                  <c:v>7.254E-3</c:v>
                </c:pt>
                <c:pt idx="314">
                  <c:v>7.3090000000000004E-3</c:v>
                </c:pt>
                <c:pt idx="315">
                  <c:v>7.3029999999999996E-3</c:v>
                </c:pt>
                <c:pt idx="316">
                  <c:v>7.2480000000000001E-3</c:v>
                </c:pt>
                <c:pt idx="317">
                  <c:v>7.1549999999999999E-3</c:v>
                </c:pt>
                <c:pt idx="318">
                  <c:v>7.2500000000000004E-3</c:v>
                </c:pt>
                <c:pt idx="319">
                  <c:v>7.3099999999999997E-3</c:v>
                </c:pt>
                <c:pt idx="320">
                  <c:v>7.2579999999999997E-3</c:v>
                </c:pt>
                <c:pt idx="321">
                  <c:v>7.1720000000000004E-3</c:v>
                </c:pt>
                <c:pt idx="322">
                  <c:v>7.1370000000000001E-3</c:v>
                </c:pt>
                <c:pt idx="323">
                  <c:v>7.1710000000000003E-3</c:v>
                </c:pt>
                <c:pt idx="324">
                  <c:v>7.0899999999999999E-3</c:v>
                </c:pt>
                <c:pt idx="325">
                  <c:v>7.0260000000000001E-3</c:v>
                </c:pt>
                <c:pt idx="326">
                  <c:v>7.0790000000000002E-3</c:v>
                </c:pt>
                <c:pt idx="327">
                  <c:v>7.0780000000000001E-3</c:v>
                </c:pt>
                <c:pt idx="328">
                  <c:v>7.1089999999999999E-3</c:v>
                </c:pt>
                <c:pt idx="329">
                  <c:v>7.0479999999999996E-3</c:v>
                </c:pt>
                <c:pt idx="330">
                  <c:v>7.1329999999999996E-3</c:v>
                </c:pt>
                <c:pt idx="331">
                  <c:v>7.0619999999999997E-3</c:v>
                </c:pt>
                <c:pt idx="332">
                  <c:v>6.9979999999999999E-3</c:v>
                </c:pt>
                <c:pt idx="333">
                  <c:v>6.9119999999999997E-3</c:v>
                </c:pt>
                <c:pt idx="334">
                  <c:v>6.888E-3</c:v>
                </c:pt>
                <c:pt idx="335">
                  <c:v>6.8979999999999996E-3</c:v>
                </c:pt>
                <c:pt idx="336">
                  <c:v>6.8669999999999998E-3</c:v>
                </c:pt>
                <c:pt idx="337">
                  <c:v>6.8120000000000003E-3</c:v>
                </c:pt>
                <c:pt idx="338">
                  <c:v>6.9059999999999998E-3</c:v>
                </c:pt>
                <c:pt idx="339">
                  <c:v>6.9890000000000004E-3</c:v>
                </c:pt>
                <c:pt idx="340">
                  <c:v>6.9170000000000004E-3</c:v>
                </c:pt>
                <c:pt idx="341">
                  <c:v>6.8580000000000004E-3</c:v>
                </c:pt>
                <c:pt idx="342">
                  <c:v>6.8060000000000004E-3</c:v>
                </c:pt>
                <c:pt idx="343">
                  <c:v>6.796E-3</c:v>
                </c:pt>
                <c:pt idx="344">
                  <c:v>6.7279999999999996E-3</c:v>
                </c:pt>
                <c:pt idx="345">
                  <c:v>6.7289999999999997E-3</c:v>
                </c:pt>
                <c:pt idx="346">
                  <c:v>6.8170000000000001E-3</c:v>
                </c:pt>
                <c:pt idx="347">
                  <c:v>6.855E-3</c:v>
                </c:pt>
                <c:pt idx="348">
                  <c:v>6.757E-3</c:v>
                </c:pt>
                <c:pt idx="349">
                  <c:v>6.7860000000000004E-3</c:v>
                </c:pt>
                <c:pt idx="350">
                  <c:v>6.8079999999999998E-3</c:v>
                </c:pt>
                <c:pt idx="351">
                  <c:v>6.8859999999999998E-3</c:v>
                </c:pt>
                <c:pt idx="352">
                  <c:v>6.8690000000000001E-3</c:v>
                </c:pt>
                <c:pt idx="353">
                  <c:v>6.8440000000000003E-3</c:v>
                </c:pt>
                <c:pt idx="354">
                  <c:v>6.7999999999999996E-3</c:v>
                </c:pt>
                <c:pt idx="355">
                  <c:v>6.7539999999999996E-3</c:v>
                </c:pt>
                <c:pt idx="356">
                  <c:v>6.7910000000000002E-3</c:v>
                </c:pt>
                <c:pt idx="357">
                  <c:v>6.803E-3</c:v>
                </c:pt>
                <c:pt idx="358">
                  <c:v>6.7270000000000003E-3</c:v>
                </c:pt>
                <c:pt idx="359">
                  <c:v>6.6940000000000003E-3</c:v>
                </c:pt>
                <c:pt idx="360">
                  <c:v>6.5989999999999998E-3</c:v>
                </c:pt>
                <c:pt idx="361">
                  <c:v>6.5370000000000003E-3</c:v>
                </c:pt>
                <c:pt idx="362">
                  <c:v>6.4460000000000003E-3</c:v>
                </c:pt>
                <c:pt idx="363">
                  <c:v>6.5269999999999998E-3</c:v>
                </c:pt>
                <c:pt idx="364">
                  <c:v>6.463E-3</c:v>
                </c:pt>
                <c:pt idx="365">
                  <c:v>6.4809999999999998E-3</c:v>
                </c:pt>
                <c:pt idx="366">
                  <c:v>6.5519999999999997E-3</c:v>
                </c:pt>
                <c:pt idx="367">
                  <c:v>6.4780000000000003E-3</c:v>
                </c:pt>
                <c:pt idx="368">
                  <c:v>6.4339999999999996E-3</c:v>
                </c:pt>
                <c:pt idx="369">
                  <c:v>6.4079999999999996E-3</c:v>
                </c:pt>
                <c:pt idx="370">
                  <c:v>6.4770000000000001E-3</c:v>
                </c:pt>
                <c:pt idx="371">
                  <c:v>6.5300000000000002E-3</c:v>
                </c:pt>
                <c:pt idx="372">
                  <c:v>6.5449999999999996E-3</c:v>
                </c:pt>
                <c:pt idx="373">
                  <c:v>6.6319999999999999E-3</c:v>
                </c:pt>
                <c:pt idx="374">
                  <c:v>6.5989999999999998E-3</c:v>
                </c:pt>
                <c:pt idx="375">
                  <c:v>6.5170000000000002E-3</c:v>
                </c:pt>
                <c:pt idx="376">
                  <c:v>6.4900000000000001E-3</c:v>
                </c:pt>
                <c:pt idx="377">
                  <c:v>6.5040000000000002E-3</c:v>
                </c:pt>
                <c:pt idx="378">
                  <c:v>6.5960000000000003E-3</c:v>
                </c:pt>
                <c:pt idx="379">
                  <c:v>6.5319999999999996E-3</c:v>
                </c:pt>
                <c:pt idx="380">
                  <c:v>6.5640000000000004E-3</c:v>
                </c:pt>
                <c:pt idx="381">
                  <c:v>6.5160000000000001E-3</c:v>
                </c:pt>
                <c:pt idx="382">
                  <c:v>6.4359999999999999E-3</c:v>
                </c:pt>
                <c:pt idx="383">
                  <c:v>6.3870000000000003E-3</c:v>
                </c:pt>
                <c:pt idx="384">
                  <c:v>6.4679999999999998E-3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1-49FD-B33D-D374FE395580}"/>
            </c:ext>
          </c:extLst>
        </c:ser>
        <c:ser>
          <c:idx val="2"/>
          <c:order val="4"/>
          <c:tx>
            <c:strRef>
              <c:f>'idx data'!$F$2</c:f>
              <c:strCache>
                <c:ptCount val="1"/>
                <c:pt idx="0">
                  <c:v>6moTr</c:v>
                </c:pt>
              </c:strCache>
            </c:strRef>
          </c:tx>
          <c:spPr>
            <a:ln w="28575" cap="rnd">
              <a:solidFill>
                <a:schemeClr val="accent5">
                  <a:tint val="5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'idx data'!$A$3:$A$387</c:f>
              <c:numCache>
                <c:formatCode>General</c:formatCode>
                <c:ptCount val="3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</c:numCache>
            </c:numRef>
          </c:cat>
          <c:val>
            <c:numRef>
              <c:f>'idx data'!$F$3:$F$387</c:f>
              <c:numCache>
                <c:formatCode>General</c:formatCode>
                <c:ptCount val="385"/>
                <c:pt idx="0">
                  <c:v>1.0700000000000001E-2</c:v>
                </c:pt>
                <c:pt idx="1">
                  <c:v>1.0697E-2</c:v>
                </c:pt>
                <c:pt idx="2">
                  <c:v>1.0603E-2</c:v>
                </c:pt>
                <c:pt idx="3">
                  <c:v>1.0633999999999999E-2</c:v>
                </c:pt>
                <c:pt idx="4">
                  <c:v>1.0588999999999999E-2</c:v>
                </c:pt>
                <c:pt idx="5">
                  <c:v>1.0571000000000001E-2</c:v>
                </c:pt>
                <c:pt idx="6">
                  <c:v>1.0643E-2</c:v>
                </c:pt>
                <c:pt idx="7">
                  <c:v>1.0688E-2</c:v>
                </c:pt>
                <c:pt idx="8">
                  <c:v>1.077E-2</c:v>
                </c:pt>
                <c:pt idx="9">
                  <c:v>1.0805E-2</c:v>
                </c:pt>
                <c:pt idx="10">
                  <c:v>1.0902999999999999E-2</c:v>
                </c:pt>
                <c:pt idx="11">
                  <c:v>1.0940999999999999E-2</c:v>
                </c:pt>
                <c:pt idx="12">
                  <c:v>1.0881999999999999E-2</c:v>
                </c:pt>
                <c:pt idx="13">
                  <c:v>1.0829999999999999E-2</c:v>
                </c:pt>
                <c:pt idx="14">
                  <c:v>1.086E-2</c:v>
                </c:pt>
                <c:pt idx="15">
                  <c:v>1.0806E-2</c:v>
                </c:pt>
                <c:pt idx="16">
                  <c:v>1.0802000000000001E-2</c:v>
                </c:pt>
                <c:pt idx="17">
                  <c:v>1.0817E-2</c:v>
                </c:pt>
                <c:pt idx="18">
                  <c:v>1.0897E-2</c:v>
                </c:pt>
                <c:pt idx="19">
                  <c:v>1.0940999999999999E-2</c:v>
                </c:pt>
                <c:pt idx="20">
                  <c:v>1.0864E-2</c:v>
                </c:pt>
                <c:pt idx="21">
                  <c:v>1.0962E-2</c:v>
                </c:pt>
                <c:pt idx="22">
                  <c:v>1.0864E-2</c:v>
                </c:pt>
                <c:pt idx="23">
                  <c:v>1.0959E-2</c:v>
                </c:pt>
                <c:pt idx="24">
                  <c:v>1.0867E-2</c:v>
                </c:pt>
                <c:pt idx="25">
                  <c:v>1.0770999999999999E-2</c:v>
                </c:pt>
                <c:pt idx="26">
                  <c:v>1.0678999999999999E-2</c:v>
                </c:pt>
                <c:pt idx="27">
                  <c:v>1.0725E-2</c:v>
                </c:pt>
                <c:pt idx="28">
                  <c:v>1.0663000000000001E-2</c:v>
                </c:pt>
                <c:pt idx="29">
                  <c:v>1.0704999999999999E-2</c:v>
                </c:pt>
                <c:pt idx="30">
                  <c:v>1.0631E-2</c:v>
                </c:pt>
                <c:pt idx="31">
                  <c:v>1.0668E-2</c:v>
                </c:pt>
                <c:pt idx="32">
                  <c:v>1.0749E-2</c:v>
                </c:pt>
                <c:pt idx="33">
                  <c:v>1.0754E-2</c:v>
                </c:pt>
                <c:pt idx="34">
                  <c:v>1.0697999999999999E-2</c:v>
                </c:pt>
                <c:pt idx="35">
                  <c:v>1.0642E-2</c:v>
                </c:pt>
                <c:pt idx="36">
                  <c:v>1.0737999999999999E-2</c:v>
                </c:pt>
                <c:pt idx="37">
                  <c:v>1.0802000000000001E-2</c:v>
                </c:pt>
                <c:pt idx="38">
                  <c:v>1.0799E-2</c:v>
                </c:pt>
                <c:pt idx="39">
                  <c:v>1.0795000000000001E-2</c:v>
                </c:pt>
                <c:pt idx="40">
                  <c:v>1.0736000000000001E-2</c:v>
                </c:pt>
                <c:pt idx="41">
                  <c:v>1.0649E-2</c:v>
                </c:pt>
                <c:pt idx="42">
                  <c:v>1.0625000000000001E-2</c:v>
                </c:pt>
                <c:pt idx="43">
                  <c:v>1.0640999999999999E-2</c:v>
                </c:pt>
                <c:pt idx="44">
                  <c:v>1.0647E-2</c:v>
                </c:pt>
                <c:pt idx="45">
                  <c:v>1.0619999999999999E-2</c:v>
                </c:pt>
                <c:pt idx="46">
                  <c:v>1.0715000000000001E-2</c:v>
                </c:pt>
                <c:pt idx="47">
                  <c:v>1.0701E-2</c:v>
                </c:pt>
                <c:pt idx="48">
                  <c:v>1.0792E-2</c:v>
                </c:pt>
                <c:pt idx="49">
                  <c:v>1.0697E-2</c:v>
                </c:pt>
                <c:pt idx="50">
                  <c:v>1.0682000000000001E-2</c:v>
                </c:pt>
                <c:pt idx="51">
                  <c:v>1.0642E-2</c:v>
                </c:pt>
                <c:pt idx="52">
                  <c:v>1.0567E-2</c:v>
                </c:pt>
                <c:pt idx="53">
                  <c:v>1.0577E-2</c:v>
                </c:pt>
                <c:pt idx="54">
                  <c:v>1.0551E-2</c:v>
                </c:pt>
                <c:pt idx="55">
                  <c:v>1.057E-2</c:v>
                </c:pt>
                <c:pt idx="56">
                  <c:v>1.0541999999999999E-2</c:v>
                </c:pt>
                <c:pt idx="57">
                  <c:v>1.0607E-2</c:v>
                </c:pt>
                <c:pt idx="58">
                  <c:v>1.0692E-2</c:v>
                </c:pt>
                <c:pt idx="59">
                  <c:v>1.0659E-2</c:v>
                </c:pt>
                <c:pt idx="60">
                  <c:v>1.0645999999999999E-2</c:v>
                </c:pt>
                <c:pt idx="61">
                  <c:v>1.0614999999999999E-2</c:v>
                </c:pt>
                <c:pt idx="62">
                  <c:v>1.0652999999999999E-2</c:v>
                </c:pt>
                <c:pt idx="63">
                  <c:v>1.0658000000000001E-2</c:v>
                </c:pt>
                <c:pt idx="64">
                  <c:v>1.0621E-2</c:v>
                </c:pt>
                <c:pt idx="65">
                  <c:v>1.0552000000000001E-2</c:v>
                </c:pt>
                <c:pt idx="66">
                  <c:v>1.0595E-2</c:v>
                </c:pt>
                <c:pt idx="67">
                  <c:v>1.0599000000000001E-2</c:v>
                </c:pt>
                <c:pt idx="68">
                  <c:v>1.0536E-2</c:v>
                </c:pt>
                <c:pt idx="69">
                  <c:v>1.0534999999999999E-2</c:v>
                </c:pt>
                <c:pt idx="70">
                  <c:v>1.0555999999999999E-2</c:v>
                </c:pt>
                <c:pt idx="71">
                  <c:v>1.0500000000000001E-2</c:v>
                </c:pt>
                <c:pt idx="72">
                  <c:v>1.0524E-2</c:v>
                </c:pt>
                <c:pt idx="73">
                  <c:v>1.0548999999999999E-2</c:v>
                </c:pt>
                <c:pt idx="74">
                  <c:v>1.0488000000000001E-2</c:v>
                </c:pt>
                <c:pt idx="75">
                  <c:v>1.0534999999999999E-2</c:v>
                </c:pt>
                <c:pt idx="76">
                  <c:v>1.0481000000000001E-2</c:v>
                </c:pt>
                <c:pt idx="77">
                  <c:v>1.0404999999999999E-2</c:v>
                </c:pt>
                <c:pt idx="78">
                  <c:v>1.0352E-2</c:v>
                </c:pt>
                <c:pt idx="79">
                  <c:v>1.0354E-2</c:v>
                </c:pt>
                <c:pt idx="80">
                  <c:v>1.039E-2</c:v>
                </c:pt>
                <c:pt idx="81">
                  <c:v>1.0468999999999999E-2</c:v>
                </c:pt>
                <c:pt idx="82">
                  <c:v>1.0524E-2</c:v>
                </c:pt>
                <c:pt idx="83">
                  <c:v>1.0607999999999999E-2</c:v>
                </c:pt>
                <c:pt idx="84">
                  <c:v>1.0645E-2</c:v>
                </c:pt>
                <c:pt idx="85">
                  <c:v>1.0662E-2</c:v>
                </c:pt>
                <c:pt idx="86">
                  <c:v>1.0581E-2</c:v>
                </c:pt>
                <c:pt idx="87">
                  <c:v>1.0652999999999999E-2</c:v>
                </c:pt>
                <c:pt idx="88">
                  <c:v>1.0638E-2</c:v>
                </c:pt>
                <c:pt idx="89">
                  <c:v>1.0591E-2</c:v>
                </c:pt>
                <c:pt idx="90">
                  <c:v>1.0564E-2</c:v>
                </c:pt>
                <c:pt idx="91">
                  <c:v>1.0527999999999999E-2</c:v>
                </c:pt>
                <c:pt idx="92">
                  <c:v>1.0461E-2</c:v>
                </c:pt>
                <c:pt idx="93">
                  <c:v>1.0507000000000001E-2</c:v>
                </c:pt>
                <c:pt idx="94">
                  <c:v>1.0451E-2</c:v>
                </c:pt>
                <c:pt idx="95">
                  <c:v>1.0534E-2</c:v>
                </c:pt>
                <c:pt idx="96">
                  <c:v>1.0527999999999999E-2</c:v>
                </c:pt>
                <c:pt idx="97">
                  <c:v>1.0540000000000001E-2</c:v>
                </c:pt>
                <c:pt idx="98">
                  <c:v>1.0574999999999999E-2</c:v>
                </c:pt>
                <c:pt idx="99">
                  <c:v>1.0658000000000001E-2</c:v>
                </c:pt>
                <c:pt idx="100">
                  <c:v>1.0624E-2</c:v>
                </c:pt>
                <c:pt idx="101">
                  <c:v>1.0661E-2</c:v>
                </c:pt>
                <c:pt idx="102">
                  <c:v>1.0736000000000001E-2</c:v>
                </c:pt>
                <c:pt idx="103">
                  <c:v>1.0654E-2</c:v>
                </c:pt>
                <c:pt idx="104">
                  <c:v>1.0569E-2</c:v>
                </c:pt>
                <c:pt idx="105">
                  <c:v>1.0553E-2</c:v>
                </c:pt>
                <c:pt idx="106">
                  <c:v>1.0493000000000001E-2</c:v>
                </c:pt>
                <c:pt idx="107">
                  <c:v>1.0404999999999999E-2</c:v>
                </c:pt>
                <c:pt idx="108">
                  <c:v>1.0374E-2</c:v>
                </c:pt>
                <c:pt idx="109">
                  <c:v>1.0338999999999999E-2</c:v>
                </c:pt>
                <c:pt idx="110">
                  <c:v>1.0359E-2</c:v>
                </c:pt>
                <c:pt idx="111">
                  <c:v>1.0322E-2</c:v>
                </c:pt>
                <c:pt idx="112">
                  <c:v>1.0376E-2</c:v>
                </c:pt>
                <c:pt idx="113">
                  <c:v>1.0399E-2</c:v>
                </c:pt>
                <c:pt idx="114">
                  <c:v>1.0421E-2</c:v>
                </c:pt>
                <c:pt idx="115">
                  <c:v>1.0514000000000001E-2</c:v>
                </c:pt>
                <c:pt idx="116">
                  <c:v>1.0432E-2</c:v>
                </c:pt>
                <c:pt idx="117">
                  <c:v>1.0359E-2</c:v>
                </c:pt>
                <c:pt idx="118">
                  <c:v>1.0455000000000001E-2</c:v>
                </c:pt>
                <c:pt idx="119">
                  <c:v>1.0432E-2</c:v>
                </c:pt>
                <c:pt idx="120">
                  <c:v>1.0488000000000001E-2</c:v>
                </c:pt>
                <c:pt idx="121">
                  <c:v>1.0539E-2</c:v>
                </c:pt>
                <c:pt idx="122">
                  <c:v>1.0474000000000001E-2</c:v>
                </c:pt>
                <c:pt idx="123">
                  <c:v>1.0503999999999999E-2</c:v>
                </c:pt>
                <c:pt idx="124">
                  <c:v>1.0444999999999999E-2</c:v>
                </c:pt>
                <c:pt idx="125">
                  <c:v>1.0533000000000001E-2</c:v>
                </c:pt>
                <c:pt idx="126">
                  <c:v>1.0631E-2</c:v>
                </c:pt>
                <c:pt idx="127">
                  <c:v>1.0544E-2</c:v>
                </c:pt>
                <c:pt idx="128">
                  <c:v>1.0532E-2</c:v>
                </c:pt>
                <c:pt idx="129">
                  <c:v>1.0598E-2</c:v>
                </c:pt>
                <c:pt idx="130">
                  <c:v>1.0515E-2</c:v>
                </c:pt>
                <c:pt idx="131">
                  <c:v>1.0491E-2</c:v>
                </c:pt>
                <c:pt idx="132">
                  <c:v>1.042E-2</c:v>
                </c:pt>
                <c:pt idx="133">
                  <c:v>1.0409E-2</c:v>
                </c:pt>
                <c:pt idx="134">
                  <c:v>1.0449E-2</c:v>
                </c:pt>
                <c:pt idx="135">
                  <c:v>1.0526000000000001E-2</c:v>
                </c:pt>
                <c:pt idx="136">
                  <c:v>1.0459E-2</c:v>
                </c:pt>
                <c:pt idx="137">
                  <c:v>1.0526000000000001E-2</c:v>
                </c:pt>
                <c:pt idx="138">
                  <c:v>1.0614999999999999E-2</c:v>
                </c:pt>
                <c:pt idx="139">
                  <c:v>1.0527E-2</c:v>
                </c:pt>
                <c:pt idx="140">
                  <c:v>1.0515E-2</c:v>
                </c:pt>
                <c:pt idx="141">
                  <c:v>1.0519000000000001E-2</c:v>
                </c:pt>
                <c:pt idx="142">
                  <c:v>1.0427000000000001E-2</c:v>
                </c:pt>
                <c:pt idx="143">
                  <c:v>1.0338E-2</c:v>
                </c:pt>
                <c:pt idx="144">
                  <c:v>1.025E-2</c:v>
                </c:pt>
                <c:pt idx="145">
                  <c:v>1.0337000000000001E-2</c:v>
                </c:pt>
                <c:pt idx="146">
                  <c:v>1.0423999999999999E-2</c:v>
                </c:pt>
                <c:pt idx="147">
                  <c:v>1.0343E-2</c:v>
                </c:pt>
                <c:pt idx="148">
                  <c:v>1.0315E-2</c:v>
                </c:pt>
                <c:pt idx="149">
                  <c:v>1.0359E-2</c:v>
                </c:pt>
                <c:pt idx="150">
                  <c:v>1.0302E-2</c:v>
                </c:pt>
                <c:pt idx="151">
                  <c:v>1.0355E-2</c:v>
                </c:pt>
                <c:pt idx="152">
                  <c:v>1.0362E-2</c:v>
                </c:pt>
                <c:pt idx="153">
                  <c:v>1.0342E-2</c:v>
                </c:pt>
                <c:pt idx="154">
                  <c:v>1.0260999999999999E-2</c:v>
                </c:pt>
                <c:pt idx="155">
                  <c:v>1.0237E-2</c:v>
                </c:pt>
                <c:pt idx="156">
                  <c:v>1.0155000000000001E-2</c:v>
                </c:pt>
                <c:pt idx="157">
                  <c:v>1.0134000000000001E-2</c:v>
                </c:pt>
                <c:pt idx="158">
                  <c:v>1.0101000000000001E-2</c:v>
                </c:pt>
                <c:pt idx="159">
                  <c:v>1.0104E-2</c:v>
                </c:pt>
                <c:pt idx="160">
                  <c:v>1.0123E-2</c:v>
                </c:pt>
                <c:pt idx="161">
                  <c:v>1.0115000000000001E-2</c:v>
                </c:pt>
                <c:pt idx="162">
                  <c:v>1.0029E-2</c:v>
                </c:pt>
                <c:pt idx="163">
                  <c:v>1.0120000000000001E-2</c:v>
                </c:pt>
                <c:pt idx="164">
                  <c:v>1.0064E-2</c:v>
                </c:pt>
                <c:pt idx="165">
                  <c:v>1.0052E-2</c:v>
                </c:pt>
                <c:pt idx="166">
                  <c:v>1.0059999999999999E-2</c:v>
                </c:pt>
                <c:pt idx="167">
                  <c:v>1.0002E-2</c:v>
                </c:pt>
                <c:pt idx="168">
                  <c:v>9.9369999999999997E-3</c:v>
                </c:pt>
                <c:pt idx="169">
                  <c:v>1.0026E-2</c:v>
                </c:pt>
                <c:pt idx="170">
                  <c:v>9.9780000000000008E-3</c:v>
                </c:pt>
                <c:pt idx="171">
                  <c:v>1.0055E-2</c:v>
                </c:pt>
                <c:pt idx="172">
                  <c:v>1.0038999999999999E-2</c:v>
                </c:pt>
                <c:pt idx="173">
                  <c:v>1.0093E-2</c:v>
                </c:pt>
                <c:pt idx="174">
                  <c:v>1.0066E-2</c:v>
                </c:pt>
                <c:pt idx="175">
                  <c:v>1.0055E-2</c:v>
                </c:pt>
                <c:pt idx="176">
                  <c:v>9.9620000000000004E-3</c:v>
                </c:pt>
                <c:pt idx="177">
                  <c:v>1.0005E-2</c:v>
                </c:pt>
                <c:pt idx="178">
                  <c:v>9.9570000000000006E-3</c:v>
                </c:pt>
                <c:pt idx="179">
                  <c:v>9.9649999999999999E-3</c:v>
                </c:pt>
                <c:pt idx="180">
                  <c:v>9.8720000000000006E-3</c:v>
                </c:pt>
                <c:pt idx="181">
                  <c:v>9.8849999999999997E-3</c:v>
                </c:pt>
                <c:pt idx="182">
                  <c:v>9.8639999999999995E-3</c:v>
                </c:pt>
                <c:pt idx="183">
                  <c:v>9.8069999999999997E-3</c:v>
                </c:pt>
                <c:pt idx="184">
                  <c:v>9.8709999999999996E-3</c:v>
                </c:pt>
                <c:pt idx="185">
                  <c:v>9.7979999999999994E-3</c:v>
                </c:pt>
                <c:pt idx="186">
                  <c:v>9.8980000000000005E-3</c:v>
                </c:pt>
                <c:pt idx="187">
                  <c:v>9.8560000000000002E-3</c:v>
                </c:pt>
                <c:pt idx="188">
                  <c:v>9.868E-3</c:v>
                </c:pt>
                <c:pt idx="189">
                  <c:v>9.9240000000000005E-3</c:v>
                </c:pt>
                <c:pt idx="190">
                  <c:v>9.8670000000000008E-3</c:v>
                </c:pt>
                <c:pt idx="191">
                  <c:v>9.8530000000000006E-3</c:v>
                </c:pt>
                <c:pt idx="192">
                  <c:v>9.9380000000000007E-3</c:v>
                </c:pt>
                <c:pt idx="193">
                  <c:v>1.0009000000000001E-2</c:v>
                </c:pt>
                <c:pt idx="194">
                  <c:v>1.0018000000000001E-2</c:v>
                </c:pt>
                <c:pt idx="195">
                  <c:v>1.0097999999999999E-2</c:v>
                </c:pt>
                <c:pt idx="196">
                  <c:v>1.0043E-2</c:v>
                </c:pt>
                <c:pt idx="197">
                  <c:v>9.9850000000000008E-3</c:v>
                </c:pt>
                <c:pt idx="198">
                  <c:v>9.9989999999999992E-3</c:v>
                </c:pt>
                <c:pt idx="199">
                  <c:v>9.9760000000000005E-3</c:v>
                </c:pt>
                <c:pt idx="200">
                  <c:v>1.0045999999999999E-2</c:v>
                </c:pt>
                <c:pt idx="201">
                  <c:v>1.0031E-2</c:v>
                </c:pt>
                <c:pt idx="202">
                  <c:v>1.0106E-2</c:v>
                </c:pt>
                <c:pt idx="203">
                  <c:v>1.008E-2</c:v>
                </c:pt>
                <c:pt idx="204">
                  <c:v>1.0012E-2</c:v>
                </c:pt>
                <c:pt idx="205">
                  <c:v>1.0037000000000001E-2</c:v>
                </c:pt>
                <c:pt idx="206">
                  <c:v>1.0121E-2</c:v>
                </c:pt>
                <c:pt idx="207">
                  <c:v>1.0220999999999999E-2</c:v>
                </c:pt>
                <c:pt idx="208">
                  <c:v>1.0257E-2</c:v>
                </c:pt>
                <c:pt idx="209">
                  <c:v>1.0212000000000001E-2</c:v>
                </c:pt>
                <c:pt idx="210">
                  <c:v>1.0168E-2</c:v>
                </c:pt>
                <c:pt idx="211">
                  <c:v>1.0133E-2</c:v>
                </c:pt>
                <c:pt idx="212">
                  <c:v>1.018E-2</c:v>
                </c:pt>
                <c:pt idx="213">
                  <c:v>1.0168E-2</c:v>
                </c:pt>
                <c:pt idx="214">
                  <c:v>1.0267999999999999E-2</c:v>
                </c:pt>
                <c:pt idx="215">
                  <c:v>1.0344000000000001E-2</c:v>
                </c:pt>
                <c:pt idx="216">
                  <c:v>1.035E-2</c:v>
                </c:pt>
                <c:pt idx="217">
                  <c:v>1.0348E-2</c:v>
                </c:pt>
                <c:pt idx="218">
                  <c:v>1.0281E-2</c:v>
                </c:pt>
                <c:pt idx="219">
                  <c:v>1.0234999999999999E-2</c:v>
                </c:pt>
                <c:pt idx="220">
                  <c:v>1.0168999999999999E-2</c:v>
                </c:pt>
                <c:pt idx="221">
                  <c:v>1.0122000000000001E-2</c:v>
                </c:pt>
                <c:pt idx="222">
                  <c:v>1.0118E-2</c:v>
                </c:pt>
                <c:pt idx="223">
                  <c:v>1.0107E-2</c:v>
                </c:pt>
                <c:pt idx="224">
                  <c:v>1.0187999999999999E-2</c:v>
                </c:pt>
                <c:pt idx="225">
                  <c:v>1.0185E-2</c:v>
                </c:pt>
                <c:pt idx="226">
                  <c:v>1.0264000000000001E-2</c:v>
                </c:pt>
                <c:pt idx="227">
                  <c:v>1.0321E-2</c:v>
                </c:pt>
                <c:pt idx="228">
                  <c:v>1.0387E-2</c:v>
                </c:pt>
                <c:pt idx="229">
                  <c:v>1.0389000000000001E-2</c:v>
                </c:pt>
                <c:pt idx="230">
                  <c:v>1.031E-2</c:v>
                </c:pt>
                <c:pt idx="231">
                  <c:v>1.027E-2</c:v>
                </c:pt>
                <c:pt idx="232">
                  <c:v>1.0233000000000001E-2</c:v>
                </c:pt>
                <c:pt idx="233">
                  <c:v>1.0211E-2</c:v>
                </c:pt>
                <c:pt idx="234">
                  <c:v>1.0214000000000001E-2</c:v>
                </c:pt>
                <c:pt idx="235">
                  <c:v>1.0187999999999999E-2</c:v>
                </c:pt>
                <c:pt idx="236">
                  <c:v>1.0096000000000001E-2</c:v>
                </c:pt>
                <c:pt idx="237">
                  <c:v>1.0142999999999999E-2</c:v>
                </c:pt>
                <c:pt idx="238">
                  <c:v>1.0155000000000001E-2</c:v>
                </c:pt>
                <c:pt idx="239">
                  <c:v>1.0226000000000001E-2</c:v>
                </c:pt>
                <c:pt idx="240">
                  <c:v>1.0265E-2</c:v>
                </c:pt>
                <c:pt idx="241">
                  <c:v>1.0182999999999999E-2</c:v>
                </c:pt>
                <c:pt idx="242">
                  <c:v>1.0178E-2</c:v>
                </c:pt>
                <c:pt idx="243">
                  <c:v>1.0192E-2</c:v>
                </c:pt>
                <c:pt idx="244">
                  <c:v>1.0252000000000001E-2</c:v>
                </c:pt>
                <c:pt idx="245">
                  <c:v>1.0246999999999999E-2</c:v>
                </c:pt>
                <c:pt idx="246">
                  <c:v>1.0305999999999999E-2</c:v>
                </c:pt>
                <c:pt idx="247">
                  <c:v>1.0325000000000001E-2</c:v>
                </c:pt>
                <c:pt idx="248">
                  <c:v>1.0307E-2</c:v>
                </c:pt>
                <c:pt idx="249">
                  <c:v>1.0307E-2</c:v>
                </c:pt>
                <c:pt idx="250">
                  <c:v>1.04E-2</c:v>
                </c:pt>
                <c:pt idx="251">
                  <c:v>1.039E-2</c:v>
                </c:pt>
                <c:pt idx="252">
                  <c:v>1.0442E-2</c:v>
                </c:pt>
                <c:pt idx="253">
                  <c:v>1.0461E-2</c:v>
                </c:pt>
                <c:pt idx="254">
                  <c:v>1.0527E-2</c:v>
                </c:pt>
                <c:pt idx="255">
                  <c:v>1.0612E-2</c:v>
                </c:pt>
                <c:pt idx="256">
                  <c:v>1.064E-2</c:v>
                </c:pt>
                <c:pt idx="257">
                  <c:v>1.0588E-2</c:v>
                </c:pt>
                <c:pt idx="258">
                  <c:v>1.0581E-2</c:v>
                </c:pt>
                <c:pt idx="259">
                  <c:v>1.0527999999999999E-2</c:v>
                </c:pt>
                <c:pt idx="260">
                  <c:v>1.0485E-2</c:v>
                </c:pt>
                <c:pt idx="261">
                  <c:v>1.0576E-2</c:v>
                </c:pt>
                <c:pt idx="262">
                  <c:v>1.052E-2</c:v>
                </c:pt>
                <c:pt idx="263">
                  <c:v>1.0495000000000001E-2</c:v>
                </c:pt>
                <c:pt idx="264">
                  <c:v>1.0593999999999999E-2</c:v>
                </c:pt>
                <c:pt idx="265">
                  <c:v>1.0529E-2</c:v>
                </c:pt>
                <c:pt idx="266">
                  <c:v>1.0539E-2</c:v>
                </c:pt>
                <c:pt idx="267">
                  <c:v>1.0578000000000001E-2</c:v>
                </c:pt>
                <c:pt idx="268">
                  <c:v>1.0522999999999999E-2</c:v>
                </c:pt>
                <c:pt idx="269">
                  <c:v>1.0540000000000001E-2</c:v>
                </c:pt>
                <c:pt idx="270">
                  <c:v>1.0564E-2</c:v>
                </c:pt>
                <c:pt idx="271">
                  <c:v>1.0500000000000001E-2</c:v>
                </c:pt>
                <c:pt idx="272">
                  <c:v>1.0553E-2</c:v>
                </c:pt>
                <c:pt idx="273">
                  <c:v>1.0628E-2</c:v>
                </c:pt>
                <c:pt idx="274">
                  <c:v>1.0621E-2</c:v>
                </c:pt>
                <c:pt idx="275">
                  <c:v>1.0647E-2</c:v>
                </c:pt>
                <c:pt idx="276">
                  <c:v>1.0581E-2</c:v>
                </c:pt>
                <c:pt idx="277">
                  <c:v>1.0533000000000001E-2</c:v>
                </c:pt>
                <c:pt idx="278">
                  <c:v>1.0581E-2</c:v>
                </c:pt>
                <c:pt idx="279">
                  <c:v>1.0661E-2</c:v>
                </c:pt>
                <c:pt idx="280">
                  <c:v>1.0632000000000001E-2</c:v>
                </c:pt>
                <c:pt idx="281">
                  <c:v>1.0701E-2</c:v>
                </c:pt>
                <c:pt idx="282">
                  <c:v>1.069E-2</c:v>
                </c:pt>
                <c:pt idx="283">
                  <c:v>1.0621999999999999E-2</c:v>
                </c:pt>
                <c:pt idx="284">
                  <c:v>1.0580000000000001E-2</c:v>
                </c:pt>
                <c:pt idx="285">
                  <c:v>1.0583E-2</c:v>
                </c:pt>
                <c:pt idx="286">
                  <c:v>1.0625000000000001E-2</c:v>
                </c:pt>
                <c:pt idx="287">
                  <c:v>1.0688E-2</c:v>
                </c:pt>
                <c:pt idx="288">
                  <c:v>1.0596E-2</c:v>
                </c:pt>
                <c:pt idx="289">
                  <c:v>1.0536E-2</c:v>
                </c:pt>
                <c:pt idx="290">
                  <c:v>1.0584E-2</c:v>
                </c:pt>
                <c:pt idx="291">
                  <c:v>1.0683E-2</c:v>
                </c:pt>
                <c:pt idx="292">
                  <c:v>1.0588999999999999E-2</c:v>
                </c:pt>
                <c:pt idx="293">
                  <c:v>1.0574999999999999E-2</c:v>
                </c:pt>
                <c:pt idx="294">
                  <c:v>1.0673999999999999E-2</c:v>
                </c:pt>
                <c:pt idx="295">
                  <c:v>1.0737E-2</c:v>
                </c:pt>
                <c:pt idx="296">
                  <c:v>1.0791E-2</c:v>
                </c:pt>
                <c:pt idx="297">
                  <c:v>1.085E-2</c:v>
                </c:pt>
                <c:pt idx="298">
                  <c:v>1.0815999999999999E-2</c:v>
                </c:pt>
                <c:pt idx="299">
                  <c:v>1.0776000000000001E-2</c:v>
                </c:pt>
                <c:pt idx="300">
                  <c:v>1.0834999999999999E-2</c:v>
                </c:pt>
                <c:pt idx="301">
                  <c:v>1.0933999999999999E-2</c:v>
                </c:pt>
                <c:pt idx="302">
                  <c:v>1.0926999999999999E-2</c:v>
                </c:pt>
                <c:pt idx="303">
                  <c:v>1.1013999999999999E-2</c:v>
                </c:pt>
                <c:pt idx="304">
                  <c:v>1.0971E-2</c:v>
                </c:pt>
                <c:pt idx="305">
                  <c:v>1.1070999999999999E-2</c:v>
                </c:pt>
                <c:pt idx="306">
                  <c:v>1.0982E-2</c:v>
                </c:pt>
                <c:pt idx="307">
                  <c:v>1.1077E-2</c:v>
                </c:pt>
                <c:pt idx="308">
                  <c:v>1.1091E-2</c:v>
                </c:pt>
                <c:pt idx="309">
                  <c:v>1.1002E-2</c:v>
                </c:pt>
                <c:pt idx="310">
                  <c:v>1.1065E-2</c:v>
                </c:pt>
                <c:pt idx="311">
                  <c:v>1.1113E-2</c:v>
                </c:pt>
                <c:pt idx="312">
                  <c:v>1.1103E-2</c:v>
                </c:pt>
                <c:pt idx="313">
                  <c:v>1.1070999999999999E-2</c:v>
                </c:pt>
                <c:pt idx="314">
                  <c:v>1.0996000000000001E-2</c:v>
                </c:pt>
                <c:pt idx="315">
                  <c:v>1.0972000000000001E-2</c:v>
                </c:pt>
                <c:pt idx="316">
                  <c:v>1.0873000000000001E-2</c:v>
                </c:pt>
                <c:pt idx="317">
                  <c:v>1.0792E-2</c:v>
                </c:pt>
                <c:pt idx="318">
                  <c:v>1.0800000000000001E-2</c:v>
                </c:pt>
                <c:pt idx="319">
                  <c:v>1.0779E-2</c:v>
                </c:pt>
                <c:pt idx="320">
                  <c:v>1.0681E-2</c:v>
                </c:pt>
                <c:pt idx="321">
                  <c:v>1.0735E-2</c:v>
                </c:pt>
                <c:pt idx="322">
                  <c:v>1.0770999999999999E-2</c:v>
                </c:pt>
                <c:pt idx="323">
                  <c:v>1.0737E-2</c:v>
                </c:pt>
                <c:pt idx="324">
                  <c:v>1.0756999999999999E-2</c:v>
                </c:pt>
                <c:pt idx="325">
                  <c:v>1.0857E-2</c:v>
                </c:pt>
                <c:pt idx="326">
                  <c:v>1.0912E-2</c:v>
                </c:pt>
                <c:pt idx="327">
                  <c:v>1.094E-2</c:v>
                </c:pt>
                <c:pt idx="328">
                  <c:v>1.0959999999999999E-2</c:v>
                </c:pt>
                <c:pt idx="329">
                  <c:v>1.0972000000000001E-2</c:v>
                </c:pt>
                <c:pt idx="330">
                  <c:v>1.0973E-2</c:v>
                </c:pt>
                <c:pt idx="331">
                  <c:v>1.0914999999999999E-2</c:v>
                </c:pt>
                <c:pt idx="332">
                  <c:v>1.0978999999999999E-2</c:v>
                </c:pt>
                <c:pt idx="333">
                  <c:v>1.1079E-2</c:v>
                </c:pt>
                <c:pt idx="334">
                  <c:v>1.1129E-2</c:v>
                </c:pt>
                <c:pt idx="335">
                  <c:v>1.1072E-2</c:v>
                </c:pt>
                <c:pt idx="336">
                  <c:v>1.1162999999999999E-2</c:v>
                </c:pt>
                <c:pt idx="337">
                  <c:v>1.1084E-2</c:v>
                </c:pt>
                <c:pt idx="338">
                  <c:v>1.1088000000000001E-2</c:v>
                </c:pt>
                <c:pt idx="339">
                  <c:v>1.1155999999999999E-2</c:v>
                </c:pt>
                <c:pt idx="340">
                  <c:v>1.1155999999999999E-2</c:v>
                </c:pt>
                <c:pt idx="341">
                  <c:v>1.1110999999999999E-2</c:v>
                </c:pt>
                <c:pt idx="342">
                  <c:v>1.1015E-2</c:v>
                </c:pt>
                <c:pt idx="343">
                  <c:v>1.1017000000000001E-2</c:v>
                </c:pt>
                <c:pt idx="344">
                  <c:v>1.0951000000000001E-2</c:v>
                </c:pt>
                <c:pt idx="345">
                  <c:v>1.095E-2</c:v>
                </c:pt>
                <c:pt idx="346">
                  <c:v>1.1032E-2</c:v>
                </c:pt>
                <c:pt idx="347">
                  <c:v>1.1115999999999999E-2</c:v>
                </c:pt>
                <c:pt idx="348">
                  <c:v>1.1081000000000001E-2</c:v>
                </c:pt>
                <c:pt idx="349">
                  <c:v>1.1061E-2</c:v>
                </c:pt>
                <c:pt idx="350">
                  <c:v>1.1022000000000001E-2</c:v>
                </c:pt>
                <c:pt idx="351">
                  <c:v>1.0992E-2</c:v>
                </c:pt>
                <c:pt idx="352">
                  <c:v>1.1091E-2</c:v>
                </c:pt>
                <c:pt idx="353">
                  <c:v>1.1068E-2</c:v>
                </c:pt>
                <c:pt idx="354">
                  <c:v>1.1167E-2</c:v>
                </c:pt>
                <c:pt idx="355">
                  <c:v>1.1254999999999999E-2</c:v>
                </c:pt>
                <c:pt idx="356">
                  <c:v>1.1324000000000001E-2</c:v>
                </c:pt>
                <c:pt idx="357">
                  <c:v>1.1390000000000001E-2</c:v>
                </c:pt>
                <c:pt idx="358">
                  <c:v>1.1435000000000001E-2</c:v>
                </c:pt>
                <c:pt idx="359">
                  <c:v>1.1395000000000001E-2</c:v>
                </c:pt>
                <c:pt idx="360">
                  <c:v>1.1377999999999999E-2</c:v>
                </c:pt>
                <c:pt idx="361">
                  <c:v>1.1424999999999999E-2</c:v>
                </c:pt>
                <c:pt idx="362">
                  <c:v>1.1459E-2</c:v>
                </c:pt>
                <c:pt idx="363">
                  <c:v>1.1364000000000001E-2</c:v>
                </c:pt>
                <c:pt idx="364">
                  <c:v>1.1441E-2</c:v>
                </c:pt>
                <c:pt idx="365">
                  <c:v>1.1423000000000001E-2</c:v>
                </c:pt>
                <c:pt idx="366">
                  <c:v>1.1467E-2</c:v>
                </c:pt>
                <c:pt idx="367">
                  <c:v>1.1409000000000001E-2</c:v>
                </c:pt>
                <c:pt idx="368">
                  <c:v>1.1434E-2</c:v>
                </c:pt>
                <c:pt idx="369">
                  <c:v>1.1407E-2</c:v>
                </c:pt>
                <c:pt idx="370">
                  <c:v>1.1365999999999999E-2</c:v>
                </c:pt>
                <c:pt idx="371">
                  <c:v>1.1271E-2</c:v>
                </c:pt>
                <c:pt idx="372">
                  <c:v>1.1228E-2</c:v>
                </c:pt>
                <c:pt idx="373">
                  <c:v>1.1154000000000001E-2</c:v>
                </c:pt>
                <c:pt idx="374">
                  <c:v>1.1087E-2</c:v>
                </c:pt>
                <c:pt idx="375">
                  <c:v>1.1042E-2</c:v>
                </c:pt>
                <c:pt idx="376">
                  <c:v>1.1049E-2</c:v>
                </c:pt>
                <c:pt idx="377">
                  <c:v>1.1115E-2</c:v>
                </c:pt>
                <c:pt idx="378">
                  <c:v>1.1140000000000001E-2</c:v>
                </c:pt>
                <c:pt idx="379">
                  <c:v>1.1068E-2</c:v>
                </c:pt>
                <c:pt idx="380">
                  <c:v>1.1157E-2</c:v>
                </c:pt>
                <c:pt idx="381">
                  <c:v>1.1202E-2</c:v>
                </c:pt>
                <c:pt idx="382">
                  <c:v>1.1296E-2</c:v>
                </c:pt>
                <c:pt idx="383">
                  <c:v>1.1292E-2</c:v>
                </c:pt>
                <c:pt idx="384">
                  <c:v>1.1247999999999999E-2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71-49FD-B33D-D374FE395580}"/>
            </c:ext>
          </c:extLst>
        </c:ser>
        <c:ser>
          <c:idx val="4"/>
          <c:order val="5"/>
          <c:tx>
            <c:strRef>
              <c:f>'idx data'!$H$2</c:f>
              <c:strCache>
                <c:ptCount val="1"/>
                <c:pt idx="0">
                  <c:v>2yrTr</c:v>
                </c:pt>
              </c:strCache>
            </c:strRef>
          </c:tx>
          <c:spPr>
            <a:ln w="28575" cap="rnd">
              <a:solidFill>
                <a:schemeClr val="accent5">
                  <a:tint val="6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'idx data'!$A$3:$A$387</c:f>
              <c:numCache>
                <c:formatCode>General</c:formatCode>
                <c:ptCount val="3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</c:numCache>
            </c:numRef>
          </c:cat>
          <c:val>
            <c:numRef>
              <c:f>'idx data'!$H$3:$H$387</c:f>
              <c:numCache>
                <c:formatCode>General</c:formatCode>
                <c:ptCount val="385"/>
                <c:pt idx="0">
                  <c:v>1.2800000000000001E-2</c:v>
                </c:pt>
                <c:pt idx="1">
                  <c:v>1.2725999999999999E-2</c:v>
                </c:pt>
                <c:pt idx="2">
                  <c:v>1.2645E-2</c:v>
                </c:pt>
                <c:pt idx="3">
                  <c:v>1.2607E-2</c:v>
                </c:pt>
                <c:pt idx="4">
                  <c:v>1.2566000000000001E-2</c:v>
                </c:pt>
                <c:pt idx="5">
                  <c:v>1.2583E-2</c:v>
                </c:pt>
                <c:pt idx="6">
                  <c:v>1.2597000000000001E-2</c:v>
                </c:pt>
                <c:pt idx="7">
                  <c:v>1.2558E-2</c:v>
                </c:pt>
                <c:pt idx="8">
                  <c:v>1.2544E-2</c:v>
                </c:pt>
                <c:pt idx="9">
                  <c:v>1.2625000000000001E-2</c:v>
                </c:pt>
                <c:pt idx="10">
                  <c:v>1.2656000000000001E-2</c:v>
                </c:pt>
                <c:pt idx="11">
                  <c:v>1.273E-2</c:v>
                </c:pt>
                <c:pt idx="12">
                  <c:v>1.2692E-2</c:v>
                </c:pt>
                <c:pt idx="13">
                  <c:v>1.2659E-2</c:v>
                </c:pt>
                <c:pt idx="14">
                  <c:v>1.2578000000000001E-2</c:v>
                </c:pt>
                <c:pt idx="15">
                  <c:v>1.2597000000000001E-2</c:v>
                </c:pt>
                <c:pt idx="16">
                  <c:v>1.2585000000000001E-2</c:v>
                </c:pt>
                <c:pt idx="17">
                  <c:v>1.256E-2</c:v>
                </c:pt>
                <c:pt idx="18">
                  <c:v>1.2493000000000001E-2</c:v>
                </c:pt>
                <c:pt idx="19">
                  <c:v>1.2479000000000001E-2</c:v>
                </c:pt>
                <c:pt idx="20">
                  <c:v>1.2421E-2</c:v>
                </c:pt>
                <c:pt idx="21">
                  <c:v>1.244E-2</c:v>
                </c:pt>
                <c:pt idx="22">
                  <c:v>1.2470999999999999E-2</c:v>
                </c:pt>
                <c:pt idx="23">
                  <c:v>1.2442E-2</c:v>
                </c:pt>
                <c:pt idx="24">
                  <c:v>1.2515E-2</c:v>
                </c:pt>
                <c:pt idx="25">
                  <c:v>1.2565E-2</c:v>
                </c:pt>
                <c:pt idx="26">
                  <c:v>1.2559000000000001E-2</c:v>
                </c:pt>
                <c:pt idx="27">
                  <c:v>1.2573000000000001E-2</c:v>
                </c:pt>
                <c:pt idx="28">
                  <c:v>1.2559000000000001E-2</c:v>
                </c:pt>
                <c:pt idx="29">
                  <c:v>1.2579999999999999E-2</c:v>
                </c:pt>
                <c:pt idx="30">
                  <c:v>1.2541999999999999E-2</c:v>
                </c:pt>
                <c:pt idx="31">
                  <c:v>1.2609E-2</c:v>
                </c:pt>
                <c:pt idx="32">
                  <c:v>1.2583E-2</c:v>
                </c:pt>
                <c:pt idx="33">
                  <c:v>1.2649000000000001E-2</c:v>
                </c:pt>
                <c:pt idx="34">
                  <c:v>1.2747E-2</c:v>
                </c:pt>
                <c:pt idx="35">
                  <c:v>1.2779E-2</c:v>
                </c:pt>
                <c:pt idx="36">
                  <c:v>1.2803999999999999E-2</c:v>
                </c:pt>
                <c:pt idx="37">
                  <c:v>1.2888999999999999E-2</c:v>
                </c:pt>
                <c:pt idx="38">
                  <c:v>1.2895999999999999E-2</c:v>
                </c:pt>
                <c:pt idx="39">
                  <c:v>1.2839E-2</c:v>
                </c:pt>
                <c:pt idx="40">
                  <c:v>1.2858E-2</c:v>
                </c:pt>
                <c:pt idx="41">
                  <c:v>1.2784E-2</c:v>
                </c:pt>
                <c:pt idx="42">
                  <c:v>1.2759E-2</c:v>
                </c:pt>
                <c:pt idx="43">
                  <c:v>1.2815999999999999E-2</c:v>
                </c:pt>
                <c:pt idx="44">
                  <c:v>1.2841E-2</c:v>
                </c:pt>
                <c:pt idx="45">
                  <c:v>1.2791E-2</c:v>
                </c:pt>
                <c:pt idx="46">
                  <c:v>1.2777E-2</c:v>
                </c:pt>
                <c:pt idx="47">
                  <c:v>1.2784E-2</c:v>
                </c:pt>
                <c:pt idx="48">
                  <c:v>1.2758E-2</c:v>
                </c:pt>
                <c:pt idx="49">
                  <c:v>1.2838E-2</c:v>
                </c:pt>
                <c:pt idx="50">
                  <c:v>1.2865E-2</c:v>
                </c:pt>
                <c:pt idx="51">
                  <c:v>1.2938E-2</c:v>
                </c:pt>
                <c:pt idx="52">
                  <c:v>1.3032999999999999E-2</c:v>
                </c:pt>
                <c:pt idx="53">
                  <c:v>1.2997999999999999E-2</c:v>
                </c:pt>
                <c:pt idx="54">
                  <c:v>1.3001E-2</c:v>
                </c:pt>
                <c:pt idx="55">
                  <c:v>1.307E-2</c:v>
                </c:pt>
                <c:pt idx="56">
                  <c:v>1.308E-2</c:v>
                </c:pt>
                <c:pt idx="57">
                  <c:v>1.3113E-2</c:v>
                </c:pt>
                <c:pt idx="58">
                  <c:v>1.3126000000000001E-2</c:v>
                </c:pt>
                <c:pt idx="59">
                  <c:v>1.3127E-2</c:v>
                </c:pt>
                <c:pt idx="60">
                  <c:v>1.3073E-2</c:v>
                </c:pt>
                <c:pt idx="61">
                  <c:v>1.2977000000000001E-2</c:v>
                </c:pt>
                <c:pt idx="62">
                  <c:v>1.2899000000000001E-2</c:v>
                </c:pt>
                <c:pt idx="63">
                  <c:v>1.2961E-2</c:v>
                </c:pt>
                <c:pt idx="64">
                  <c:v>1.2994E-2</c:v>
                </c:pt>
                <c:pt idx="65">
                  <c:v>1.3086E-2</c:v>
                </c:pt>
                <c:pt idx="66">
                  <c:v>1.3186E-2</c:v>
                </c:pt>
                <c:pt idx="67">
                  <c:v>1.3220000000000001E-2</c:v>
                </c:pt>
                <c:pt idx="68">
                  <c:v>1.3205E-2</c:v>
                </c:pt>
                <c:pt idx="69">
                  <c:v>1.3197E-2</c:v>
                </c:pt>
                <c:pt idx="70">
                  <c:v>1.3264E-2</c:v>
                </c:pt>
                <c:pt idx="71">
                  <c:v>1.3302E-2</c:v>
                </c:pt>
                <c:pt idx="72">
                  <c:v>1.3266999999999999E-2</c:v>
                </c:pt>
                <c:pt idx="73">
                  <c:v>1.3205E-2</c:v>
                </c:pt>
                <c:pt idx="74">
                  <c:v>1.3122E-2</c:v>
                </c:pt>
                <c:pt idx="75">
                  <c:v>1.3082999999999999E-2</c:v>
                </c:pt>
                <c:pt idx="76">
                  <c:v>1.2997E-2</c:v>
                </c:pt>
                <c:pt idx="77">
                  <c:v>1.3025999999999999E-2</c:v>
                </c:pt>
                <c:pt idx="78">
                  <c:v>1.3074000000000001E-2</c:v>
                </c:pt>
                <c:pt idx="79">
                  <c:v>1.3084E-2</c:v>
                </c:pt>
                <c:pt idx="80">
                  <c:v>1.3048000000000001E-2</c:v>
                </c:pt>
                <c:pt idx="81">
                  <c:v>1.3047E-2</c:v>
                </c:pt>
                <c:pt idx="82">
                  <c:v>1.3093E-2</c:v>
                </c:pt>
                <c:pt idx="83">
                  <c:v>1.3181999999999999E-2</c:v>
                </c:pt>
                <c:pt idx="84">
                  <c:v>1.3148999999999999E-2</c:v>
                </c:pt>
                <c:pt idx="85">
                  <c:v>1.3164E-2</c:v>
                </c:pt>
                <c:pt idx="86">
                  <c:v>1.3246000000000001E-2</c:v>
                </c:pt>
                <c:pt idx="87">
                  <c:v>1.3318999999999999E-2</c:v>
                </c:pt>
                <c:pt idx="88">
                  <c:v>1.336E-2</c:v>
                </c:pt>
                <c:pt idx="89">
                  <c:v>1.342E-2</c:v>
                </c:pt>
                <c:pt idx="90">
                  <c:v>1.3479E-2</c:v>
                </c:pt>
                <c:pt idx="91">
                  <c:v>1.3518000000000001E-2</c:v>
                </c:pt>
                <c:pt idx="92">
                  <c:v>1.3457E-2</c:v>
                </c:pt>
                <c:pt idx="93">
                  <c:v>1.3521E-2</c:v>
                </c:pt>
                <c:pt idx="94">
                  <c:v>1.3558000000000001E-2</c:v>
                </c:pt>
                <c:pt idx="95">
                  <c:v>1.3507999999999999E-2</c:v>
                </c:pt>
                <c:pt idx="96">
                  <c:v>1.3502999999999999E-2</c:v>
                </c:pt>
                <c:pt idx="97">
                  <c:v>1.3509999999999999E-2</c:v>
                </c:pt>
                <c:pt idx="98">
                  <c:v>1.3483E-2</c:v>
                </c:pt>
                <c:pt idx="99">
                  <c:v>1.3431999999999999E-2</c:v>
                </c:pt>
                <c:pt idx="100">
                  <c:v>1.3511E-2</c:v>
                </c:pt>
                <c:pt idx="101">
                  <c:v>1.3566999999999999E-2</c:v>
                </c:pt>
                <c:pt idx="102">
                  <c:v>1.3561999999999999E-2</c:v>
                </c:pt>
                <c:pt idx="103">
                  <c:v>1.3520000000000001E-2</c:v>
                </c:pt>
                <c:pt idx="104">
                  <c:v>1.3610000000000001E-2</c:v>
                </c:pt>
                <c:pt idx="105">
                  <c:v>1.3544E-2</c:v>
                </c:pt>
                <c:pt idx="106">
                  <c:v>1.3553000000000001E-2</c:v>
                </c:pt>
                <c:pt idx="107">
                  <c:v>1.3513000000000001E-2</c:v>
                </c:pt>
                <c:pt idx="108">
                  <c:v>1.3422E-2</c:v>
                </c:pt>
                <c:pt idx="109">
                  <c:v>1.3344999999999999E-2</c:v>
                </c:pt>
                <c:pt idx="110">
                  <c:v>1.3412E-2</c:v>
                </c:pt>
                <c:pt idx="111">
                  <c:v>1.3511E-2</c:v>
                </c:pt>
                <c:pt idx="112">
                  <c:v>1.3559E-2</c:v>
                </c:pt>
                <c:pt idx="113">
                  <c:v>1.349E-2</c:v>
                </c:pt>
                <c:pt idx="114">
                  <c:v>1.3476E-2</c:v>
                </c:pt>
                <c:pt idx="115">
                  <c:v>1.3387E-2</c:v>
                </c:pt>
                <c:pt idx="116">
                  <c:v>1.3434E-2</c:v>
                </c:pt>
                <c:pt idx="117">
                  <c:v>1.3435000000000001E-2</c:v>
                </c:pt>
                <c:pt idx="118">
                  <c:v>1.3493E-2</c:v>
                </c:pt>
                <c:pt idx="119">
                  <c:v>1.3426E-2</c:v>
                </c:pt>
                <c:pt idx="120">
                  <c:v>1.3358E-2</c:v>
                </c:pt>
                <c:pt idx="121">
                  <c:v>1.3332999999999999E-2</c:v>
                </c:pt>
                <c:pt idx="122">
                  <c:v>1.3363999999999999E-2</c:v>
                </c:pt>
                <c:pt idx="123">
                  <c:v>1.3455E-2</c:v>
                </c:pt>
                <c:pt idx="124">
                  <c:v>1.354E-2</c:v>
                </c:pt>
                <c:pt idx="125">
                  <c:v>1.3639999999999999E-2</c:v>
                </c:pt>
                <c:pt idx="126">
                  <c:v>1.3703999999999999E-2</c:v>
                </c:pt>
                <c:pt idx="127">
                  <c:v>1.3698999999999999E-2</c:v>
                </c:pt>
                <c:pt idx="128">
                  <c:v>1.3671000000000001E-2</c:v>
                </c:pt>
                <c:pt idx="129">
                  <c:v>1.3573999999999999E-2</c:v>
                </c:pt>
                <c:pt idx="130">
                  <c:v>1.3625E-2</c:v>
                </c:pt>
                <c:pt idx="131">
                  <c:v>1.3557E-2</c:v>
                </c:pt>
                <c:pt idx="132">
                  <c:v>1.3501000000000001E-2</c:v>
                </c:pt>
                <c:pt idx="133">
                  <c:v>1.3499000000000001E-2</c:v>
                </c:pt>
                <c:pt idx="134">
                  <c:v>1.3421000000000001E-2</c:v>
                </c:pt>
                <c:pt idx="135">
                  <c:v>1.3331000000000001E-2</c:v>
                </c:pt>
                <c:pt idx="136">
                  <c:v>1.3391E-2</c:v>
                </c:pt>
                <c:pt idx="137">
                  <c:v>1.3474E-2</c:v>
                </c:pt>
                <c:pt idx="138">
                  <c:v>1.3491E-2</c:v>
                </c:pt>
                <c:pt idx="139">
                  <c:v>1.3539000000000001E-2</c:v>
                </c:pt>
                <c:pt idx="140">
                  <c:v>1.3573E-2</c:v>
                </c:pt>
                <c:pt idx="141">
                  <c:v>1.3568E-2</c:v>
                </c:pt>
                <c:pt idx="142">
                  <c:v>1.3632999999999999E-2</c:v>
                </c:pt>
                <c:pt idx="143">
                  <c:v>1.3587E-2</c:v>
                </c:pt>
                <c:pt idx="144">
                  <c:v>1.3559999999999999E-2</c:v>
                </c:pt>
                <c:pt idx="145">
                  <c:v>1.3568E-2</c:v>
                </c:pt>
                <c:pt idx="146">
                  <c:v>1.3479E-2</c:v>
                </c:pt>
                <c:pt idx="147">
                  <c:v>1.3519E-2</c:v>
                </c:pt>
                <c:pt idx="148">
                  <c:v>1.3528E-2</c:v>
                </c:pt>
                <c:pt idx="149">
                  <c:v>1.3585E-2</c:v>
                </c:pt>
                <c:pt idx="150">
                  <c:v>1.3636000000000001E-2</c:v>
                </c:pt>
                <c:pt idx="151">
                  <c:v>1.3665E-2</c:v>
                </c:pt>
                <c:pt idx="152">
                  <c:v>1.3594999999999999E-2</c:v>
                </c:pt>
                <c:pt idx="153">
                  <c:v>1.3623E-2</c:v>
                </c:pt>
                <c:pt idx="154">
                  <c:v>1.354E-2</c:v>
                </c:pt>
                <c:pt idx="155">
                  <c:v>1.3474E-2</c:v>
                </c:pt>
                <c:pt idx="156">
                  <c:v>1.3391999999999999E-2</c:v>
                </c:pt>
                <c:pt idx="157">
                  <c:v>1.3487000000000001E-2</c:v>
                </c:pt>
                <c:pt idx="158">
                  <c:v>1.3504E-2</c:v>
                </c:pt>
                <c:pt idx="159">
                  <c:v>1.3535E-2</c:v>
                </c:pt>
                <c:pt idx="160">
                  <c:v>1.3611E-2</c:v>
                </c:pt>
                <c:pt idx="161">
                  <c:v>1.3558000000000001E-2</c:v>
                </c:pt>
                <c:pt idx="162">
                  <c:v>1.3478E-2</c:v>
                </c:pt>
                <c:pt idx="163">
                  <c:v>1.3443E-2</c:v>
                </c:pt>
                <c:pt idx="164">
                  <c:v>1.3504E-2</c:v>
                </c:pt>
                <c:pt idx="165">
                  <c:v>1.3603000000000001E-2</c:v>
                </c:pt>
                <c:pt idx="166">
                  <c:v>1.3566999999999999E-2</c:v>
                </c:pt>
                <c:pt idx="167">
                  <c:v>1.3661E-2</c:v>
                </c:pt>
                <c:pt idx="168">
                  <c:v>1.3618E-2</c:v>
                </c:pt>
                <c:pt idx="169">
                  <c:v>1.3542999999999999E-2</c:v>
                </c:pt>
                <c:pt idx="170">
                  <c:v>1.3639E-2</c:v>
                </c:pt>
                <c:pt idx="171">
                  <c:v>1.3668E-2</c:v>
                </c:pt>
                <c:pt idx="172">
                  <c:v>1.3639999999999999E-2</c:v>
                </c:pt>
                <c:pt idx="173">
                  <c:v>1.3547999999999999E-2</c:v>
                </c:pt>
                <c:pt idx="174">
                  <c:v>1.3559999999999999E-2</c:v>
                </c:pt>
                <c:pt idx="175">
                  <c:v>1.3488999999999999E-2</c:v>
                </c:pt>
                <c:pt idx="176">
                  <c:v>1.3521999999999999E-2</c:v>
                </c:pt>
                <c:pt idx="177">
                  <c:v>1.3610000000000001E-2</c:v>
                </c:pt>
                <c:pt idx="178">
                  <c:v>1.3641E-2</c:v>
                </c:pt>
                <c:pt idx="179">
                  <c:v>1.3705999999999999E-2</c:v>
                </c:pt>
                <c:pt idx="180">
                  <c:v>1.3702000000000001E-2</c:v>
                </c:pt>
                <c:pt idx="181">
                  <c:v>1.3627E-2</c:v>
                </c:pt>
                <c:pt idx="182">
                  <c:v>1.3617000000000001E-2</c:v>
                </c:pt>
                <c:pt idx="183">
                  <c:v>1.3592E-2</c:v>
                </c:pt>
                <c:pt idx="184">
                  <c:v>1.3580999999999999E-2</c:v>
                </c:pt>
                <c:pt idx="185">
                  <c:v>1.3539000000000001E-2</c:v>
                </c:pt>
                <c:pt idx="186">
                  <c:v>1.3594E-2</c:v>
                </c:pt>
                <c:pt idx="187">
                  <c:v>1.3612000000000001E-2</c:v>
                </c:pt>
                <c:pt idx="188">
                  <c:v>1.3537E-2</c:v>
                </c:pt>
                <c:pt idx="189">
                  <c:v>1.3495999999999999E-2</c:v>
                </c:pt>
                <c:pt idx="190">
                  <c:v>1.3502E-2</c:v>
                </c:pt>
                <c:pt idx="191">
                  <c:v>1.3469999999999999E-2</c:v>
                </c:pt>
                <c:pt idx="192">
                  <c:v>1.3442000000000001E-2</c:v>
                </c:pt>
                <c:pt idx="193">
                  <c:v>1.3396999999999999E-2</c:v>
                </c:pt>
                <c:pt idx="194">
                  <c:v>1.336E-2</c:v>
                </c:pt>
                <c:pt idx="195">
                  <c:v>1.3332999999999999E-2</c:v>
                </c:pt>
                <c:pt idx="196">
                  <c:v>1.3295E-2</c:v>
                </c:pt>
                <c:pt idx="197">
                  <c:v>1.3291000000000001E-2</c:v>
                </c:pt>
                <c:pt idx="198">
                  <c:v>1.3246000000000001E-2</c:v>
                </c:pt>
                <c:pt idx="199">
                  <c:v>1.3225000000000001E-2</c:v>
                </c:pt>
                <c:pt idx="200">
                  <c:v>1.3226999999999999E-2</c:v>
                </c:pt>
                <c:pt idx="201">
                  <c:v>1.3169999999999999E-2</c:v>
                </c:pt>
                <c:pt idx="202">
                  <c:v>1.3176E-2</c:v>
                </c:pt>
                <c:pt idx="203">
                  <c:v>1.3247E-2</c:v>
                </c:pt>
                <c:pt idx="204">
                  <c:v>1.3155999999999999E-2</c:v>
                </c:pt>
                <c:pt idx="205">
                  <c:v>1.3127E-2</c:v>
                </c:pt>
                <c:pt idx="206">
                  <c:v>1.3217E-2</c:v>
                </c:pt>
                <c:pt idx="207">
                  <c:v>1.3185000000000001E-2</c:v>
                </c:pt>
                <c:pt idx="208">
                  <c:v>1.316E-2</c:v>
                </c:pt>
                <c:pt idx="209">
                  <c:v>1.32E-2</c:v>
                </c:pt>
                <c:pt idx="210">
                  <c:v>1.3119E-2</c:v>
                </c:pt>
                <c:pt idx="211">
                  <c:v>1.315E-2</c:v>
                </c:pt>
                <c:pt idx="212">
                  <c:v>1.3119E-2</c:v>
                </c:pt>
                <c:pt idx="213">
                  <c:v>1.3134E-2</c:v>
                </c:pt>
                <c:pt idx="214">
                  <c:v>1.3103999999999999E-2</c:v>
                </c:pt>
                <c:pt idx="215">
                  <c:v>1.3055000000000001E-2</c:v>
                </c:pt>
                <c:pt idx="216">
                  <c:v>1.3018E-2</c:v>
                </c:pt>
                <c:pt idx="217">
                  <c:v>1.3082999999999999E-2</c:v>
                </c:pt>
                <c:pt idx="218">
                  <c:v>1.3010000000000001E-2</c:v>
                </c:pt>
                <c:pt idx="219">
                  <c:v>1.3037E-2</c:v>
                </c:pt>
                <c:pt idx="220">
                  <c:v>1.3002E-2</c:v>
                </c:pt>
                <c:pt idx="221">
                  <c:v>1.3058999999999999E-2</c:v>
                </c:pt>
                <c:pt idx="222">
                  <c:v>1.3117999999999999E-2</c:v>
                </c:pt>
                <c:pt idx="223">
                  <c:v>1.3169E-2</c:v>
                </c:pt>
                <c:pt idx="224">
                  <c:v>1.3213000000000001E-2</c:v>
                </c:pt>
                <c:pt idx="225">
                  <c:v>1.3309E-2</c:v>
                </c:pt>
                <c:pt idx="226">
                  <c:v>1.3302E-2</c:v>
                </c:pt>
                <c:pt idx="227">
                  <c:v>1.3388000000000001E-2</c:v>
                </c:pt>
                <c:pt idx="228">
                  <c:v>1.3440000000000001E-2</c:v>
                </c:pt>
                <c:pt idx="229">
                  <c:v>1.3464E-2</c:v>
                </c:pt>
                <c:pt idx="230">
                  <c:v>1.3365999999999999E-2</c:v>
                </c:pt>
                <c:pt idx="231">
                  <c:v>1.3455E-2</c:v>
                </c:pt>
                <c:pt idx="232">
                  <c:v>1.3455E-2</c:v>
                </c:pt>
                <c:pt idx="233">
                  <c:v>1.3389E-2</c:v>
                </c:pt>
                <c:pt idx="234">
                  <c:v>1.3298000000000001E-2</c:v>
                </c:pt>
                <c:pt idx="235">
                  <c:v>1.3318E-2</c:v>
                </c:pt>
                <c:pt idx="236">
                  <c:v>1.3376000000000001E-2</c:v>
                </c:pt>
                <c:pt idx="237">
                  <c:v>1.3448999999999999E-2</c:v>
                </c:pt>
                <c:pt idx="238">
                  <c:v>1.3419E-2</c:v>
                </c:pt>
                <c:pt idx="239">
                  <c:v>1.3415E-2</c:v>
                </c:pt>
                <c:pt idx="240">
                  <c:v>1.3398E-2</c:v>
                </c:pt>
                <c:pt idx="241">
                  <c:v>1.3311999999999999E-2</c:v>
                </c:pt>
                <c:pt idx="242">
                  <c:v>1.3280999999999999E-2</c:v>
                </c:pt>
                <c:pt idx="243">
                  <c:v>1.3199000000000001E-2</c:v>
                </c:pt>
                <c:pt idx="244">
                  <c:v>1.3278E-2</c:v>
                </c:pt>
                <c:pt idx="245">
                  <c:v>1.336E-2</c:v>
                </c:pt>
                <c:pt idx="246">
                  <c:v>1.3287E-2</c:v>
                </c:pt>
                <c:pt idx="247">
                  <c:v>1.3219E-2</c:v>
                </c:pt>
                <c:pt idx="248">
                  <c:v>1.3164E-2</c:v>
                </c:pt>
                <c:pt idx="249">
                  <c:v>1.3218000000000001E-2</c:v>
                </c:pt>
                <c:pt idx="250">
                  <c:v>1.3134E-2</c:v>
                </c:pt>
                <c:pt idx="251">
                  <c:v>1.3049E-2</c:v>
                </c:pt>
                <c:pt idx="252">
                  <c:v>1.3043000000000001E-2</c:v>
                </c:pt>
                <c:pt idx="253">
                  <c:v>1.308E-2</c:v>
                </c:pt>
                <c:pt idx="254">
                  <c:v>1.3162999999999999E-2</c:v>
                </c:pt>
                <c:pt idx="255">
                  <c:v>1.3223E-2</c:v>
                </c:pt>
                <c:pt idx="256">
                  <c:v>1.3176E-2</c:v>
                </c:pt>
                <c:pt idx="257">
                  <c:v>1.3169999999999999E-2</c:v>
                </c:pt>
                <c:pt idx="258">
                  <c:v>1.3107000000000001E-2</c:v>
                </c:pt>
                <c:pt idx="259">
                  <c:v>1.3127E-2</c:v>
                </c:pt>
                <c:pt idx="260">
                  <c:v>1.3218000000000001E-2</c:v>
                </c:pt>
                <c:pt idx="261">
                  <c:v>1.3207E-2</c:v>
                </c:pt>
                <c:pt idx="262">
                  <c:v>1.3287999999999999E-2</c:v>
                </c:pt>
                <c:pt idx="263">
                  <c:v>1.3259E-2</c:v>
                </c:pt>
                <c:pt idx="264">
                  <c:v>1.3252999999999999E-2</c:v>
                </c:pt>
                <c:pt idx="265">
                  <c:v>1.3252999999999999E-2</c:v>
                </c:pt>
                <c:pt idx="266">
                  <c:v>1.3277000000000001E-2</c:v>
                </c:pt>
                <c:pt idx="267">
                  <c:v>1.3212E-2</c:v>
                </c:pt>
                <c:pt idx="268">
                  <c:v>1.3197E-2</c:v>
                </c:pt>
                <c:pt idx="269">
                  <c:v>1.3108E-2</c:v>
                </c:pt>
                <c:pt idx="270">
                  <c:v>1.3010000000000001E-2</c:v>
                </c:pt>
                <c:pt idx="271">
                  <c:v>1.2949E-2</c:v>
                </c:pt>
                <c:pt idx="272">
                  <c:v>1.2966E-2</c:v>
                </c:pt>
                <c:pt idx="273">
                  <c:v>1.3051E-2</c:v>
                </c:pt>
                <c:pt idx="274">
                  <c:v>1.3069000000000001E-2</c:v>
                </c:pt>
                <c:pt idx="275">
                  <c:v>1.307E-2</c:v>
                </c:pt>
                <c:pt idx="276">
                  <c:v>1.2987E-2</c:v>
                </c:pt>
                <c:pt idx="277">
                  <c:v>1.289E-2</c:v>
                </c:pt>
                <c:pt idx="278">
                  <c:v>1.2865E-2</c:v>
                </c:pt>
                <c:pt idx="279">
                  <c:v>1.291E-2</c:v>
                </c:pt>
                <c:pt idx="280">
                  <c:v>1.2886999999999999E-2</c:v>
                </c:pt>
                <c:pt idx="281">
                  <c:v>1.2825E-2</c:v>
                </c:pt>
                <c:pt idx="282">
                  <c:v>1.2743000000000001E-2</c:v>
                </c:pt>
                <c:pt idx="283">
                  <c:v>1.2739E-2</c:v>
                </c:pt>
                <c:pt idx="284">
                  <c:v>1.2652999999999999E-2</c:v>
                </c:pt>
                <c:pt idx="285">
                  <c:v>1.2678999999999999E-2</c:v>
                </c:pt>
                <c:pt idx="286">
                  <c:v>1.2614E-2</c:v>
                </c:pt>
                <c:pt idx="287">
                  <c:v>1.2619E-2</c:v>
                </c:pt>
                <c:pt idx="288">
                  <c:v>1.2699999999999999E-2</c:v>
                </c:pt>
                <c:pt idx="289">
                  <c:v>1.2796999999999999E-2</c:v>
                </c:pt>
                <c:pt idx="290">
                  <c:v>1.2777E-2</c:v>
                </c:pt>
                <c:pt idx="291">
                  <c:v>1.2808999999999999E-2</c:v>
                </c:pt>
                <c:pt idx="292">
                  <c:v>1.2888999999999999E-2</c:v>
                </c:pt>
                <c:pt idx="293">
                  <c:v>1.2867999999999999E-2</c:v>
                </c:pt>
                <c:pt idx="294">
                  <c:v>1.2933E-2</c:v>
                </c:pt>
                <c:pt idx="295">
                  <c:v>1.2940999999999999E-2</c:v>
                </c:pt>
                <c:pt idx="296">
                  <c:v>1.2886E-2</c:v>
                </c:pt>
                <c:pt idx="297">
                  <c:v>1.2854000000000001E-2</c:v>
                </c:pt>
                <c:pt idx="298">
                  <c:v>1.294E-2</c:v>
                </c:pt>
                <c:pt idx="299">
                  <c:v>1.3001E-2</c:v>
                </c:pt>
                <c:pt idx="300">
                  <c:v>1.2978999999999999E-2</c:v>
                </c:pt>
                <c:pt idx="301">
                  <c:v>1.3061E-2</c:v>
                </c:pt>
                <c:pt idx="302">
                  <c:v>1.3016E-2</c:v>
                </c:pt>
                <c:pt idx="303">
                  <c:v>1.2976E-2</c:v>
                </c:pt>
                <c:pt idx="304">
                  <c:v>1.2966E-2</c:v>
                </c:pt>
                <c:pt idx="305">
                  <c:v>1.2892000000000001E-2</c:v>
                </c:pt>
                <c:pt idx="306">
                  <c:v>1.2899000000000001E-2</c:v>
                </c:pt>
                <c:pt idx="307">
                  <c:v>1.2897E-2</c:v>
                </c:pt>
                <c:pt idx="308">
                  <c:v>1.2966E-2</c:v>
                </c:pt>
                <c:pt idx="309">
                  <c:v>1.2991000000000001E-2</c:v>
                </c:pt>
                <c:pt idx="310">
                  <c:v>1.2969E-2</c:v>
                </c:pt>
                <c:pt idx="311">
                  <c:v>1.2888E-2</c:v>
                </c:pt>
                <c:pt idx="312">
                  <c:v>1.2833000000000001E-2</c:v>
                </c:pt>
                <c:pt idx="313">
                  <c:v>1.2803999999999999E-2</c:v>
                </c:pt>
                <c:pt idx="314">
                  <c:v>1.2781000000000001E-2</c:v>
                </c:pt>
                <c:pt idx="315">
                  <c:v>1.2828000000000001E-2</c:v>
                </c:pt>
                <c:pt idx="316">
                  <c:v>1.2749E-2</c:v>
                </c:pt>
                <c:pt idx="317">
                  <c:v>1.2774000000000001E-2</c:v>
                </c:pt>
                <c:pt idx="318">
                  <c:v>1.2784E-2</c:v>
                </c:pt>
                <c:pt idx="319">
                  <c:v>1.2687E-2</c:v>
                </c:pt>
                <c:pt idx="320">
                  <c:v>1.2661E-2</c:v>
                </c:pt>
                <c:pt idx="321">
                  <c:v>1.2744E-2</c:v>
                </c:pt>
                <c:pt idx="322">
                  <c:v>1.2824E-2</c:v>
                </c:pt>
                <c:pt idx="323">
                  <c:v>1.2851E-2</c:v>
                </c:pt>
                <c:pt idx="324">
                  <c:v>1.2826000000000001E-2</c:v>
                </c:pt>
                <c:pt idx="325">
                  <c:v>1.2844E-2</c:v>
                </c:pt>
                <c:pt idx="326">
                  <c:v>1.2761E-2</c:v>
                </c:pt>
                <c:pt idx="327">
                  <c:v>1.2795000000000001E-2</c:v>
                </c:pt>
                <c:pt idx="328">
                  <c:v>1.2808E-2</c:v>
                </c:pt>
                <c:pt idx="329">
                  <c:v>1.2824E-2</c:v>
                </c:pt>
                <c:pt idx="330">
                  <c:v>1.2911000000000001E-2</c:v>
                </c:pt>
                <c:pt idx="331">
                  <c:v>1.2978E-2</c:v>
                </c:pt>
                <c:pt idx="332">
                  <c:v>1.3063E-2</c:v>
                </c:pt>
                <c:pt idx="333">
                  <c:v>1.3091999999999999E-2</c:v>
                </c:pt>
                <c:pt idx="334">
                  <c:v>1.3099E-2</c:v>
                </c:pt>
                <c:pt idx="335">
                  <c:v>1.3010000000000001E-2</c:v>
                </c:pt>
                <c:pt idx="336">
                  <c:v>1.2988E-2</c:v>
                </c:pt>
                <c:pt idx="337">
                  <c:v>1.3056E-2</c:v>
                </c:pt>
                <c:pt idx="338">
                  <c:v>1.3063999999999999E-2</c:v>
                </c:pt>
                <c:pt idx="339">
                  <c:v>1.2985E-2</c:v>
                </c:pt>
                <c:pt idx="340">
                  <c:v>1.2907E-2</c:v>
                </c:pt>
                <c:pt idx="341">
                  <c:v>1.2985E-2</c:v>
                </c:pt>
                <c:pt idx="342">
                  <c:v>1.2947E-2</c:v>
                </c:pt>
                <c:pt idx="343">
                  <c:v>1.3011E-2</c:v>
                </c:pt>
                <c:pt idx="344">
                  <c:v>1.2959E-2</c:v>
                </c:pt>
                <c:pt idx="345">
                  <c:v>1.2886999999999999E-2</c:v>
                </c:pt>
                <c:pt idx="346">
                  <c:v>1.2924E-2</c:v>
                </c:pt>
                <c:pt idx="347">
                  <c:v>1.2954E-2</c:v>
                </c:pt>
                <c:pt idx="348">
                  <c:v>1.3032999999999999E-2</c:v>
                </c:pt>
                <c:pt idx="349">
                  <c:v>1.3018999999999999E-2</c:v>
                </c:pt>
                <c:pt idx="350">
                  <c:v>1.2982E-2</c:v>
                </c:pt>
                <c:pt idx="351">
                  <c:v>1.2973E-2</c:v>
                </c:pt>
                <c:pt idx="352">
                  <c:v>1.2984000000000001E-2</c:v>
                </c:pt>
                <c:pt idx="353">
                  <c:v>1.2930000000000001E-2</c:v>
                </c:pt>
                <c:pt idx="354">
                  <c:v>1.2881E-2</c:v>
                </c:pt>
                <c:pt idx="355">
                  <c:v>1.2938E-2</c:v>
                </c:pt>
                <c:pt idx="356">
                  <c:v>1.3024000000000001E-2</c:v>
                </c:pt>
                <c:pt idx="357">
                  <c:v>1.295E-2</c:v>
                </c:pt>
                <c:pt idx="358">
                  <c:v>1.2893E-2</c:v>
                </c:pt>
                <c:pt idx="359">
                  <c:v>1.2963000000000001E-2</c:v>
                </c:pt>
                <c:pt idx="360">
                  <c:v>1.2916E-2</c:v>
                </c:pt>
                <c:pt idx="361">
                  <c:v>1.2833000000000001E-2</c:v>
                </c:pt>
                <c:pt idx="362">
                  <c:v>1.2880000000000001E-2</c:v>
                </c:pt>
                <c:pt idx="363">
                  <c:v>1.2822999999999999E-2</c:v>
                </c:pt>
                <c:pt idx="364">
                  <c:v>1.2912E-2</c:v>
                </c:pt>
                <c:pt idx="365">
                  <c:v>1.2924E-2</c:v>
                </c:pt>
                <c:pt idx="366">
                  <c:v>1.2977000000000001E-2</c:v>
                </c:pt>
                <c:pt idx="367">
                  <c:v>1.298E-2</c:v>
                </c:pt>
                <c:pt idx="368">
                  <c:v>1.3079E-2</c:v>
                </c:pt>
                <c:pt idx="369">
                  <c:v>1.3037E-2</c:v>
                </c:pt>
                <c:pt idx="370">
                  <c:v>1.3034E-2</c:v>
                </c:pt>
                <c:pt idx="371">
                  <c:v>1.3103999999999999E-2</c:v>
                </c:pt>
                <c:pt idx="372">
                  <c:v>1.3145E-2</c:v>
                </c:pt>
                <c:pt idx="373">
                  <c:v>1.3047E-2</c:v>
                </c:pt>
                <c:pt idx="374">
                  <c:v>1.3003000000000001E-2</c:v>
                </c:pt>
                <c:pt idx="375">
                  <c:v>1.2952E-2</c:v>
                </c:pt>
                <c:pt idx="376">
                  <c:v>1.2877E-2</c:v>
                </c:pt>
                <c:pt idx="377">
                  <c:v>1.2824E-2</c:v>
                </c:pt>
                <c:pt idx="378">
                  <c:v>1.282E-2</c:v>
                </c:pt>
                <c:pt idx="379">
                  <c:v>1.2737E-2</c:v>
                </c:pt>
                <c:pt idx="380">
                  <c:v>1.2784999999999999E-2</c:v>
                </c:pt>
                <c:pt idx="381">
                  <c:v>1.2761E-2</c:v>
                </c:pt>
                <c:pt idx="382">
                  <c:v>1.2727E-2</c:v>
                </c:pt>
                <c:pt idx="383">
                  <c:v>1.2755000000000001E-2</c:v>
                </c:pt>
                <c:pt idx="384">
                  <c:v>1.2748000000000001E-2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71-49FD-B33D-D374FE395580}"/>
            </c:ext>
          </c:extLst>
        </c:ser>
        <c:ser>
          <c:idx val="5"/>
          <c:order val="6"/>
          <c:tx>
            <c:strRef>
              <c:f>'idx data'!$I$2</c:f>
              <c:strCache>
                <c:ptCount val="1"/>
                <c:pt idx="0">
                  <c:v>3yrTr</c:v>
                </c:pt>
              </c:strCache>
            </c:strRef>
          </c:tx>
          <c:spPr>
            <a:ln w="28575" cap="rnd">
              <a:solidFill>
                <a:schemeClr val="accent5">
                  <a:tint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'idx data'!$A$3:$A$387</c:f>
              <c:numCache>
                <c:formatCode>General</c:formatCode>
                <c:ptCount val="3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</c:numCache>
            </c:numRef>
          </c:cat>
          <c:val>
            <c:numRef>
              <c:f>'idx data'!$I$3:$I$387</c:f>
              <c:numCache>
                <c:formatCode>General</c:formatCode>
                <c:ptCount val="385"/>
                <c:pt idx="0">
                  <c:v>1.4499999999999999E-2</c:v>
                </c:pt>
                <c:pt idx="1">
                  <c:v>1.4435E-2</c:v>
                </c:pt>
                <c:pt idx="2">
                  <c:v>1.4482E-2</c:v>
                </c:pt>
                <c:pt idx="3">
                  <c:v>1.4392E-2</c:v>
                </c:pt>
                <c:pt idx="4">
                  <c:v>1.4428E-2</c:v>
                </c:pt>
                <c:pt idx="5">
                  <c:v>1.4423E-2</c:v>
                </c:pt>
                <c:pt idx="6">
                  <c:v>1.4338E-2</c:v>
                </c:pt>
                <c:pt idx="7">
                  <c:v>1.4356000000000001E-2</c:v>
                </c:pt>
                <c:pt idx="8">
                  <c:v>1.4279999999999999E-2</c:v>
                </c:pt>
                <c:pt idx="9">
                  <c:v>1.4213999999999999E-2</c:v>
                </c:pt>
                <c:pt idx="10">
                  <c:v>1.417E-2</c:v>
                </c:pt>
                <c:pt idx="11">
                  <c:v>1.4138E-2</c:v>
                </c:pt>
                <c:pt idx="12">
                  <c:v>1.4179000000000001E-2</c:v>
                </c:pt>
                <c:pt idx="13">
                  <c:v>1.4167000000000001E-2</c:v>
                </c:pt>
                <c:pt idx="14">
                  <c:v>1.4177E-2</c:v>
                </c:pt>
                <c:pt idx="15">
                  <c:v>1.4248E-2</c:v>
                </c:pt>
                <c:pt idx="16">
                  <c:v>1.4186000000000001E-2</c:v>
                </c:pt>
                <c:pt idx="17">
                  <c:v>1.4244E-2</c:v>
                </c:pt>
                <c:pt idx="18">
                  <c:v>1.4203E-2</c:v>
                </c:pt>
                <c:pt idx="19">
                  <c:v>1.4149E-2</c:v>
                </c:pt>
                <c:pt idx="20">
                  <c:v>1.4212000000000001E-2</c:v>
                </c:pt>
                <c:pt idx="21">
                  <c:v>1.4281E-2</c:v>
                </c:pt>
                <c:pt idx="22">
                  <c:v>1.434E-2</c:v>
                </c:pt>
                <c:pt idx="23">
                  <c:v>1.4385E-2</c:v>
                </c:pt>
                <c:pt idx="24">
                  <c:v>1.4390999999999999E-2</c:v>
                </c:pt>
                <c:pt idx="25">
                  <c:v>1.4404999999999999E-2</c:v>
                </c:pt>
                <c:pt idx="26">
                  <c:v>1.4498E-2</c:v>
                </c:pt>
                <c:pt idx="27">
                  <c:v>1.4557E-2</c:v>
                </c:pt>
                <c:pt idx="28">
                  <c:v>1.4526000000000001E-2</c:v>
                </c:pt>
                <c:pt idx="29">
                  <c:v>1.4574999999999999E-2</c:v>
                </c:pt>
                <c:pt idx="30">
                  <c:v>1.4501E-2</c:v>
                </c:pt>
                <c:pt idx="31">
                  <c:v>1.4413E-2</c:v>
                </c:pt>
                <c:pt idx="32">
                  <c:v>1.4401000000000001E-2</c:v>
                </c:pt>
                <c:pt idx="33">
                  <c:v>1.4491E-2</c:v>
                </c:pt>
                <c:pt idx="34">
                  <c:v>1.4451E-2</c:v>
                </c:pt>
                <c:pt idx="35">
                  <c:v>1.4461E-2</c:v>
                </c:pt>
                <c:pt idx="36">
                  <c:v>1.451E-2</c:v>
                </c:pt>
                <c:pt idx="37">
                  <c:v>1.4604000000000001E-2</c:v>
                </c:pt>
                <c:pt idx="38">
                  <c:v>1.465E-2</c:v>
                </c:pt>
                <c:pt idx="39">
                  <c:v>1.4718E-2</c:v>
                </c:pt>
                <c:pt idx="40">
                  <c:v>1.4736000000000001E-2</c:v>
                </c:pt>
                <c:pt idx="41">
                  <c:v>1.4814000000000001E-2</c:v>
                </c:pt>
                <c:pt idx="42">
                  <c:v>1.4836E-2</c:v>
                </c:pt>
                <c:pt idx="43">
                  <c:v>1.4806E-2</c:v>
                </c:pt>
                <c:pt idx="44">
                  <c:v>1.4907E-2</c:v>
                </c:pt>
                <c:pt idx="45">
                  <c:v>1.494E-2</c:v>
                </c:pt>
                <c:pt idx="46">
                  <c:v>1.5037E-2</c:v>
                </c:pt>
                <c:pt idx="47">
                  <c:v>1.4973999999999999E-2</c:v>
                </c:pt>
                <c:pt idx="48">
                  <c:v>1.4966E-2</c:v>
                </c:pt>
                <c:pt idx="49">
                  <c:v>1.4959E-2</c:v>
                </c:pt>
                <c:pt idx="50">
                  <c:v>1.4898E-2</c:v>
                </c:pt>
                <c:pt idx="51">
                  <c:v>1.4865E-2</c:v>
                </c:pt>
                <c:pt idx="52">
                  <c:v>1.4788000000000001E-2</c:v>
                </c:pt>
                <c:pt idx="53">
                  <c:v>1.487E-2</c:v>
                </c:pt>
                <c:pt idx="54">
                  <c:v>1.4895E-2</c:v>
                </c:pt>
                <c:pt idx="55">
                  <c:v>1.4962E-2</c:v>
                </c:pt>
                <c:pt idx="56">
                  <c:v>1.4970000000000001E-2</c:v>
                </c:pt>
                <c:pt idx="57">
                  <c:v>1.5003000000000001E-2</c:v>
                </c:pt>
                <c:pt idx="58">
                  <c:v>1.5010000000000001E-2</c:v>
                </c:pt>
                <c:pt idx="59">
                  <c:v>1.5063E-2</c:v>
                </c:pt>
                <c:pt idx="60">
                  <c:v>1.4978999999999999E-2</c:v>
                </c:pt>
                <c:pt idx="61">
                  <c:v>1.4973999999999999E-2</c:v>
                </c:pt>
                <c:pt idx="62">
                  <c:v>1.4921E-2</c:v>
                </c:pt>
                <c:pt idx="63">
                  <c:v>1.4884E-2</c:v>
                </c:pt>
                <c:pt idx="64">
                  <c:v>1.4827999999999999E-2</c:v>
                </c:pt>
                <c:pt idx="65">
                  <c:v>1.4761E-2</c:v>
                </c:pt>
                <c:pt idx="66">
                  <c:v>1.4708000000000001E-2</c:v>
                </c:pt>
                <c:pt idx="67">
                  <c:v>1.4726E-2</c:v>
                </c:pt>
                <c:pt idx="68">
                  <c:v>1.4789999999999999E-2</c:v>
                </c:pt>
                <c:pt idx="69">
                  <c:v>1.4884E-2</c:v>
                </c:pt>
                <c:pt idx="70">
                  <c:v>1.4844E-2</c:v>
                </c:pt>
                <c:pt idx="71">
                  <c:v>1.4852000000000001E-2</c:v>
                </c:pt>
                <c:pt idx="72">
                  <c:v>1.4852000000000001E-2</c:v>
                </c:pt>
                <c:pt idx="73">
                  <c:v>1.4945999999999999E-2</c:v>
                </c:pt>
                <c:pt idx="74">
                  <c:v>1.4962E-2</c:v>
                </c:pt>
                <c:pt idx="75">
                  <c:v>1.4904000000000001E-2</c:v>
                </c:pt>
                <c:pt idx="76">
                  <c:v>1.4912E-2</c:v>
                </c:pt>
                <c:pt idx="77">
                  <c:v>1.4851E-2</c:v>
                </c:pt>
                <c:pt idx="78">
                  <c:v>1.4836E-2</c:v>
                </c:pt>
                <c:pt idx="79">
                  <c:v>1.4935E-2</c:v>
                </c:pt>
                <c:pt idx="80">
                  <c:v>1.4947E-2</c:v>
                </c:pt>
                <c:pt idx="81">
                  <c:v>1.4931E-2</c:v>
                </c:pt>
                <c:pt idx="82">
                  <c:v>1.4940999999999999E-2</c:v>
                </c:pt>
                <c:pt idx="83">
                  <c:v>1.502E-2</c:v>
                </c:pt>
                <c:pt idx="84">
                  <c:v>1.4961E-2</c:v>
                </c:pt>
                <c:pt idx="85">
                  <c:v>1.498E-2</c:v>
                </c:pt>
                <c:pt idx="86">
                  <c:v>1.4959999999999999E-2</c:v>
                </c:pt>
                <c:pt idx="87">
                  <c:v>1.4958000000000001E-2</c:v>
                </c:pt>
                <c:pt idx="88">
                  <c:v>1.4991000000000001E-2</c:v>
                </c:pt>
                <c:pt idx="89">
                  <c:v>1.5051E-2</c:v>
                </c:pt>
                <c:pt idx="90">
                  <c:v>1.4983E-2</c:v>
                </c:pt>
                <c:pt idx="91">
                  <c:v>1.4945999999999999E-2</c:v>
                </c:pt>
                <c:pt idx="92">
                  <c:v>1.5025999999999999E-2</c:v>
                </c:pt>
                <c:pt idx="93">
                  <c:v>1.5056E-2</c:v>
                </c:pt>
                <c:pt idx="94">
                  <c:v>1.511E-2</c:v>
                </c:pt>
                <c:pt idx="95">
                  <c:v>1.5124E-2</c:v>
                </c:pt>
                <c:pt idx="96">
                  <c:v>1.5103E-2</c:v>
                </c:pt>
                <c:pt idx="97">
                  <c:v>1.5153E-2</c:v>
                </c:pt>
                <c:pt idx="98">
                  <c:v>1.5145E-2</c:v>
                </c:pt>
                <c:pt idx="99">
                  <c:v>1.5228E-2</c:v>
                </c:pt>
                <c:pt idx="100">
                  <c:v>1.5158E-2</c:v>
                </c:pt>
                <c:pt idx="101">
                  <c:v>1.5065E-2</c:v>
                </c:pt>
                <c:pt idx="102">
                  <c:v>1.5141E-2</c:v>
                </c:pt>
                <c:pt idx="103">
                  <c:v>1.5084999999999999E-2</c:v>
                </c:pt>
                <c:pt idx="104">
                  <c:v>1.5063999999999999E-2</c:v>
                </c:pt>
                <c:pt idx="105">
                  <c:v>1.5148E-2</c:v>
                </c:pt>
                <c:pt idx="106">
                  <c:v>1.5233E-2</c:v>
                </c:pt>
                <c:pt idx="107">
                  <c:v>1.5197E-2</c:v>
                </c:pt>
                <c:pt idx="108">
                  <c:v>1.5231E-2</c:v>
                </c:pt>
                <c:pt idx="109">
                  <c:v>1.5287E-2</c:v>
                </c:pt>
                <c:pt idx="110">
                  <c:v>1.5367E-2</c:v>
                </c:pt>
                <c:pt idx="111">
                  <c:v>1.5403E-2</c:v>
                </c:pt>
                <c:pt idx="112">
                  <c:v>1.5443E-2</c:v>
                </c:pt>
                <c:pt idx="113">
                  <c:v>1.536E-2</c:v>
                </c:pt>
                <c:pt idx="114">
                  <c:v>1.5448999999999999E-2</c:v>
                </c:pt>
                <c:pt idx="115">
                  <c:v>1.5517E-2</c:v>
                </c:pt>
                <c:pt idx="116">
                  <c:v>1.5427E-2</c:v>
                </c:pt>
                <c:pt idx="117">
                  <c:v>1.5419E-2</c:v>
                </c:pt>
                <c:pt idx="118">
                  <c:v>1.542E-2</c:v>
                </c:pt>
                <c:pt idx="119">
                  <c:v>1.5520000000000001E-2</c:v>
                </c:pt>
                <c:pt idx="120">
                  <c:v>1.5602E-2</c:v>
                </c:pt>
                <c:pt idx="121">
                  <c:v>1.5599E-2</c:v>
                </c:pt>
                <c:pt idx="122">
                  <c:v>1.5654000000000001E-2</c:v>
                </c:pt>
                <c:pt idx="123">
                  <c:v>1.5573999999999999E-2</c:v>
                </c:pt>
                <c:pt idx="124">
                  <c:v>1.5587E-2</c:v>
                </c:pt>
                <c:pt idx="125">
                  <c:v>1.554E-2</c:v>
                </c:pt>
                <c:pt idx="126">
                  <c:v>1.5464E-2</c:v>
                </c:pt>
                <c:pt idx="127">
                  <c:v>1.5521999999999999E-2</c:v>
                </c:pt>
                <c:pt idx="128">
                  <c:v>1.5609E-2</c:v>
                </c:pt>
                <c:pt idx="129">
                  <c:v>1.5599999999999999E-2</c:v>
                </c:pt>
                <c:pt idx="130">
                  <c:v>1.5519E-2</c:v>
                </c:pt>
                <c:pt idx="131">
                  <c:v>1.5516E-2</c:v>
                </c:pt>
                <c:pt idx="132">
                  <c:v>1.5552E-2</c:v>
                </c:pt>
                <c:pt idx="133">
                  <c:v>1.5462E-2</c:v>
                </c:pt>
                <c:pt idx="134">
                  <c:v>1.5413E-2</c:v>
                </c:pt>
                <c:pt idx="135">
                  <c:v>1.5335E-2</c:v>
                </c:pt>
                <c:pt idx="136">
                  <c:v>1.5398E-2</c:v>
                </c:pt>
                <c:pt idx="137">
                  <c:v>1.546E-2</c:v>
                </c:pt>
                <c:pt idx="138">
                  <c:v>1.5438E-2</c:v>
                </c:pt>
                <c:pt idx="139">
                  <c:v>1.5405E-2</c:v>
                </c:pt>
                <c:pt idx="140">
                  <c:v>1.5468000000000001E-2</c:v>
                </c:pt>
                <c:pt idx="141">
                  <c:v>1.5440000000000001E-2</c:v>
                </c:pt>
                <c:pt idx="142">
                  <c:v>1.5458E-2</c:v>
                </c:pt>
                <c:pt idx="143">
                  <c:v>1.5488E-2</c:v>
                </c:pt>
                <c:pt idx="144">
                  <c:v>1.5440000000000001E-2</c:v>
                </c:pt>
                <c:pt idx="145">
                  <c:v>1.5528999999999999E-2</c:v>
                </c:pt>
                <c:pt idx="146">
                  <c:v>1.5599E-2</c:v>
                </c:pt>
                <c:pt idx="147">
                  <c:v>1.5561E-2</c:v>
                </c:pt>
                <c:pt idx="148">
                  <c:v>1.5633999999999999E-2</c:v>
                </c:pt>
                <c:pt idx="149">
                  <c:v>1.5551000000000001E-2</c:v>
                </c:pt>
                <c:pt idx="150">
                  <c:v>1.5633000000000001E-2</c:v>
                </c:pt>
                <c:pt idx="151">
                  <c:v>1.5654999999999999E-2</c:v>
                </c:pt>
                <c:pt idx="152">
                  <c:v>1.5599E-2</c:v>
                </c:pt>
                <c:pt idx="153">
                  <c:v>1.5663E-2</c:v>
                </c:pt>
                <c:pt idx="154">
                  <c:v>1.5617000000000001E-2</c:v>
                </c:pt>
                <c:pt idx="155">
                  <c:v>1.5523E-2</c:v>
                </c:pt>
                <c:pt idx="156">
                  <c:v>1.5504E-2</c:v>
                </c:pt>
                <c:pt idx="157">
                  <c:v>1.5429999999999999E-2</c:v>
                </c:pt>
                <c:pt idx="158">
                  <c:v>1.5339E-2</c:v>
                </c:pt>
                <c:pt idx="159">
                  <c:v>1.5403999999999999E-2</c:v>
                </c:pt>
                <c:pt idx="160">
                  <c:v>1.5384999999999999E-2</c:v>
                </c:pt>
                <c:pt idx="161">
                  <c:v>1.5435000000000001E-2</c:v>
                </c:pt>
                <c:pt idx="162">
                  <c:v>1.5424E-2</c:v>
                </c:pt>
                <c:pt idx="163">
                  <c:v>1.5398E-2</c:v>
                </c:pt>
                <c:pt idx="164">
                  <c:v>1.5472E-2</c:v>
                </c:pt>
                <c:pt idx="165">
                  <c:v>1.5533999999999999E-2</c:v>
                </c:pt>
                <c:pt idx="166">
                  <c:v>1.5611E-2</c:v>
                </c:pt>
                <c:pt idx="167">
                  <c:v>1.5585999999999999E-2</c:v>
                </c:pt>
                <c:pt idx="168">
                  <c:v>1.553E-2</c:v>
                </c:pt>
                <c:pt idx="169">
                  <c:v>1.5573E-2</c:v>
                </c:pt>
                <c:pt idx="170">
                  <c:v>1.5476999999999999E-2</c:v>
                </c:pt>
                <c:pt idx="171">
                  <c:v>1.5441E-2</c:v>
                </c:pt>
                <c:pt idx="172">
                  <c:v>1.5441E-2</c:v>
                </c:pt>
                <c:pt idx="173">
                  <c:v>1.5485000000000001E-2</c:v>
                </c:pt>
                <c:pt idx="174">
                  <c:v>1.5421000000000001E-2</c:v>
                </c:pt>
                <c:pt idx="175">
                  <c:v>1.5447000000000001E-2</c:v>
                </c:pt>
                <c:pt idx="176">
                  <c:v>1.5424E-2</c:v>
                </c:pt>
                <c:pt idx="177">
                  <c:v>1.5434E-2</c:v>
                </c:pt>
                <c:pt idx="178">
                  <c:v>1.5387E-2</c:v>
                </c:pt>
                <c:pt idx="179">
                  <c:v>1.5318E-2</c:v>
                </c:pt>
                <c:pt idx="180">
                  <c:v>1.5349E-2</c:v>
                </c:pt>
                <c:pt idx="181">
                  <c:v>1.5337E-2</c:v>
                </c:pt>
                <c:pt idx="182">
                  <c:v>1.5341E-2</c:v>
                </c:pt>
                <c:pt idx="183">
                  <c:v>1.5419E-2</c:v>
                </c:pt>
                <c:pt idx="184">
                  <c:v>1.532E-2</c:v>
                </c:pt>
                <c:pt idx="185">
                  <c:v>1.5357000000000001E-2</c:v>
                </c:pt>
                <c:pt idx="186">
                  <c:v>1.5327E-2</c:v>
                </c:pt>
                <c:pt idx="187">
                  <c:v>1.5276E-2</c:v>
                </c:pt>
                <c:pt idx="188">
                  <c:v>1.5207999999999999E-2</c:v>
                </c:pt>
                <c:pt idx="189">
                  <c:v>1.5251000000000001E-2</c:v>
                </c:pt>
                <c:pt idx="190">
                  <c:v>1.5271E-2</c:v>
                </c:pt>
                <c:pt idx="191">
                  <c:v>1.5193E-2</c:v>
                </c:pt>
                <c:pt idx="192">
                  <c:v>1.5108999999999999E-2</c:v>
                </c:pt>
                <c:pt idx="193">
                  <c:v>1.5165E-2</c:v>
                </c:pt>
                <c:pt idx="194">
                  <c:v>1.5103999999999999E-2</c:v>
                </c:pt>
                <c:pt idx="195">
                  <c:v>1.5107000000000001E-2</c:v>
                </c:pt>
                <c:pt idx="196">
                  <c:v>1.5015000000000001E-2</c:v>
                </c:pt>
                <c:pt idx="197">
                  <c:v>1.5096E-2</c:v>
                </c:pt>
                <c:pt idx="198">
                  <c:v>1.5042E-2</c:v>
                </c:pt>
                <c:pt idx="199">
                  <c:v>1.4956000000000001E-2</c:v>
                </c:pt>
                <c:pt idx="200">
                  <c:v>1.4985999999999999E-2</c:v>
                </c:pt>
                <c:pt idx="201">
                  <c:v>1.5004E-2</c:v>
                </c:pt>
                <c:pt idx="202">
                  <c:v>1.4964E-2</c:v>
                </c:pt>
                <c:pt idx="203">
                  <c:v>1.4964E-2</c:v>
                </c:pt>
                <c:pt idx="204">
                  <c:v>1.4971E-2</c:v>
                </c:pt>
                <c:pt idx="205">
                  <c:v>1.502E-2</c:v>
                </c:pt>
                <c:pt idx="206">
                  <c:v>1.495E-2</c:v>
                </c:pt>
                <c:pt idx="207">
                  <c:v>1.4872E-2</c:v>
                </c:pt>
                <c:pt idx="208">
                  <c:v>1.4817E-2</c:v>
                </c:pt>
                <c:pt idx="209">
                  <c:v>1.4881999999999999E-2</c:v>
                </c:pt>
                <c:pt idx="210">
                  <c:v>1.4867E-2</c:v>
                </c:pt>
                <c:pt idx="211">
                  <c:v>1.4805E-2</c:v>
                </c:pt>
                <c:pt idx="212">
                  <c:v>1.4789E-2</c:v>
                </c:pt>
                <c:pt idx="213">
                  <c:v>1.4701000000000001E-2</c:v>
                </c:pt>
                <c:pt idx="214">
                  <c:v>1.4782999999999999E-2</c:v>
                </c:pt>
                <c:pt idx="215">
                  <c:v>1.4689000000000001E-2</c:v>
                </c:pt>
                <c:pt idx="216">
                  <c:v>1.4663000000000001E-2</c:v>
                </c:pt>
                <c:pt idx="217">
                  <c:v>1.4605E-2</c:v>
                </c:pt>
                <c:pt idx="218">
                  <c:v>1.4532E-2</c:v>
                </c:pt>
                <c:pt idx="219">
                  <c:v>1.4514000000000001E-2</c:v>
                </c:pt>
                <c:pt idx="220">
                  <c:v>1.4465E-2</c:v>
                </c:pt>
                <c:pt idx="221">
                  <c:v>1.4548999999999999E-2</c:v>
                </c:pt>
                <c:pt idx="222">
                  <c:v>1.4552000000000001E-2</c:v>
                </c:pt>
                <c:pt idx="223">
                  <c:v>1.4453000000000001E-2</c:v>
                </c:pt>
                <c:pt idx="224">
                  <c:v>1.4456E-2</c:v>
                </c:pt>
                <c:pt idx="225">
                  <c:v>1.4555E-2</c:v>
                </c:pt>
                <c:pt idx="226">
                  <c:v>1.4615E-2</c:v>
                </c:pt>
                <c:pt idx="227">
                  <c:v>1.4656000000000001E-2</c:v>
                </c:pt>
                <c:pt idx="228">
                  <c:v>1.4733E-2</c:v>
                </c:pt>
                <c:pt idx="229">
                  <c:v>1.4761E-2</c:v>
                </c:pt>
                <c:pt idx="230">
                  <c:v>1.4858E-2</c:v>
                </c:pt>
                <c:pt idx="231">
                  <c:v>1.4796E-2</c:v>
                </c:pt>
                <c:pt idx="232">
                  <c:v>1.4864E-2</c:v>
                </c:pt>
                <c:pt idx="233">
                  <c:v>1.4768E-2</c:v>
                </c:pt>
                <c:pt idx="234">
                  <c:v>1.4815E-2</c:v>
                </c:pt>
                <c:pt idx="235">
                  <c:v>1.4777999999999999E-2</c:v>
                </c:pt>
                <c:pt idx="236">
                  <c:v>1.4770999999999999E-2</c:v>
                </c:pt>
                <c:pt idx="237">
                  <c:v>1.4785E-2</c:v>
                </c:pt>
                <c:pt idx="238">
                  <c:v>1.4786000000000001E-2</c:v>
                </c:pt>
                <c:pt idx="239">
                  <c:v>1.4845000000000001E-2</c:v>
                </c:pt>
                <c:pt idx="240">
                  <c:v>1.4862999999999999E-2</c:v>
                </c:pt>
                <c:pt idx="241">
                  <c:v>1.4951000000000001E-2</c:v>
                </c:pt>
                <c:pt idx="242">
                  <c:v>1.4867999999999999E-2</c:v>
                </c:pt>
                <c:pt idx="243">
                  <c:v>1.4940999999999999E-2</c:v>
                </c:pt>
                <c:pt idx="244">
                  <c:v>1.5030999999999999E-2</c:v>
                </c:pt>
                <c:pt idx="245">
                  <c:v>1.5049999999999999E-2</c:v>
                </c:pt>
                <c:pt idx="246">
                  <c:v>1.4978E-2</c:v>
                </c:pt>
                <c:pt idx="247">
                  <c:v>1.4949E-2</c:v>
                </c:pt>
                <c:pt idx="248">
                  <c:v>1.4985999999999999E-2</c:v>
                </c:pt>
                <c:pt idx="249">
                  <c:v>1.5066E-2</c:v>
                </c:pt>
                <c:pt idx="250">
                  <c:v>1.5151E-2</c:v>
                </c:pt>
                <c:pt idx="251">
                  <c:v>1.5119E-2</c:v>
                </c:pt>
                <c:pt idx="252">
                  <c:v>1.5113E-2</c:v>
                </c:pt>
                <c:pt idx="253">
                  <c:v>1.5088000000000001E-2</c:v>
                </c:pt>
                <c:pt idx="254">
                  <c:v>1.5154000000000001E-2</c:v>
                </c:pt>
                <c:pt idx="255">
                  <c:v>1.5214E-2</c:v>
                </c:pt>
                <c:pt idx="256">
                  <c:v>1.5224E-2</c:v>
                </c:pt>
                <c:pt idx="257">
                  <c:v>1.5195E-2</c:v>
                </c:pt>
                <c:pt idx="258">
                  <c:v>1.5151E-2</c:v>
                </c:pt>
                <c:pt idx="259">
                  <c:v>1.5162999999999999E-2</c:v>
                </c:pt>
                <c:pt idx="260">
                  <c:v>1.5180000000000001E-2</c:v>
                </c:pt>
                <c:pt idx="261">
                  <c:v>1.5147000000000001E-2</c:v>
                </c:pt>
                <c:pt idx="262">
                  <c:v>1.5226E-2</c:v>
                </c:pt>
                <c:pt idx="263">
                  <c:v>1.5197E-2</c:v>
                </c:pt>
                <c:pt idx="264">
                  <c:v>1.52E-2</c:v>
                </c:pt>
                <c:pt idx="265">
                  <c:v>1.5261E-2</c:v>
                </c:pt>
                <c:pt idx="266">
                  <c:v>1.5199000000000001E-2</c:v>
                </c:pt>
                <c:pt idx="267">
                  <c:v>1.5292E-2</c:v>
                </c:pt>
                <c:pt idx="268">
                  <c:v>1.5325E-2</c:v>
                </c:pt>
                <c:pt idx="269">
                  <c:v>1.5240999999999999E-2</c:v>
                </c:pt>
                <c:pt idx="270">
                  <c:v>1.5309E-2</c:v>
                </c:pt>
                <c:pt idx="271">
                  <c:v>1.5318999999999999E-2</c:v>
                </c:pt>
                <c:pt idx="272">
                  <c:v>1.5237000000000001E-2</c:v>
                </c:pt>
                <c:pt idx="273">
                  <c:v>1.5270000000000001E-2</c:v>
                </c:pt>
                <c:pt idx="274">
                  <c:v>1.5330999999999999E-2</c:v>
                </c:pt>
                <c:pt idx="275">
                  <c:v>1.5318999999999999E-2</c:v>
                </c:pt>
                <c:pt idx="276">
                  <c:v>1.5347E-2</c:v>
                </c:pt>
                <c:pt idx="277">
                  <c:v>1.5394E-2</c:v>
                </c:pt>
                <c:pt idx="278">
                  <c:v>1.5328E-2</c:v>
                </c:pt>
                <c:pt idx="279">
                  <c:v>1.5413E-2</c:v>
                </c:pt>
                <c:pt idx="280">
                  <c:v>1.5396E-2</c:v>
                </c:pt>
                <c:pt idx="281">
                  <c:v>1.5311E-2</c:v>
                </c:pt>
                <c:pt idx="282">
                  <c:v>1.5377E-2</c:v>
                </c:pt>
                <c:pt idx="283">
                  <c:v>1.5393E-2</c:v>
                </c:pt>
                <c:pt idx="284">
                  <c:v>1.5474999999999999E-2</c:v>
                </c:pt>
                <c:pt idx="285">
                  <c:v>1.5518000000000001E-2</c:v>
                </c:pt>
                <c:pt idx="286">
                  <c:v>1.5454000000000001E-2</c:v>
                </c:pt>
                <c:pt idx="287">
                  <c:v>1.5535999999999999E-2</c:v>
                </c:pt>
                <c:pt idx="288">
                  <c:v>1.5611999999999999E-2</c:v>
                </c:pt>
                <c:pt idx="289">
                  <c:v>1.5701E-2</c:v>
                </c:pt>
                <c:pt idx="290">
                  <c:v>1.5613999999999999E-2</c:v>
                </c:pt>
                <c:pt idx="291">
                  <c:v>1.5528999999999999E-2</c:v>
                </c:pt>
                <c:pt idx="292">
                  <c:v>1.5535E-2</c:v>
                </c:pt>
                <c:pt idx="293">
                  <c:v>1.5553000000000001E-2</c:v>
                </c:pt>
                <c:pt idx="294">
                  <c:v>1.5531E-2</c:v>
                </c:pt>
                <c:pt idx="295">
                  <c:v>1.5561999999999999E-2</c:v>
                </c:pt>
                <c:pt idx="296">
                  <c:v>1.5601E-2</c:v>
                </c:pt>
                <c:pt idx="297">
                  <c:v>1.5601E-2</c:v>
                </c:pt>
                <c:pt idx="298">
                  <c:v>1.5609E-2</c:v>
                </c:pt>
                <c:pt idx="299">
                  <c:v>1.5644000000000002E-2</c:v>
                </c:pt>
                <c:pt idx="300">
                  <c:v>1.5626000000000001E-2</c:v>
                </c:pt>
                <c:pt idx="301">
                  <c:v>1.5625E-2</c:v>
                </c:pt>
                <c:pt idx="302">
                  <c:v>1.5657000000000001E-2</c:v>
                </c:pt>
                <c:pt idx="303">
                  <c:v>1.5736E-2</c:v>
                </c:pt>
                <c:pt idx="304">
                  <c:v>1.5820000000000001E-2</c:v>
                </c:pt>
                <c:pt idx="305">
                  <c:v>1.5900999999999998E-2</c:v>
                </c:pt>
                <c:pt idx="306">
                  <c:v>1.5925999999999999E-2</c:v>
                </c:pt>
                <c:pt idx="307">
                  <c:v>1.6004000000000001E-2</c:v>
                </c:pt>
                <c:pt idx="308">
                  <c:v>1.6028000000000001E-2</c:v>
                </c:pt>
                <c:pt idx="309">
                  <c:v>1.6063000000000001E-2</c:v>
                </c:pt>
                <c:pt idx="310">
                  <c:v>1.6074999999999999E-2</c:v>
                </c:pt>
                <c:pt idx="311">
                  <c:v>1.6060999999999999E-2</c:v>
                </c:pt>
                <c:pt idx="312">
                  <c:v>1.6017E-2</c:v>
                </c:pt>
                <c:pt idx="313">
                  <c:v>1.5994999999999999E-2</c:v>
                </c:pt>
                <c:pt idx="314">
                  <c:v>1.6003E-2</c:v>
                </c:pt>
                <c:pt idx="315">
                  <c:v>1.5960999999999999E-2</c:v>
                </c:pt>
                <c:pt idx="316">
                  <c:v>1.5880999999999999E-2</c:v>
                </c:pt>
                <c:pt idx="317">
                  <c:v>1.5952999999999998E-2</c:v>
                </c:pt>
                <c:pt idx="318">
                  <c:v>1.6018999999999999E-2</c:v>
                </c:pt>
                <c:pt idx="319">
                  <c:v>1.5986E-2</c:v>
                </c:pt>
                <c:pt idx="320">
                  <c:v>1.5927E-2</c:v>
                </c:pt>
                <c:pt idx="321">
                  <c:v>1.5927E-2</c:v>
                </c:pt>
                <c:pt idx="322">
                  <c:v>1.5890999999999999E-2</c:v>
                </c:pt>
                <c:pt idx="323">
                  <c:v>1.5917000000000001E-2</c:v>
                </c:pt>
                <c:pt idx="324">
                  <c:v>1.593E-2</c:v>
                </c:pt>
                <c:pt idx="325">
                  <c:v>1.5865000000000001E-2</c:v>
                </c:pt>
                <c:pt idx="326">
                  <c:v>1.5824999999999999E-2</c:v>
                </c:pt>
                <c:pt idx="327">
                  <c:v>1.5862000000000001E-2</c:v>
                </c:pt>
                <c:pt idx="328">
                  <c:v>1.5918999999999999E-2</c:v>
                </c:pt>
                <c:pt idx="329">
                  <c:v>1.5917000000000001E-2</c:v>
                </c:pt>
                <c:pt idx="330">
                  <c:v>1.5817999999999999E-2</c:v>
                </c:pt>
                <c:pt idx="331">
                  <c:v>1.5769999999999999E-2</c:v>
                </c:pt>
                <c:pt idx="332">
                  <c:v>1.5786999999999999E-2</c:v>
                </c:pt>
                <c:pt idx="333">
                  <c:v>1.5751999999999999E-2</c:v>
                </c:pt>
                <c:pt idx="334">
                  <c:v>1.5821999999999999E-2</c:v>
                </c:pt>
                <c:pt idx="335">
                  <c:v>1.5816E-2</c:v>
                </c:pt>
                <c:pt idx="336">
                  <c:v>1.5779999999999999E-2</c:v>
                </c:pt>
                <c:pt idx="337">
                  <c:v>1.5855999999999999E-2</c:v>
                </c:pt>
                <c:pt idx="338">
                  <c:v>1.5886999999999998E-2</c:v>
                </c:pt>
                <c:pt idx="339">
                  <c:v>1.5986E-2</c:v>
                </c:pt>
                <c:pt idx="340">
                  <c:v>1.6022999999999999E-2</c:v>
                </c:pt>
                <c:pt idx="341">
                  <c:v>1.6108999999999998E-2</c:v>
                </c:pt>
                <c:pt idx="342">
                  <c:v>1.6080000000000001E-2</c:v>
                </c:pt>
                <c:pt idx="343">
                  <c:v>1.6153000000000001E-2</c:v>
                </c:pt>
                <c:pt idx="344">
                  <c:v>1.6175999999999999E-2</c:v>
                </c:pt>
                <c:pt idx="345">
                  <c:v>1.6227999999999999E-2</c:v>
                </c:pt>
                <c:pt idx="346">
                  <c:v>1.6216000000000001E-2</c:v>
                </c:pt>
                <c:pt idx="347">
                  <c:v>1.6271000000000001E-2</c:v>
                </c:pt>
                <c:pt idx="348">
                  <c:v>1.6254000000000001E-2</c:v>
                </c:pt>
                <c:pt idx="349">
                  <c:v>1.6240999999999998E-2</c:v>
                </c:pt>
                <c:pt idx="350">
                  <c:v>1.6244999999999999E-2</c:v>
                </c:pt>
                <c:pt idx="351">
                  <c:v>1.6265000000000002E-2</c:v>
                </c:pt>
                <c:pt idx="352">
                  <c:v>1.6298E-2</c:v>
                </c:pt>
                <c:pt idx="353">
                  <c:v>1.6298E-2</c:v>
                </c:pt>
                <c:pt idx="354">
                  <c:v>1.6320000000000001E-2</c:v>
                </c:pt>
                <c:pt idx="355">
                  <c:v>1.6374E-2</c:v>
                </c:pt>
                <c:pt idx="356">
                  <c:v>1.6389000000000001E-2</c:v>
                </c:pt>
                <c:pt idx="357">
                  <c:v>1.6435999999999999E-2</c:v>
                </c:pt>
                <c:pt idx="358">
                  <c:v>1.6406E-2</c:v>
                </c:pt>
                <c:pt idx="359">
                  <c:v>1.6372999999999999E-2</c:v>
                </c:pt>
                <c:pt idx="360">
                  <c:v>1.6313000000000001E-2</c:v>
                </c:pt>
                <c:pt idx="361">
                  <c:v>1.626E-2</c:v>
                </c:pt>
                <c:pt idx="362">
                  <c:v>1.6286999999999999E-2</c:v>
                </c:pt>
                <c:pt idx="363">
                  <c:v>1.6376000000000002E-2</c:v>
                </c:pt>
                <c:pt idx="364">
                  <c:v>1.6308E-2</c:v>
                </c:pt>
                <c:pt idx="365">
                  <c:v>1.6337999999999998E-2</c:v>
                </c:pt>
                <c:pt idx="366">
                  <c:v>1.6278000000000001E-2</c:v>
                </c:pt>
                <c:pt idx="367">
                  <c:v>1.6284E-2</c:v>
                </c:pt>
                <c:pt idx="368">
                  <c:v>1.6288E-2</c:v>
                </c:pt>
                <c:pt idx="369">
                  <c:v>1.6338999999999999E-2</c:v>
                </c:pt>
                <c:pt idx="370">
                  <c:v>1.6261999999999999E-2</c:v>
                </c:pt>
                <c:pt idx="371">
                  <c:v>1.6258000000000002E-2</c:v>
                </c:pt>
                <c:pt idx="372">
                  <c:v>1.6204E-2</c:v>
                </c:pt>
                <c:pt idx="373">
                  <c:v>1.6121E-2</c:v>
                </c:pt>
                <c:pt idx="374">
                  <c:v>1.6050999999999999E-2</c:v>
                </c:pt>
                <c:pt idx="375">
                  <c:v>1.6098999999999999E-2</c:v>
                </c:pt>
                <c:pt idx="376">
                  <c:v>1.6074999999999999E-2</c:v>
                </c:pt>
                <c:pt idx="377">
                  <c:v>1.6164999999999999E-2</c:v>
                </c:pt>
                <c:pt idx="378">
                  <c:v>1.6123999999999999E-2</c:v>
                </c:pt>
                <c:pt idx="379">
                  <c:v>1.6039000000000001E-2</c:v>
                </c:pt>
                <c:pt idx="380">
                  <c:v>1.5986E-2</c:v>
                </c:pt>
                <c:pt idx="381">
                  <c:v>1.5935999999999999E-2</c:v>
                </c:pt>
                <c:pt idx="382">
                  <c:v>1.5909E-2</c:v>
                </c:pt>
                <c:pt idx="383">
                  <c:v>1.5880999999999999E-2</c:v>
                </c:pt>
                <c:pt idx="384">
                  <c:v>1.5847E-2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871-49FD-B33D-D374FE395580}"/>
            </c:ext>
          </c:extLst>
        </c:ser>
        <c:ser>
          <c:idx val="6"/>
          <c:order val="7"/>
          <c:tx>
            <c:strRef>
              <c:f>'idx data'!$J$2</c:f>
              <c:strCache>
                <c:ptCount val="1"/>
                <c:pt idx="0">
                  <c:v>5yrTr</c:v>
                </c:pt>
              </c:strCache>
            </c:strRef>
          </c:tx>
          <c:spPr>
            <a:ln w="28575" cap="rnd">
              <a:solidFill>
                <a:schemeClr val="accent5">
                  <a:tint val="8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'idx data'!$A$3:$A$387</c:f>
              <c:numCache>
                <c:formatCode>General</c:formatCode>
                <c:ptCount val="3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</c:numCache>
            </c:numRef>
          </c:cat>
          <c:val>
            <c:numRef>
              <c:f>'idx data'!$J$3:$J$387</c:f>
              <c:numCache>
                <c:formatCode>General</c:formatCode>
                <c:ptCount val="385"/>
                <c:pt idx="0">
                  <c:v>1.7600000000000001E-2</c:v>
                </c:pt>
                <c:pt idx="1">
                  <c:v>1.7565999999999998E-2</c:v>
                </c:pt>
                <c:pt idx="2">
                  <c:v>1.7498E-2</c:v>
                </c:pt>
                <c:pt idx="3">
                  <c:v>1.7579000000000001E-2</c:v>
                </c:pt>
                <c:pt idx="4">
                  <c:v>1.7649999999999999E-2</c:v>
                </c:pt>
                <c:pt idx="5">
                  <c:v>1.7595E-2</c:v>
                </c:pt>
                <c:pt idx="6">
                  <c:v>1.7624999999999998E-2</c:v>
                </c:pt>
                <c:pt idx="7">
                  <c:v>1.7606E-2</c:v>
                </c:pt>
                <c:pt idx="8">
                  <c:v>1.7564E-2</c:v>
                </c:pt>
                <c:pt idx="9">
                  <c:v>1.7656999999999999E-2</c:v>
                </c:pt>
                <c:pt idx="10">
                  <c:v>1.7715999999999999E-2</c:v>
                </c:pt>
                <c:pt idx="11">
                  <c:v>1.7731E-2</c:v>
                </c:pt>
                <c:pt idx="12">
                  <c:v>1.7663000000000002E-2</c:v>
                </c:pt>
                <c:pt idx="13">
                  <c:v>1.7755E-2</c:v>
                </c:pt>
                <c:pt idx="14">
                  <c:v>1.7812999999999999E-2</c:v>
                </c:pt>
                <c:pt idx="15">
                  <c:v>1.7721000000000001E-2</c:v>
                </c:pt>
                <c:pt idx="16">
                  <c:v>1.7770000000000001E-2</c:v>
                </c:pt>
                <c:pt idx="17">
                  <c:v>1.7717E-2</c:v>
                </c:pt>
                <c:pt idx="18">
                  <c:v>1.7631000000000001E-2</c:v>
                </c:pt>
                <c:pt idx="19">
                  <c:v>1.7576999999999999E-2</c:v>
                </c:pt>
                <c:pt idx="20">
                  <c:v>1.7482999999999999E-2</c:v>
                </c:pt>
                <c:pt idx="21">
                  <c:v>1.7580999999999999E-2</c:v>
                </c:pt>
                <c:pt idx="22">
                  <c:v>1.7659000000000001E-2</c:v>
                </c:pt>
                <c:pt idx="23">
                  <c:v>1.7649999999999999E-2</c:v>
                </c:pt>
                <c:pt idx="24">
                  <c:v>1.7571E-2</c:v>
                </c:pt>
                <c:pt idx="25">
                  <c:v>1.7503000000000001E-2</c:v>
                </c:pt>
                <c:pt idx="26">
                  <c:v>1.7541999999999999E-2</c:v>
                </c:pt>
                <c:pt idx="27">
                  <c:v>1.7493999999999999E-2</c:v>
                </c:pt>
                <c:pt idx="28">
                  <c:v>1.7408E-2</c:v>
                </c:pt>
                <c:pt idx="29">
                  <c:v>1.7395999999999998E-2</c:v>
                </c:pt>
                <c:pt idx="30">
                  <c:v>1.7448999999999999E-2</c:v>
                </c:pt>
                <c:pt idx="31">
                  <c:v>1.7476999999999999E-2</c:v>
                </c:pt>
                <c:pt idx="32">
                  <c:v>1.7467E-2</c:v>
                </c:pt>
                <c:pt idx="33">
                  <c:v>1.7439E-2</c:v>
                </c:pt>
                <c:pt idx="34">
                  <c:v>1.7538000000000002E-2</c:v>
                </c:pt>
                <c:pt idx="35">
                  <c:v>1.7520000000000001E-2</c:v>
                </c:pt>
                <c:pt idx="36">
                  <c:v>1.7524000000000001E-2</c:v>
                </c:pt>
                <c:pt idx="37">
                  <c:v>1.7586000000000001E-2</c:v>
                </c:pt>
                <c:pt idx="38">
                  <c:v>1.763E-2</c:v>
                </c:pt>
                <c:pt idx="39">
                  <c:v>1.772E-2</c:v>
                </c:pt>
                <c:pt idx="40">
                  <c:v>1.7787000000000001E-2</c:v>
                </c:pt>
                <c:pt idx="41">
                  <c:v>1.7807E-2</c:v>
                </c:pt>
                <c:pt idx="42">
                  <c:v>1.7867999999999998E-2</c:v>
                </c:pt>
                <c:pt idx="43">
                  <c:v>1.7773000000000001E-2</c:v>
                </c:pt>
                <c:pt idx="44">
                  <c:v>1.7767000000000002E-2</c:v>
                </c:pt>
                <c:pt idx="45">
                  <c:v>1.7794000000000001E-2</c:v>
                </c:pt>
                <c:pt idx="46">
                  <c:v>1.7822999999999999E-2</c:v>
                </c:pt>
                <c:pt idx="47">
                  <c:v>1.7772E-2</c:v>
                </c:pt>
                <c:pt idx="48">
                  <c:v>1.7819000000000002E-2</c:v>
                </c:pt>
                <c:pt idx="49">
                  <c:v>1.7833999999999999E-2</c:v>
                </c:pt>
                <c:pt idx="50">
                  <c:v>1.7913999999999999E-2</c:v>
                </c:pt>
                <c:pt idx="51">
                  <c:v>1.7847999999999999E-2</c:v>
                </c:pt>
                <c:pt idx="52">
                  <c:v>1.7946E-2</c:v>
                </c:pt>
                <c:pt idx="53">
                  <c:v>1.7906999999999999E-2</c:v>
                </c:pt>
                <c:pt idx="54">
                  <c:v>1.7821E-2</c:v>
                </c:pt>
                <c:pt idx="55">
                  <c:v>1.7779E-2</c:v>
                </c:pt>
                <c:pt idx="56">
                  <c:v>1.7691999999999999E-2</c:v>
                </c:pt>
                <c:pt idx="57">
                  <c:v>1.7777000000000001E-2</c:v>
                </c:pt>
                <c:pt idx="58">
                  <c:v>1.7772E-2</c:v>
                </c:pt>
                <c:pt idx="59">
                  <c:v>1.77E-2</c:v>
                </c:pt>
                <c:pt idx="60">
                  <c:v>1.7684999999999999E-2</c:v>
                </c:pt>
                <c:pt idx="61">
                  <c:v>1.7680000000000001E-2</c:v>
                </c:pt>
                <c:pt idx="62">
                  <c:v>1.7659999999999999E-2</c:v>
                </c:pt>
                <c:pt idx="63">
                  <c:v>1.7575E-2</c:v>
                </c:pt>
                <c:pt idx="64">
                  <c:v>1.7616E-2</c:v>
                </c:pt>
                <c:pt idx="65">
                  <c:v>1.7638999999999998E-2</c:v>
                </c:pt>
                <c:pt idx="66">
                  <c:v>1.7642999999999999E-2</c:v>
                </c:pt>
                <c:pt idx="67">
                  <c:v>1.7634E-2</c:v>
                </c:pt>
                <c:pt idx="68">
                  <c:v>1.7703E-2</c:v>
                </c:pt>
                <c:pt idx="69">
                  <c:v>1.7748E-2</c:v>
                </c:pt>
                <c:pt idx="70">
                  <c:v>1.7763000000000001E-2</c:v>
                </c:pt>
                <c:pt idx="71">
                  <c:v>1.7829999999999999E-2</c:v>
                </c:pt>
                <c:pt idx="72">
                  <c:v>1.7750999999999999E-2</c:v>
                </c:pt>
                <c:pt idx="73">
                  <c:v>1.7774000000000002E-2</c:v>
                </c:pt>
                <c:pt idx="74">
                  <c:v>1.7753000000000001E-2</c:v>
                </c:pt>
                <c:pt idx="75">
                  <c:v>1.7776E-2</c:v>
                </c:pt>
                <c:pt idx="76">
                  <c:v>1.7694000000000001E-2</c:v>
                </c:pt>
                <c:pt idx="77">
                  <c:v>1.7781000000000002E-2</c:v>
                </c:pt>
                <c:pt idx="78">
                  <c:v>1.7821E-2</c:v>
                </c:pt>
                <c:pt idx="79">
                  <c:v>1.7791999999999999E-2</c:v>
                </c:pt>
                <c:pt idx="80">
                  <c:v>1.7845E-2</c:v>
                </c:pt>
                <c:pt idx="81">
                  <c:v>1.7808000000000001E-2</c:v>
                </c:pt>
                <c:pt idx="82">
                  <c:v>1.7826000000000002E-2</c:v>
                </c:pt>
                <c:pt idx="83">
                  <c:v>1.7912999999999998E-2</c:v>
                </c:pt>
                <c:pt idx="84">
                  <c:v>1.7912000000000001E-2</c:v>
                </c:pt>
                <c:pt idx="85">
                  <c:v>1.7913999999999999E-2</c:v>
                </c:pt>
                <c:pt idx="86">
                  <c:v>1.8013000000000001E-2</c:v>
                </c:pt>
                <c:pt idx="87">
                  <c:v>1.796E-2</c:v>
                </c:pt>
                <c:pt idx="88">
                  <c:v>1.7891000000000001E-2</c:v>
                </c:pt>
                <c:pt idx="89">
                  <c:v>1.7793E-2</c:v>
                </c:pt>
                <c:pt idx="90">
                  <c:v>1.7892999999999999E-2</c:v>
                </c:pt>
                <c:pt idx="91">
                  <c:v>1.7957999999999998E-2</c:v>
                </c:pt>
                <c:pt idx="92">
                  <c:v>1.8016999999999998E-2</c:v>
                </c:pt>
                <c:pt idx="93">
                  <c:v>1.8100999999999999E-2</c:v>
                </c:pt>
                <c:pt idx="94">
                  <c:v>1.8057E-2</c:v>
                </c:pt>
                <c:pt idx="95">
                  <c:v>1.8072999999999999E-2</c:v>
                </c:pt>
                <c:pt idx="96">
                  <c:v>1.8043E-2</c:v>
                </c:pt>
                <c:pt idx="97">
                  <c:v>1.8065999999999999E-2</c:v>
                </c:pt>
                <c:pt idx="98">
                  <c:v>1.8093999999999999E-2</c:v>
                </c:pt>
                <c:pt idx="99">
                  <c:v>1.8086000000000001E-2</c:v>
                </c:pt>
                <c:pt idx="100">
                  <c:v>1.8099000000000001E-2</c:v>
                </c:pt>
                <c:pt idx="101">
                  <c:v>1.8179000000000001E-2</c:v>
                </c:pt>
                <c:pt idx="102">
                  <c:v>1.8204000000000001E-2</c:v>
                </c:pt>
                <c:pt idx="103">
                  <c:v>1.8279E-2</c:v>
                </c:pt>
                <c:pt idx="104">
                  <c:v>1.8232999999999999E-2</c:v>
                </c:pt>
                <c:pt idx="105">
                  <c:v>1.8225000000000002E-2</c:v>
                </c:pt>
                <c:pt idx="106">
                  <c:v>1.814E-2</c:v>
                </c:pt>
                <c:pt idx="107">
                  <c:v>1.8134999999999998E-2</c:v>
                </c:pt>
                <c:pt idx="108">
                  <c:v>1.8051000000000001E-2</c:v>
                </c:pt>
                <c:pt idx="109">
                  <c:v>1.7964999999999998E-2</c:v>
                </c:pt>
                <c:pt idx="110">
                  <c:v>1.7935E-2</c:v>
                </c:pt>
                <c:pt idx="111">
                  <c:v>1.7867999999999998E-2</c:v>
                </c:pt>
                <c:pt idx="112">
                  <c:v>1.7895999999999999E-2</c:v>
                </c:pt>
                <c:pt idx="113">
                  <c:v>1.7949E-2</c:v>
                </c:pt>
                <c:pt idx="114">
                  <c:v>1.7920999999999999E-2</c:v>
                </c:pt>
                <c:pt idx="115">
                  <c:v>1.8013000000000001E-2</c:v>
                </c:pt>
                <c:pt idx="116">
                  <c:v>1.7940999999999999E-2</c:v>
                </c:pt>
                <c:pt idx="117">
                  <c:v>1.8013000000000001E-2</c:v>
                </c:pt>
                <c:pt idx="118">
                  <c:v>1.7974E-2</c:v>
                </c:pt>
                <c:pt idx="119">
                  <c:v>1.7971000000000001E-2</c:v>
                </c:pt>
                <c:pt idx="120">
                  <c:v>1.7991E-2</c:v>
                </c:pt>
                <c:pt idx="121">
                  <c:v>1.7953E-2</c:v>
                </c:pt>
                <c:pt idx="122">
                  <c:v>1.7975999999999999E-2</c:v>
                </c:pt>
                <c:pt idx="123">
                  <c:v>1.8036E-2</c:v>
                </c:pt>
                <c:pt idx="124">
                  <c:v>1.797E-2</c:v>
                </c:pt>
                <c:pt idx="125">
                  <c:v>1.8033E-2</c:v>
                </c:pt>
                <c:pt idx="126">
                  <c:v>1.8105E-2</c:v>
                </c:pt>
                <c:pt idx="127">
                  <c:v>1.8072000000000001E-2</c:v>
                </c:pt>
                <c:pt idx="128">
                  <c:v>1.8075000000000001E-2</c:v>
                </c:pt>
                <c:pt idx="129">
                  <c:v>1.7991E-2</c:v>
                </c:pt>
                <c:pt idx="130">
                  <c:v>1.8062000000000002E-2</c:v>
                </c:pt>
                <c:pt idx="131">
                  <c:v>1.8037999999999998E-2</c:v>
                </c:pt>
                <c:pt idx="132">
                  <c:v>1.8107999999999999E-2</c:v>
                </c:pt>
                <c:pt idx="133">
                  <c:v>1.8048999999999999E-2</c:v>
                </c:pt>
                <c:pt idx="134">
                  <c:v>1.8086999999999999E-2</c:v>
                </c:pt>
                <c:pt idx="135">
                  <c:v>1.8155000000000001E-2</c:v>
                </c:pt>
                <c:pt idx="136">
                  <c:v>1.814E-2</c:v>
                </c:pt>
                <c:pt idx="137">
                  <c:v>1.8238999999999998E-2</c:v>
                </c:pt>
                <c:pt idx="138">
                  <c:v>1.8235000000000001E-2</c:v>
                </c:pt>
                <c:pt idx="139">
                  <c:v>1.8199E-2</c:v>
                </c:pt>
                <c:pt idx="140">
                  <c:v>1.8144E-2</c:v>
                </c:pt>
                <c:pt idx="141">
                  <c:v>1.8047000000000001E-2</c:v>
                </c:pt>
                <c:pt idx="142">
                  <c:v>1.8117999999999999E-2</c:v>
                </c:pt>
                <c:pt idx="143">
                  <c:v>1.8183999999999999E-2</c:v>
                </c:pt>
                <c:pt idx="144">
                  <c:v>1.8173999999999999E-2</c:v>
                </c:pt>
                <c:pt idx="145">
                  <c:v>1.8192E-2</c:v>
                </c:pt>
                <c:pt idx="146">
                  <c:v>1.8098E-2</c:v>
                </c:pt>
                <c:pt idx="147">
                  <c:v>1.8149999999999999E-2</c:v>
                </c:pt>
                <c:pt idx="148">
                  <c:v>1.8169999999999999E-2</c:v>
                </c:pt>
                <c:pt idx="149">
                  <c:v>1.8204000000000001E-2</c:v>
                </c:pt>
                <c:pt idx="150">
                  <c:v>1.8196E-2</c:v>
                </c:pt>
                <c:pt idx="151">
                  <c:v>1.821E-2</c:v>
                </c:pt>
                <c:pt idx="152">
                  <c:v>1.8175E-2</c:v>
                </c:pt>
                <c:pt idx="153">
                  <c:v>1.8245000000000001E-2</c:v>
                </c:pt>
                <c:pt idx="154">
                  <c:v>1.8197999999999999E-2</c:v>
                </c:pt>
                <c:pt idx="155">
                  <c:v>1.8187999999999999E-2</c:v>
                </c:pt>
                <c:pt idx="156">
                  <c:v>1.822E-2</c:v>
                </c:pt>
                <c:pt idx="157">
                  <c:v>1.8249999999999999E-2</c:v>
                </c:pt>
                <c:pt idx="158">
                  <c:v>1.8339999999999999E-2</c:v>
                </c:pt>
                <c:pt idx="159">
                  <c:v>1.8335000000000001E-2</c:v>
                </c:pt>
                <c:pt idx="160">
                  <c:v>1.8384000000000001E-2</c:v>
                </c:pt>
                <c:pt idx="161">
                  <c:v>1.8415999999999998E-2</c:v>
                </c:pt>
                <c:pt idx="162">
                  <c:v>1.8489999999999999E-2</c:v>
                </c:pt>
                <c:pt idx="163">
                  <c:v>1.8511E-2</c:v>
                </c:pt>
                <c:pt idx="164">
                  <c:v>1.8512000000000001E-2</c:v>
                </c:pt>
                <c:pt idx="165">
                  <c:v>1.8606000000000001E-2</c:v>
                </c:pt>
                <c:pt idx="166">
                  <c:v>1.8544999999999999E-2</c:v>
                </c:pt>
                <c:pt idx="167">
                  <c:v>1.8492999999999999E-2</c:v>
                </c:pt>
                <c:pt idx="168">
                  <c:v>1.8402999999999999E-2</c:v>
                </c:pt>
                <c:pt idx="169">
                  <c:v>1.8499000000000002E-2</c:v>
                </c:pt>
                <c:pt idx="170">
                  <c:v>1.8457000000000001E-2</c:v>
                </c:pt>
                <c:pt idx="171">
                  <c:v>1.8377000000000001E-2</c:v>
                </c:pt>
                <c:pt idx="172">
                  <c:v>1.8343000000000002E-2</c:v>
                </c:pt>
                <c:pt idx="173">
                  <c:v>1.8442E-2</c:v>
                </c:pt>
                <c:pt idx="174">
                  <c:v>1.8461999999999999E-2</c:v>
                </c:pt>
                <c:pt idx="175">
                  <c:v>1.8450000000000001E-2</c:v>
                </c:pt>
                <c:pt idx="176">
                  <c:v>1.8388000000000002E-2</c:v>
                </c:pt>
                <c:pt idx="177">
                  <c:v>1.8294999999999999E-2</c:v>
                </c:pt>
                <c:pt idx="178">
                  <c:v>1.8364999999999999E-2</c:v>
                </c:pt>
                <c:pt idx="179">
                  <c:v>1.8453000000000001E-2</c:v>
                </c:pt>
                <c:pt idx="180">
                  <c:v>1.8450999999999999E-2</c:v>
                </c:pt>
                <c:pt idx="181">
                  <c:v>1.8450000000000001E-2</c:v>
                </c:pt>
                <c:pt idx="182">
                  <c:v>1.8481000000000001E-2</c:v>
                </c:pt>
                <c:pt idx="183">
                  <c:v>1.8450000000000001E-2</c:v>
                </c:pt>
                <c:pt idx="184">
                  <c:v>1.8506999999999999E-2</c:v>
                </c:pt>
                <c:pt idx="185">
                  <c:v>1.8506999999999999E-2</c:v>
                </c:pt>
                <c:pt idx="186">
                  <c:v>1.8530999999999999E-2</c:v>
                </c:pt>
                <c:pt idx="187">
                  <c:v>1.8563E-2</c:v>
                </c:pt>
                <c:pt idx="188">
                  <c:v>1.8623000000000001E-2</c:v>
                </c:pt>
                <c:pt idx="189">
                  <c:v>1.8620999999999999E-2</c:v>
                </c:pt>
                <c:pt idx="190">
                  <c:v>1.8603999999999999E-2</c:v>
                </c:pt>
                <c:pt idx="191">
                  <c:v>1.8577E-2</c:v>
                </c:pt>
                <c:pt idx="192">
                  <c:v>1.8502999999999999E-2</c:v>
                </c:pt>
                <c:pt idx="193">
                  <c:v>1.8419000000000001E-2</c:v>
                </c:pt>
                <c:pt idx="194">
                  <c:v>1.8474000000000001E-2</c:v>
                </c:pt>
                <c:pt idx="195">
                  <c:v>1.8478000000000001E-2</c:v>
                </c:pt>
                <c:pt idx="196">
                  <c:v>1.8405999999999999E-2</c:v>
                </c:pt>
                <c:pt idx="197">
                  <c:v>1.8450999999999999E-2</c:v>
                </c:pt>
                <c:pt idx="198">
                  <c:v>1.8529E-2</c:v>
                </c:pt>
                <c:pt idx="199">
                  <c:v>1.8432E-2</c:v>
                </c:pt>
                <c:pt idx="200">
                  <c:v>1.8335000000000001E-2</c:v>
                </c:pt>
                <c:pt idx="201">
                  <c:v>1.8426000000000001E-2</c:v>
                </c:pt>
                <c:pt idx="202">
                  <c:v>1.8467999999999998E-2</c:v>
                </c:pt>
                <c:pt idx="203">
                  <c:v>1.8533000000000001E-2</c:v>
                </c:pt>
                <c:pt idx="204">
                  <c:v>1.8564000000000001E-2</c:v>
                </c:pt>
                <c:pt idx="205">
                  <c:v>1.8534999999999999E-2</c:v>
                </c:pt>
                <c:pt idx="206">
                  <c:v>1.8629E-2</c:v>
                </c:pt>
                <c:pt idx="207">
                  <c:v>1.8558999999999999E-2</c:v>
                </c:pt>
                <c:pt idx="208">
                  <c:v>1.8520999999999999E-2</c:v>
                </c:pt>
                <c:pt idx="209">
                  <c:v>1.8433000000000001E-2</c:v>
                </c:pt>
                <c:pt idx="210">
                  <c:v>1.8506999999999999E-2</c:v>
                </c:pt>
                <c:pt idx="211">
                  <c:v>1.8423999999999999E-2</c:v>
                </c:pt>
                <c:pt idx="212">
                  <c:v>1.8474999999999998E-2</c:v>
                </c:pt>
                <c:pt idx="213">
                  <c:v>1.8474000000000001E-2</c:v>
                </c:pt>
                <c:pt idx="214">
                  <c:v>1.8436000000000001E-2</c:v>
                </c:pt>
                <c:pt idx="215">
                  <c:v>1.8450999999999999E-2</c:v>
                </c:pt>
                <c:pt idx="216">
                  <c:v>1.8492999999999999E-2</c:v>
                </c:pt>
                <c:pt idx="217">
                  <c:v>1.8586999999999999E-2</c:v>
                </c:pt>
                <c:pt idx="218">
                  <c:v>1.8540999999999998E-2</c:v>
                </c:pt>
                <c:pt idx="219">
                  <c:v>1.8529E-2</c:v>
                </c:pt>
                <c:pt idx="220">
                  <c:v>1.8516000000000001E-2</c:v>
                </c:pt>
                <c:pt idx="221">
                  <c:v>1.8481999999999998E-2</c:v>
                </c:pt>
                <c:pt idx="222">
                  <c:v>1.8537999999999999E-2</c:v>
                </c:pt>
                <c:pt idx="223">
                  <c:v>1.8478000000000001E-2</c:v>
                </c:pt>
                <c:pt idx="224">
                  <c:v>1.8558000000000002E-2</c:v>
                </c:pt>
                <c:pt idx="225">
                  <c:v>1.8497E-2</c:v>
                </c:pt>
                <c:pt idx="226">
                  <c:v>1.8404E-2</c:v>
                </c:pt>
                <c:pt idx="227">
                  <c:v>1.8492000000000001E-2</c:v>
                </c:pt>
                <c:pt idx="228">
                  <c:v>1.8549E-2</c:v>
                </c:pt>
                <c:pt idx="229">
                  <c:v>1.8585999999999998E-2</c:v>
                </c:pt>
                <c:pt idx="230">
                  <c:v>1.8612E-2</c:v>
                </c:pt>
                <c:pt idx="231">
                  <c:v>1.8515E-2</c:v>
                </c:pt>
                <c:pt idx="232">
                  <c:v>1.8595E-2</c:v>
                </c:pt>
                <c:pt idx="233">
                  <c:v>1.8631000000000002E-2</c:v>
                </c:pt>
                <c:pt idx="234">
                  <c:v>1.8558000000000002E-2</c:v>
                </c:pt>
                <c:pt idx="235">
                  <c:v>1.8554999999999999E-2</c:v>
                </c:pt>
                <c:pt idx="236">
                  <c:v>1.8460000000000001E-2</c:v>
                </c:pt>
                <c:pt idx="237">
                  <c:v>1.8435E-2</c:v>
                </c:pt>
                <c:pt idx="238">
                  <c:v>1.8380000000000001E-2</c:v>
                </c:pt>
                <c:pt idx="239">
                  <c:v>1.8432E-2</c:v>
                </c:pt>
                <c:pt idx="240">
                  <c:v>1.8398999999999999E-2</c:v>
                </c:pt>
                <c:pt idx="241">
                  <c:v>1.8374000000000001E-2</c:v>
                </c:pt>
                <c:pt idx="242">
                  <c:v>1.8398999999999999E-2</c:v>
                </c:pt>
                <c:pt idx="243">
                  <c:v>1.8428E-2</c:v>
                </c:pt>
                <c:pt idx="244">
                  <c:v>1.8367000000000001E-2</c:v>
                </c:pt>
                <c:pt idx="245">
                  <c:v>1.8284999999999999E-2</c:v>
                </c:pt>
                <c:pt idx="246">
                  <c:v>1.8315000000000001E-2</c:v>
                </c:pt>
                <c:pt idx="247">
                  <c:v>1.8362E-2</c:v>
                </c:pt>
                <c:pt idx="248">
                  <c:v>1.8356999999999998E-2</c:v>
                </c:pt>
                <c:pt idx="249">
                  <c:v>1.8308000000000001E-2</c:v>
                </c:pt>
                <c:pt idx="250">
                  <c:v>1.8311000000000001E-2</c:v>
                </c:pt>
                <c:pt idx="251">
                  <c:v>1.8296E-2</c:v>
                </c:pt>
                <c:pt idx="252">
                  <c:v>1.8297000000000001E-2</c:v>
                </c:pt>
                <c:pt idx="253">
                  <c:v>1.8286E-2</c:v>
                </c:pt>
                <c:pt idx="254">
                  <c:v>1.8325000000000001E-2</c:v>
                </c:pt>
                <c:pt idx="255">
                  <c:v>1.8312999999999999E-2</c:v>
                </c:pt>
                <c:pt idx="256">
                  <c:v>1.8253999999999999E-2</c:v>
                </c:pt>
                <c:pt idx="257">
                  <c:v>1.8259999999999998E-2</c:v>
                </c:pt>
                <c:pt idx="258">
                  <c:v>1.8304000000000001E-2</c:v>
                </c:pt>
                <c:pt idx="259">
                  <c:v>1.8343999999999999E-2</c:v>
                </c:pt>
                <c:pt idx="260">
                  <c:v>1.8436999999999999E-2</c:v>
                </c:pt>
                <c:pt idx="261">
                  <c:v>1.8523999999999999E-2</c:v>
                </c:pt>
                <c:pt idx="262">
                  <c:v>1.8436000000000001E-2</c:v>
                </c:pt>
                <c:pt idx="263">
                  <c:v>1.8433999999999999E-2</c:v>
                </c:pt>
                <c:pt idx="264">
                  <c:v>1.8429000000000001E-2</c:v>
                </c:pt>
                <c:pt idx="265">
                  <c:v>1.8338E-2</c:v>
                </c:pt>
                <c:pt idx="266">
                  <c:v>1.8241E-2</c:v>
                </c:pt>
                <c:pt idx="267">
                  <c:v>1.8183000000000001E-2</c:v>
                </c:pt>
                <c:pt idx="268">
                  <c:v>1.8265E-2</c:v>
                </c:pt>
                <c:pt idx="269">
                  <c:v>1.8308999999999999E-2</c:v>
                </c:pt>
                <c:pt idx="270">
                  <c:v>1.8404E-2</c:v>
                </c:pt>
                <c:pt idx="271">
                  <c:v>1.8350999999999999E-2</c:v>
                </c:pt>
                <c:pt idx="272">
                  <c:v>1.8405999999999999E-2</c:v>
                </c:pt>
                <c:pt idx="273">
                  <c:v>1.8474999999999998E-2</c:v>
                </c:pt>
                <c:pt idx="274">
                  <c:v>1.8452E-2</c:v>
                </c:pt>
                <c:pt idx="275">
                  <c:v>1.8549E-2</c:v>
                </c:pt>
                <c:pt idx="276">
                  <c:v>1.8643E-2</c:v>
                </c:pt>
                <c:pt idx="277">
                  <c:v>1.8711999999999999E-2</c:v>
                </c:pt>
                <c:pt idx="278">
                  <c:v>1.8738000000000001E-2</c:v>
                </c:pt>
                <c:pt idx="279">
                  <c:v>1.8770999999999999E-2</c:v>
                </c:pt>
                <c:pt idx="280">
                  <c:v>1.8770999999999999E-2</c:v>
                </c:pt>
                <c:pt idx="281">
                  <c:v>1.8839000000000002E-2</c:v>
                </c:pt>
                <c:pt idx="282">
                  <c:v>1.8912000000000002E-2</c:v>
                </c:pt>
                <c:pt idx="283">
                  <c:v>1.8950999999999999E-2</c:v>
                </c:pt>
                <c:pt idx="284">
                  <c:v>1.8950999999999999E-2</c:v>
                </c:pt>
                <c:pt idx="285">
                  <c:v>1.8890000000000001E-2</c:v>
                </c:pt>
                <c:pt idx="286">
                  <c:v>1.8887000000000001E-2</c:v>
                </c:pt>
                <c:pt idx="287">
                  <c:v>1.8877000000000001E-2</c:v>
                </c:pt>
                <c:pt idx="288">
                  <c:v>1.8815999999999999E-2</c:v>
                </c:pt>
                <c:pt idx="289">
                  <c:v>1.8870000000000001E-2</c:v>
                </c:pt>
                <c:pt idx="290">
                  <c:v>1.8785E-2</c:v>
                </c:pt>
                <c:pt idx="291">
                  <c:v>1.8853000000000002E-2</c:v>
                </c:pt>
                <c:pt idx="292">
                  <c:v>1.8831000000000001E-2</c:v>
                </c:pt>
                <c:pt idx="293">
                  <c:v>1.8783000000000001E-2</c:v>
                </c:pt>
                <c:pt idx="294">
                  <c:v>1.8839999999999999E-2</c:v>
                </c:pt>
                <c:pt idx="295">
                  <c:v>1.8908999999999999E-2</c:v>
                </c:pt>
                <c:pt idx="296">
                  <c:v>1.8837E-2</c:v>
                </c:pt>
                <c:pt idx="297">
                  <c:v>1.8822999999999999E-2</c:v>
                </c:pt>
                <c:pt idx="298">
                  <c:v>1.8752000000000001E-2</c:v>
                </c:pt>
                <c:pt idx="299">
                  <c:v>1.8756999999999999E-2</c:v>
                </c:pt>
                <c:pt idx="300">
                  <c:v>1.8721999999999999E-2</c:v>
                </c:pt>
                <c:pt idx="301">
                  <c:v>1.8627999999999999E-2</c:v>
                </c:pt>
                <c:pt idx="302">
                  <c:v>1.8598E-2</c:v>
                </c:pt>
                <c:pt idx="303">
                  <c:v>1.8602E-2</c:v>
                </c:pt>
                <c:pt idx="304">
                  <c:v>1.8630000000000001E-2</c:v>
                </c:pt>
                <c:pt idx="305">
                  <c:v>1.8658000000000001E-2</c:v>
                </c:pt>
                <c:pt idx="306">
                  <c:v>1.8645999999999999E-2</c:v>
                </c:pt>
                <c:pt idx="307">
                  <c:v>1.8745000000000001E-2</c:v>
                </c:pt>
                <c:pt idx="308">
                  <c:v>1.8818999999999999E-2</c:v>
                </c:pt>
                <c:pt idx="309">
                  <c:v>1.8844E-2</c:v>
                </c:pt>
                <c:pt idx="310">
                  <c:v>1.8793000000000001E-2</c:v>
                </c:pt>
                <c:pt idx="311">
                  <c:v>1.8811000000000001E-2</c:v>
                </c:pt>
                <c:pt idx="312">
                  <c:v>1.8832000000000002E-2</c:v>
                </c:pt>
                <c:pt idx="313">
                  <c:v>1.8862E-2</c:v>
                </c:pt>
                <c:pt idx="314">
                  <c:v>1.8773999999999999E-2</c:v>
                </c:pt>
                <c:pt idx="315">
                  <c:v>1.8855E-2</c:v>
                </c:pt>
                <c:pt idx="316">
                  <c:v>1.8912000000000002E-2</c:v>
                </c:pt>
                <c:pt idx="317">
                  <c:v>1.8887999999999999E-2</c:v>
                </c:pt>
                <c:pt idx="318">
                  <c:v>1.8950999999999999E-2</c:v>
                </c:pt>
                <c:pt idx="319">
                  <c:v>1.8987E-2</c:v>
                </c:pt>
                <c:pt idx="320">
                  <c:v>1.9002999999999999E-2</c:v>
                </c:pt>
                <c:pt idx="321">
                  <c:v>1.8911000000000001E-2</c:v>
                </c:pt>
                <c:pt idx="322">
                  <c:v>1.8825000000000001E-2</c:v>
                </c:pt>
                <c:pt idx="323">
                  <c:v>1.8773000000000001E-2</c:v>
                </c:pt>
                <c:pt idx="324">
                  <c:v>1.883E-2</c:v>
                </c:pt>
                <c:pt idx="325">
                  <c:v>1.8737E-2</c:v>
                </c:pt>
                <c:pt idx="326">
                  <c:v>1.8806E-2</c:v>
                </c:pt>
                <c:pt idx="327">
                  <c:v>1.8894000000000001E-2</c:v>
                </c:pt>
                <c:pt idx="328">
                  <c:v>1.8859999999999998E-2</c:v>
                </c:pt>
                <c:pt idx="329">
                  <c:v>1.8890000000000001E-2</c:v>
                </c:pt>
                <c:pt idx="330">
                  <c:v>1.8837E-2</c:v>
                </c:pt>
                <c:pt idx="331">
                  <c:v>1.8853000000000002E-2</c:v>
                </c:pt>
                <c:pt idx="332">
                  <c:v>1.8879E-2</c:v>
                </c:pt>
                <c:pt idx="333">
                  <c:v>1.8887999999999999E-2</c:v>
                </c:pt>
                <c:pt idx="334">
                  <c:v>1.8790000000000001E-2</c:v>
                </c:pt>
                <c:pt idx="335">
                  <c:v>1.8887000000000001E-2</c:v>
                </c:pt>
                <c:pt idx="336">
                  <c:v>1.8817E-2</c:v>
                </c:pt>
                <c:pt idx="337">
                  <c:v>1.8761E-2</c:v>
                </c:pt>
                <c:pt idx="338">
                  <c:v>1.8842000000000001E-2</c:v>
                </c:pt>
                <c:pt idx="339">
                  <c:v>1.8832999999999999E-2</c:v>
                </c:pt>
                <c:pt idx="340">
                  <c:v>1.8787999999999999E-2</c:v>
                </c:pt>
                <c:pt idx="341">
                  <c:v>1.8872E-2</c:v>
                </c:pt>
                <c:pt idx="342">
                  <c:v>1.8957999999999999E-2</c:v>
                </c:pt>
                <c:pt idx="343">
                  <c:v>1.9021E-2</c:v>
                </c:pt>
                <c:pt idx="344">
                  <c:v>1.9112000000000001E-2</c:v>
                </c:pt>
                <c:pt idx="345">
                  <c:v>1.908E-2</c:v>
                </c:pt>
                <c:pt idx="346">
                  <c:v>1.9168999999999999E-2</c:v>
                </c:pt>
                <c:pt idx="347">
                  <c:v>1.9178000000000001E-2</c:v>
                </c:pt>
                <c:pt idx="348">
                  <c:v>1.9212E-2</c:v>
                </c:pt>
                <c:pt idx="349">
                  <c:v>1.9213999999999998E-2</c:v>
                </c:pt>
                <c:pt idx="350">
                  <c:v>1.9262999999999999E-2</c:v>
                </c:pt>
                <c:pt idx="351">
                  <c:v>1.9352000000000001E-2</c:v>
                </c:pt>
                <c:pt idx="352">
                  <c:v>1.9443999999999999E-2</c:v>
                </c:pt>
                <c:pt idx="353">
                  <c:v>1.9392E-2</c:v>
                </c:pt>
                <c:pt idx="354">
                  <c:v>1.9310000000000001E-2</c:v>
                </c:pt>
                <c:pt idx="355">
                  <c:v>1.9290000000000002E-2</c:v>
                </c:pt>
                <c:pt idx="356">
                  <c:v>1.9310999999999998E-2</c:v>
                </c:pt>
                <c:pt idx="357">
                  <c:v>1.9324000000000001E-2</c:v>
                </c:pt>
                <c:pt idx="358">
                  <c:v>1.9411000000000001E-2</c:v>
                </c:pt>
                <c:pt idx="359">
                  <c:v>1.942E-2</c:v>
                </c:pt>
                <c:pt idx="360">
                  <c:v>1.9335999999999999E-2</c:v>
                </c:pt>
                <c:pt idx="361">
                  <c:v>1.9255000000000001E-2</c:v>
                </c:pt>
                <c:pt idx="362">
                  <c:v>1.9161000000000001E-2</c:v>
                </c:pt>
                <c:pt idx="363">
                  <c:v>1.9206999999999998E-2</c:v>
                </c:pt>
                <c:pt idx="364">
                  <c:v>1.9293000000000001E-2</c:v>
                </c:pt>
                <c:pt idx="365">
                  <c:v>1.9349999999999999E-2</c:v>
                </c:pt>
                <c:pt idx="366">
                  <c:v>1.9337E-2</c:v>
                </c:pt>
                <c:pt idx="367">
                  <c:v>1.932E-2</c:v>
                </c:pt>
                <c:pt idx="368">
                  <c:v>1.9261E-2</c:v>
                </c:pt>
                <c:pt idx="369">
                  <c:v>1.9283000000000002E-2</c:v>
                </c:pt>
                <c:pt idx="370">
                  <c:v>1.9334E-2</c:v>
                </c:pt>
                <c:pt idx="371">
                  <c:v>1.9321000000000001E-2</c:v>
                </c:pt>
                <c:pt idx="372">
                  <c:v>1.9289000000000001E-2</c:v>
                </c:pt>
                <c:pt idx="373">
                  <c:v>1.9275E-2</c:v>
                </c:pt>
                <c:pt idx="374">
                  <c:v>1.9345000000000001E-2</c:v>
                </c:pt>
                <c:pt idx="375">
                  <c:v>1.9255999999999999E-2</c:v>
                </c:pt>
                <c:pt idx="376">
                  <c:v>1.9200999999999999E-2</c:v>
                </c:pt>
                <c:pt idx="377">
                  <c:v>1.917E-2</c:v>
                </c:pt>
                <c:pt idx="378">
                  <c:v>1.9258000000000001E-2</c:v>
                </c:pt>
                <c:pt idx="379">
                  <c:v>1.9293999999999999E-2</c:v>
                </c:pt>
                <c:pt idx="380">
                  <c:v>1.9331000000000001E-2</c:v>
                </c:pt>
                <c:pt idx="381">
                  <c:v>1.9286000000000001E-2</c:v>
                </c:pt>
                <c:pt idx="382">
                  <c:v>1.9307000000000001E-2</c:v>
                </c:pt>
                <c:pt idx="383">
                  <c:v>1.9302E-2</c:v>
                </c:pt>
                <c:pt idx="384">
                  <c:v>1.924E-2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871-49FD-B33D-D374FE395580}"/>
            </c:ext>
          </c:extLst>
        </c:ser>
        <c:ser>
          <c:idx val="7"/>
          <c:order val="8"/>
          <c:tx>
            <c:strRef>
              <c:f>'idx data'!$K$2</c:f>
              <c:strCache>
                <c:ptCount val="1"/>
                <c:pt idx="0">
                  <c:v>7yrTr</c:v>
                </c:pt>
              </c:strCache>
            </c:strRef>
          </c:tx>
          <c:spPr>
            <a:ln w="28575" cap="rnd">
              <a:solidFill>
                <a:schemeClr val="accent5">
                  <a:tint val="8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'idx data'!$A$3:$A$387</c:f>
              <c:numCache>
                <c:formatCode>General</c:formatCode>
                <c:ptCount val="3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</c:numCache>
            </c:numRef>
          </c:cat>
          <c:val>
            <c:numRef>
              <c:f>'idx data'!$K$3:$K$387</c:f>
              <c:numCache>
                <c:formatCode>General</c:formatCode>
                <c:ptCount val="385"/>
                <c:pt idx="0">
                  <c:v>2.0199999999999999E-2</c:v>
                </c:pt>
                <c:pt idx="1">
                  <c:v>2.0249E-2</c:v>
                </c:pt>
                <c:pt idx="2">
                  <c:v>2.0267E-2</c:v>
                </c:pt>
                <c:pt idx="3">
                  <c:v>2.0204E-2</c:v>
                </c:pt>
                <c:pt idx="4">
                  <c:v>2.0108000000000001E-2</c:v>
                </c:pt>
                <c:pt idx="5">
                  <c:v>2.0164000000000001E-2</c:v>
                </c:pt>
                <c:pt idx="6">
                  <c:v>2.026E-2</c:v>
                </c:pt>
                <c:pt idx="7">
                  <c:v>2.0319E-2</c:v>
                </c:pt>
                <c:pt idx="8">
                  <c:v>2.0282999999999999E-2</c:v>
                </c:pt>
                <c:pt idx="9">
                  <c:v>2.0202000000000001E-2</c:v>
                </c:pt>
                <c:pt idx="10">
                  <c:v>2.0112000000000001E-2</c:v>
                </c:pt>
                <c:pt idx="11">
                  <c:v>2.0126000000000002E-2</c:v>
                </c:pt>
                <c:pt idx="12">
                  <c:v>2.0108999999999998E-2</c:v>
                </c:pt>
                <c:pt idx="13">
                  <c:v>2.0101000000000001E-2</c:v>
                </c:pt>
                <c:pt idx="14">
                  <c:v>2.0017E-2</c:v>
                </c:pt>
                <c:pt idx="15">
                  <c:v>2.0077000000000001E-2</c:v>
                </c:pt>
                <c:pt idx="16">
                  <c:v>2.0014000000000001E-2</c:v>
                </c:pt>
                <c:pt idx="17">
                  <c:v>1.9927E-2</c:v>
                </c:pt>
                <c:pt idx="18">
                  <c:v>1.9959999999999999E-2</c:v>
                </c:pt>
                <c:pt idx="19">
                  <c:v>1.9869000000000001E-2</c:v>
                </c:pt>
                <c:pt idx="20">
                  <c:v>1.9892E-2</c:v>
                </c:pt>
                <c:pt idx="21">
                  <c:v>1.9795E-2</c:v>
                </c:pt>
                <c:pt idx="22">
                  <c:v>1.9862000000000001E-2</c:v>
                </c:pt>
                <c:pt idx="23">
                  <c:v>1.9824999999999999E-2</c:v>
                </c:pt>
                <c:pt idx="24">
                  <c:v>1.9851000000000001E-2</c:v>
                </c:pt>
                <c:pt idx="25">
                  <c:v>1.9935999999999999E-2</c:v>
                </c:pt>
                <c:pt idx="26">
                  <c:v>2.0005999999999999E-2</c:v>
                </c:pt>
                <c:pt idx="27">
                  <c:v>1.9949999999999999E-2</c:v>
                </c:pt>
                <c:pt idx="28">
                  <c:v>1.9879000000000001E-2</c:v>
                </c:pt>
                <c:pt idx="29">
                  <c:v>1.9976000000000001E-2</c:v>
                </c:pt>
                <c:pt idx="30">
                  <c:v>2.0029000000000002E-2</c:v>
                </c:pt>
                <c:pt idx="31">
                  <c:v>2.0111E-2</c:v>
                </c:pt>
                <c:pt idx="32">
                  <c:v>2.0046999999999999E-2</c:v>
                </c:pt>
                <c:pt idx="33">
                  <c:v>2.0143000000000001E-2</c:v>
                </c:pt>
                <c:pt idx="34">
                  <c:v>2.0168999999999999E-2</c:v>
                </c:pt>
                <c:pt idx="35">
                  <c:v>2.0229E-2</c:v>
                </c:pt>
                <c:pt idx="36">
                  <c:v>2.0225E-2</c:v>
                </c:pt>
                <c:pt idx="37">
                  <c:v>2.0164000000000001E-2</c:v>
                </c:pt>
                <c:pt idx="38">
                  <c:v>2.0205000000000001E-2</c:v>
                </c:pt>
                <c:pt idx="39">
                  <c:v>2.0226000000000001E-2</c:v>
                </c:pt>
                <c:pt idx="40">
                  <c:v>2.0194E-2</c:v>
                </c:pt>
                <c:pt idx="41">
                  <c:v>2.0219000000000001E-2</c:v>
                </c:pt>
                <c:pt idx="42">
                  <c:v>2.0268000000000001E-2</c:v>
                </c:pt>
                <c:pt idx="43">
                  <c:v>2.0237999999999999E-2</c:v>
                </c:pt>
                <c:pt idx="44">
                  <c:v>2.0275999999999999E-2</c:v>
                </c:pt>
                <c:pt idx="45">
                  <c:v>2.0240999999999999E-2</c:v>
                </c:pt>
                <c:pt idx="46">
                  <c:v>2.0257000000000001E-2</c:v>
                </c:pt>
                <c:pt idx="47">
                  <c:v>2.0320000000000001E-2</c:v>
                </c:pt>
                <c:pt idx="48">
                  <c:v>2.0403999999999999E-2</c:v>
                </c:pt>
                <c:pt idx="49">
                  <c:v>2.0324999999999999E-2</c:v>
                </c:pt>
                <c:pt idx="50">
                  <c:v>2.0358999999999999E-2</c:v>
                </c:pt>
                <c:pt idx="51">
                  <c:v>2.0375000000000001E-2</c:v>
                </c:pt>
                <c:pt idx="52">
                  <c:v>2.0449999999999999E-2</c:v>
                </c:pt>
                <c:pt idx="53">
                  <c:v>2.0454E-2</c:v>
                </c:pt>
                <c:pt idx="54">
                  <c:v>2.0499E-2</c:v>
                </c:pt>
                <c:pt idx="55">
                  <c:v>2.0532000000000002E-2</c:v>
                </c:pt>
                <c:pt idx="56">
                  <c:v>2.0551E-2</c:v>
                </c:pt>
                <c:pt idx="57">
                  <c:v>2.0583000000000001E-2</c:v>
                </c:pt>
                <c:pt idx="58">
                  <c:v>2.0575E-2</c:v>
                </c:pt>
                <c:pt idx="59">
                  <c:v>2.0645E-2</c:v>
                </c:pt>
                <c:pt idx="60">
                  <c:v>2.0576000000000001E-2</c:v>
                </c:pt>
                <c:pt idx="61">
                  <c:v>2.0631E-2</c:v>
                </c:pt>
                <c:pt idx="62">
                  <c:v>2.0563000000000001E-2</c:v>
                </c:pt>
                <c:pt idx="63">
                  <c:v>2.0655E-2</c:v>
                </c:pt>
                <c:pt idx="64">
                  <c:v>2.0677999999999998E-2</c:v>
                </c:pt>
                <c:pt idx="65">
                  <c:v>2.0629000000000002E-2</c:v>
                </c:pt>
                <c:pt idx="66">
                  <c:v>2.0635000000000001E-2</c:v>
                </c:pt>
                <c:pt idx="67">
                  <c:v>2.0549000000000001E-2</c:v>
                </c:pt>
                <c:pt idx="68">
                  <c:v>2.0615000000000001E-2</c:v>
                </c:pt>
                <c:pt idx="69">
                  <c:v>2.0614E-2</c:v>
                </c:pt>
                <c:pt idx="70">
                  <c:v>2.0614E-2</c:v>
                </c:pt>
                <c:pt idx="71">
                  <c:v>2.0614E-2</c:v>
                </c:pt>
                <c:pt idx="72">
                  <c:v>2.0605999999999999E-2</c:v>
                </c:pt>
                <c:pt idx="73">
                  <c:v>2.0539999999999999E-2</c:v>
                </c:pt>
                <c:pt idx="74">
                  <c:v>2.0471E-2</c:v>
                </c:pt>
                <c:pt idx="75">
                  <c:v>2.0459000000000001E-2</c:v>
                </c:pt>
                <c:pt idx="76">
                  <c:v>2.0480999999999999E-2</c:v>
                </c:pt>
                <c:pt idx="77">
                  <c:v>2.0521000000000001E-2</c:v>
                </c:pt>
                <c:pt idx="78">
                  <c:v>2.0590000000000001E-2</c:v>
                </c:pt>
                <c:pt idx="79">
                  <c:v>2.0552000000000001E-2</c:v>
                </c:pt>
                <c:pt idx="80">
                  <c:v>2.0563999999999999E-2</c:v>
                </c:pt>
                <c:pt idx="81">
                  <c:v>2.0584000000000002E-2</c:v>
                </c:pt>
                <c:pt idx="82">
                  <c:v>2.0563000000000001E-2</c:v>
                </c:pt>
                <c:pt idx="83">
                  <c:v>2.0487999999999999E-2</c:v>
                </c:pt>
                <c:pt idx="84">
                  <c:v>2.0486000000000001E-2</c:v>
                </c:pt>
                <c:pt idx="85">
                  <c:v>2.0475E-2</c:v>
                </c:pt>
                <c:pt idx="86">
                  <c:v>2.0503E-2</c:v>
                </c:pt>
                <c:pt idx="87">
                  <c:v>2.0537E-2</c:v>
                </c:pt>
                <c:pt idx="88">
                  <c:v>2.0611999999999998E-2</c:v>
                </c:pt>
                <c:pt idx="89">
                  <c:v>2.052E-2</c:v>
                </c:pt>
                <c:pt idx="90">
                  <c:v>2.0421999999999999E-2</c:v>
                </c:pt>
                <c:pt idx="91">
                  <c:v>2.0324999999999999E-2</c:v>
                </c:pt>
                <c:pt idx="92">
                  <c:v>2.0407000000000002E-2</c:v>
                </c:pt>
                <c:pt idx="93">
                  <c:v>2.0454E-2</c:v>
                </c:pt>
                <c:pt idx="94">
                  <c:v>2.0459000000000001E-2</c:v>
                </c:pt>
                <c:pt idx="95">
                  <c:v>2.0553999999999999E-2</c:v>
                </c:pt>
                <c:pt idx="96">
                  <c:v>2.0582E-2</c:v>
                </c:pt>
                <c:pt idx="97">
                  <c:v>2.0497999999999999E-2</c:v>
                </c:pt>
                <c:pt idx="98">
                  <c:v>2.0421999999999999E-2</c:v>
                </c:pt>
                <c:pt idx="99">
                  <c:v>2.0383999999999999E-2</c:v>
                </c:pt>
                <c:pt idx="100">
                  <c:v>2.0344999999999999E-2</c:v>
                </c:pt>
                <c:pt idx="101">
                  <c:v>2.0247000000000001E-2</c:v>
                </c:pt>
                <c:pt idx="102">
                  <c:v>2.0157999999999999E-2</c:v>
                </c:pt>
                <c:pt idx="103">
                  <c:v>2.0094000000000001E-2</c:v>
                </c:pt>
                <c:pt idx="104">
                  <c:v>2.0095999999999999E-2</c:v>
                </c:pt>
                <c:pt idx="105">
                  <c:v>2.0133000000000002E-2</c:v>
                </c:pt>
                <c:pt idx="106">
                  <c:v>2.0046999999999999E-2</c:v>
                </c:pt>
                <c:pt idx="107">
                  <c:v>2.0039999999999999E-2</c:v>
                </c:pt>
                <c:pt idx="108">
                  <c:v>2.0084000000000001E-2</c:v>
                </c:pt>
                <c:pt idx="109">
                  <c:v>2.0031E-2</c:v>
                </c:pt>
                <c:pt idx="110">
                  <c:v>1.9970999999999999E-2</c:v>
                </c:pt>
                <c:pt idx="111">
                  <c:v>1.9996E-2</c:v>
                </c:pt>
                <c:pt idx="112">
                  <c:v>1.9948E-2</c:v>
                </c:pt>
                <c:pt idx="113">
                  <c:v>1.9952000000000001E-2</c:v>
                </c:pt>
                <c:pt idx="114">
                  <c:v>1.9861E-2</c:v>
                </c:pt>
                <c:pt idx="115">
                  <c:v>1.9800999999999999E-2</c:v>
                </c:pt>
                <c:pt idx="116">
                  <c:v>1.9768000000000001E-2</c:v>
                </c:pt>
                <c:pt idx="117">
                  <c:v>1.9854E-2</c:v>
                </c:pt>
                <c:pt idx="118">
                  <c:v>1.9828999999999999E-2</c:v>
                </c:pt>
                <c:pt idx="119">
                  <c:v>1.9765000000000001E-2</c:v>
                </c:pt>
                <c:pt idx="120">
                  <c:v>1.9758999999999999E-2</c:v>
                </c:pt>
                <c:pt idx="121">
                  <c:v>1.984E-2</c:v>
                </c:pt>
                <c:pt idx="122">
                  <c:v>1.9741999999999999E-2</c:v>
                </c:pt>
                <c:pt idx="123">
                  <c:v>1.9668000000000001E-2</c:v>
                </c:pt>
                <c:pt idx="124">
                  <c:v>1.9713999999999999E-2</c:v>
                </c:pt>
                <c:pt idx="125">
                  <c:v>1.9779000000000001E-2</c:v>
                </c:pt>
                <c:pt idx="126">
                  <c:v>1.9834000000000001E-2</c:v>
                </c:pt>
                <c:pt idx="127">
                  <c:v>1.9843E-2</c:v>
                </c:pt>
                <c:pt idx="128">
                  <c:v>1.9781E-2</c:v>
                </c:pt>
                <c:pt idx="129">
                  <c:v>1.9834000000000001E-2</c:v>
                </c:pt>
                <c:pt idx="130">
                  <c:v>1.9859999999999999E-2</c:v>
                </c:pt>
                <c:pt idx="131">
                  <c:v>1.9819E-2</c:v>
                </c:pt>
                <c:pt idx="132">
                  <c:v>1.9743E-2</c:v>
                </c:pt>
                <c:pt idx="133">
                  <c:v>1.9751000000000001E-2</c:v>
                </c:pt>
                <c:pt idx="134">
                  <c:v>1.9796999999999999E-2</c:v>
                </c:pt>
                <c:pt idx="135">
                  <c:v>1.9724999999999999E-2</c:v>
                </c:pt>
                <c:pt idx="136">
                  <c:v>1.9677E-2</c:v>
                </c:pt>
                <c:pt idx="137">
                  <c:v>1.9694E-2</c:v>
                </c:pt>
                <c:pt idx="138">
                  <c:v>1.9598999999999998E-2</c:v>
                </c:pt>
                <c:pt idx="139">
                  <c:v>1.9550000000000001E-2</c:v>
                </c:pt>
                <c:pt idx="140">
                  <c:v>1.9487000000000001E-2</c:v>
                </c:pt>
                <c:pt idx="141">
                  <c:v>1.9429999999999999E-2</c:v>
                </c:pt>
                <c:pt idx="142">
                  <c:v>1.9344E-2</c:v>
                </c:pt>
                <c:pt idx="143">
                  <c:v>1.9411000000000001E-2</c:v>
                </c:pt>
                <c:pt idx="144">
                  <c:v>1.9477999999999999E-2</c:v>
                </c:pt>
                <c:pt idx="145">
                  <c:v>1.9574999999999999E-2</c:v>
                </c:pt>
                <c:pt idx="146">
                  <c:v>1.9543000000000001E-2</c:v>
                </c:pt>
                <c:pt idx="147">
                  <c:v>1.9562E-2</c:v>
                </c:pt>
                <c:pt idx="148">
                  <c:v>1.9497E-2</c:v>
                </c:pt>
                <c:pt idx="149">
                  <c:v>1.9418000000000001E-2</c:v>
                </c:pt>
                <c:pt idx="150">
                  <c:v>1.9486E-2</c:v>
                </c:pt>
                <c:pt idx="151">
                  <c:v>1.9431E-2</c:v>
                </c:pt>
                <c:pt idx="152">
                  <c:v>1.9508000000000001E-2</c:v>
                </c:pt>
                <c:pt idx="153">
                  <c:v>1.9519999999999999E-2</c:v>
                </c:pt>
                <c:pt idx="154">
                  <c:v>1.95E-2</c:v>
                </c:pt>
                <c:pt idx="155">
                  <c:v>1.9472E-2</c:v>
                </c:pt>
                <c:pt idx="156">
                  <c:v>1.9417E-2</c:v>
                </c:pt>
                <c:pt idx="157">
                  <c:v>1.9503E-2</c:v>
                </c:pt>
                <c:pt idx="158">
                  <c:v>1.9451E-2</c:v>
                </c:pt>
                <c:pt idx="159">
                  <c:v>1.9368E-2</c:v>
                </c:pt>
                <c:pt idx="160">
                  <c:v>1.9424E-2</c:v>
                </c:pt>
                <c:pt idx="161">
                  <c:v>1.9479E-2</c:v>
                </c:pt>
                <c:pt idx="162">
                  <c:v>1.9503E-2</c:v>
                </c:pt>
                <c:pt idx="163">
                  <c:v>1.9408999999999999E-2</c:v>
                </c:pt>
                <c:pt idx="164">
                  <c:v>1.9487000000000001E-2</c:v>
                </c:pt>
                <c:pt idx="165">
                  <c:v>1.9439999999999999E-2</c:v>
                </c:pt>
                <c:pt idx="166">
                  <c:v>1.9525000000000001E-2</c:v>
                </c:pt>
                <c:pt idx="167">
                  <c:v>1.9480999999999998E-2</c:v>
                </c:pt>
                <c:pt idx="168">
                  <c:v>1.9574000000000001E-2</c:v>
                </c:pt>
                <c:pt idx="169">
                  <c:v>1.9567000000000001E-2</c:v>
                </c:pt>
                <c:pt idx="170">
                  <c:v>1.9587E-2</c:v>
                </c:pt>
                <c:pt idx="171">
                  <c:v>1.9615E-2</c:v>
                </c:pt>
                <c:pt idx="172">
                  <c:v>1.9581000000000001E-2</c:v>
                </c:pt>
                <c:pt idx="173">
                  <c:v>1.9639E-2</c:v>
                </c:pt>
                <c:pt idx="174">
                  <c:v>1.9649E-2</c:v>
                </c:pt>
                <c:pt idx="175">
                  <c:v>1.9747000000000001E-2</c:v>
                </c:pt>
                <c:pt idx="176">
                  <c:v>1.9748999999999999E-2</c:v>
                </c:pt>
                <c:pt idx="177">
                  <c:v>1.9747000000000001E-2</c:v>
                </c:pt>
                <c:pt idx="178">
                  <c:v>1.9671000000000001E-2</c:v>
                </c:pt>
                <c:pt idx="179">
                  <c:v>1.9621E-2</c:v>
                </c:pt>
                <c:pt idx="180">
                  <c:v>1.9692000000000001E-2</c:v>
                </c:pt>
                <c:pt idx="181">
                  <c:v>1.9764E-2</c:v>
                </c:pt>
                <c:pt idx="182">
                  <c:v>1.9699999999999999E-2</c:v>
                </c:pt>
                <c:pt idx="183">
                  <c:v>1.9785000000000001E-2</c:v>
                </c:pt>
                <c:pt idx="184">
                  <c:v>1.9782999999999999E-2</c:v>
                </c:pt>
                <c:pt idx="185">
                  <c:v>1.9689999999999999E-2</c:v>
                </c:pt>
                <c:pt idx="186">
                  <c:v>1.9713999999999999E-2</c:v>
                </c:pt>
                <c:pt idx="187">
                  <c:v>1.9694E-2</c:v>
                </c:pt>
                <c:pt idx="188">
                  <c:v>1.9668999999999999E-2</c:v>
                </c:pt>
                <c:pt idx="189">
                  <c:v>1.9734000000000002E-2</c:v>
                </c:pt>
                <c:pt idx="190">
                  <c:v>1.9809E-2</c:v>
                </c:pt>
                <c:pt idx="191">
                  <c:v>1.9717999999999999E-2</c:v>
                </c:pt>
                <c:pt idx="192">
                  <c:v>1.9761000000000001E-2</c:v>
                </c:pt>
                <c:pt idx="193">
                  <c:v>1.9706999999999999E-2</c:v>
                </c:pt>
                <c:pt idx="194">
                  <c:v>1.9715E-2</c:v>
                </c:pt>
                <c:pt idx="195">
                  <c:v>1.9740000000000001E-2</c:v>
                </c:pt>
                <c:pt idx="196">
                  <c:v>1.9803999999999999E-2</c:v>
                </c:pt>
                <c:pt idx="197">
                  <c:v>1.9771E-2</c:v>
                </c:pt>
                <c:pt idx="198">
                  <c:v>1.9796000000000001E-2</c:v>
                </c:pt>
                <c:pt idx="199">
                  <c:v>1.9795E-2</c:v>
                </c:pt>
                <c:pt idx="200">
                  <c:v>1.9758000000000001E-2</c:v>
                </c:pt>
                <c:pt idx="201">
                  <c:v>1.9785000000000001E-2</c:v>
                </c:pt>
                <c:pt idx="202">
                  <c:v>1.9861E-2</c:v>
                </c:pt>
                <c:pt idx="203">
                  <c:v>1.9792000000000001E-2</c:v>
                </c:pt>
                <c:pt idx="204">
                  <c:v>1.9705E-2</c:v>
                </c:pt>
                <c:pt idx="205">
                  <c:v>1.9664999999999998E-2</c:v>
                </c:pt>
                <c:pt idx="206">
                  <c:v>1.9623000000000002E-2</c:v>
                </c:pt>
                <c:pt idx="207">
                  <c:v>1.9598999999999998E-2</c:v>
                </c:pt>
                <c:pt idx="208">
                  <c:v>1.9549E-2</c:v>
                </c:pt>
                <c:pt idx="209">
                  <c:v>1.9570000000000001E-2</c:v>
                </c:pt>
                <c:pt idx="210">
                  <c:v>1.9493E-2</c:v>
                </c:pt>
                <c:pt idx="211">
                  <c:v>1.9515000000000001E-2</c:v>
                </c:pt>
                <c:pt idx="212">
                  <c:v>1.9418000000000001E-2</c:v>
                </c:pt>
                <c:pt idx="213">
                  <c:v>1.9517E-2</c:v>
                </c:pt>
                <c:pt idx="214">
                  <c:v>1.9465E-2</c:v>
                </c:pt>
                <c:pt idx="215">
                  <c:v>1.9535E-2</c:v>
                </c:pt>
                <c:pt idx="216">
                  <c:v>1.9567000000000001E-2</c:v>
                </c:pt>
                <c:pt idx="217">
                  <c:v>1.9644999999999999E-2</c:v>
                </c:pt>
                <c:pt idx="218">
                  <c:v>1.9595000000000001E-2</c:v>
                </c:pt>
                <c:pt idx="219">
                  <c:v>1.9598999999999998E-2</c:v>
                </c:pt>
                <c:pt idx="220">
                  <c:v>1.9598000000000001E-2</c:v>
                </c:pt>
                <c:pt idx="221">
                  <c:v>1.9630999999999999E-2</c:v>
                </c:pt>
                <c:pt idx="222">
                  <c:v>1.9723000000000001E-2</c:v>
                </c:pt>
                <c:pt idx="223">
                  <c:v>1.9678999999999999E-2</c:v>
                </c:pt>
                <c:pt idx="224">
                  <c:v>1.9706999999999999E-2</c:v>
                </c:pt>
                <c:pt idx="225">
                  <c:v>1.9628E-2</c:v>
                </c:pt>
                <c:pt idx="226">
                  <c:v>1.9609999999999999E-2</c:v>
                </c:pt>
                <c:pt idx="227">
                  <c:v>1.9542E-2</c:v>
                </c:pt>
                <c:pt idx="228">
                  <c:v>1.9498000000000001E-2</c:v>
                </c:pt>
                <c:pt idx="229">
                  <c:v>1.9401999999999999E-2</c:v>
                </c:pt>
                <c:pt idx="230">
                  <c:v>1.9453000000000002E-2</c:v>
                </c:pt>
                <c:pt idx="231">
                  <c:v>1.9446000000000001E-2</c:v>
                </c:pt>
                <c:pt idx="232">
                  <c:v>1.9498000000000001E-2</c:v>
                </c:pt>
                <c:pt idx="233">
                  <c:v>1.9431E-2</c:v>
                </c:pt>
                <c:pt idx="234">
                  <c:v>1.9452000000000001E-2</c:v>
                </c:pt>
                <c:pt idx="235">
                  <c:v>1.9451E-2</c:v>
                </c:pt>
                <c:pt idx="236">
                  <c:v>1.9361E-2</c:v>
                </c:pt>
                <c:pt idx="237">
                  <c:v>1.9421000000000001E-2</c:v>
                </c:pt>
                <c:pt idx="238">
                  <c:v>1.9519999999999999E-2</c:v>
                </c:pt>
                <c:pt idx="239">
                  <c:v>1.9585999999999999E-2</c:v>
                </c:pt>
                <c:pt idx="240">
                  <c:v>1.9640000000000001E-2</c:v>
                </c:pt>
                <c:pt idx="241">
                  <c:v>1.9651999999999999E-2</c:v>
                </c:pt>
                <c:pt idx="242">
                  <c:v>1.9608E-2</c:v>
                </c:pt>
                <c:pt idx="243">
                  <c:v>1.9546000000000001E-2</c:v>
                </c:pt>
                <c:pt idx="244">
                  <c:v>1.9646E-2</c:v>
                </c:pt>
                <c:pt idx="245">
                  <c:v>1.9654000000000001E-2</c:v>
                </c:pt>
                <c:pt idx="246">
                  <c:v>1.9594E-2</c:v>
                </c:pt>
                <c:pt idx="247">
                  <c:v>1.9522999999999999E-2</c:v>
                </c:pt>
                <c:pt idx="248">
                  <c:v>1.9521E-2</c:v>
                </c:pt>
                <c:pt idx="249">
                  <c:v>1.9552E-2</c:v>
                </c:pt>
                <c:pt idx="250">
                  <c:v>1.9522000000000001E-2</c:v>
                </c:pt>
                <c:pt idx="251">
                  <c:v>1.9619999999999999E-2</c:v>
                </c:pt>
                <c:pt idx="252">
                  <c:v>1.9635E-2</c:v>
                </c:pt>
                <c:pt idx="253">
                  <c:v>1.9730000000000001E-2</c:v>
                </c:pt>
                <c:pt idx="254">
                  <c:v>1.9654000000000001E-2</c:v>
                </c:pt>
                <c:pt idx="255">
                  <c:v>1.9724999999999999E-2</c:v>
                </c:pt>
                <c:pt idx="256">
                  <c:v>1.9649E-2</c:v>
                </c:pt>
                <c:pt idx="257">
                  <c:v>1.9730000000000001E-2</c:v>
                </c:pt>
                <c:pt idx="258">
                  <c:v>1.9719E-2</c:v>
                </c:pt>
                <c:pt idx="259">
                  <c:v>1.9762999999999999E-2</c:v>
                </c:pt>
                <c:pt idx="260">
                  <c:v>1.9817999999999999E-2</c:v>
                </c:pt>
                <c:pt idx="261">
                  <c:v>1.9824000000000001E-2</c:v>
                </c:pt>
                <c:pt idx="262">
                  <c:v>1.9885E-2</c:v>
                </c:pt>
                <c:pt idx="263">
                  <c:v>1.9907000000000001E-2</c:v>
                </c:pt>
                <c:pt idx="264">
                  <c:v>1.9857E-2</c:v>
                </c:pt>
                <c:pt idx="265">
                  <c:v>1.9910000000000001E-2</c:v>
                </c:pt>
                <c:pt idx="266">
                  <c:v>1.9883000000000001E-2</c:v>
                </c:pt>
                <c:pt idx="267">
                  <c:v>1.9958E-2</c:v>
                </c:pt>
                <c:pt idx="268">
                  <c:v>2.0056000000000001E-2</c:v>
                </c:pt>
                <c:pt idx="269">
                  <c:v>2.0118E-2</c:v>
                </c:pt>
                <c:pt idx="270">
                  <c:v>2.0181999999999999E-2</c:v>
                </c:pt>
                <c:pt idx="271">
                  <c:v>2.0229E-2</c:v>
                </c:pt>
                <c:pt idx="272">
                  <c:v>2.0150999999999999E-2</c:v>
                </c:pt>
                <c:pt idx="273">
                  <c:v>2.0086E-2</c:v>
                </c:pt>
                <c:pt idx="274">
                  <c:v>2.0083E-2</c:v>
                </c:pt>
                <c:pt idx="275">
                  <c:v>2.0091000000000001E-2</c:v>
                </c:pt>
                <c:pt idx="276">
                  <c:v>2.0004999999999998E-2</c:v>
                </c:pt>
                <c:pt idx="277">
                  <c:v>1.9949000000000001E-2</c:v>
                </c:pt>
                <c:pt idx="278">
                  <c:v>1.9913E-2</c:v>
                </c:pt>
                <c:pt idx="279">
                  <c:v>1.9990000000000001E-2</c:v>
                </c:pt>
                <c:pt idx="280">
                  <c:v>2.0034E-2</c:v>
                </c:pt>
                <c:pt idx="281">
                  <c:v>2.0034E-2</c:v>
                </c:pt>
                <c:pt idx="282">
                  <c:v>2.0060000000000001E-2</c:v>
                </c:pt>
                <c:pt idx="283">
                  <c:v>2.0060000000000001E-2</c:v>
                </c:pt>
                <c:pt idx="284">
                  <c:v>1.9972E-2</c:v>
                </c:pt>
                <c:pt idx="285">
                  <c:v>2.0056999999999998E-2</c:v>
                </c:pt>
                <c:pt idx="286">
                  <c:v>1.9959999999999999E-2</c:v>
                </c:pt>
                <c:pt idx="287">
                  <c:v>2.0032000000000001E-2</c:v>
                </c:pt>
                <c:pt idx="288">
                  <c:v>1.9959000000000001E-2</c:v>
                </c:pt>
                <c:pt idx="289">
                  <c:v>1.9918999999999999E-2</c:v>
                </c:pt>
                <c:pt idx="290">
                  <c:v>1.9973000000000001E-2</c:v>
                </c:pt>
                <c:pt idx="291">
                  <c:v>1.9942999999999999E-2</c:v>
                </c:pt>
                <c:pt idx="292">
                  <c:v>1.9990000000000001E-2</c:v>
                </c:pt>
                <c:pt idx="293">
                  <c:v>2.0029999999999999E-2</c:v>
                </c:pt>
                <c:pt idx="294">
                  <c:v>1.9931999999999998E-2</c:v>
                </c:pt>
                <c:pt idx="295">
                  <c:v>1.9987000000000001E-2</c:v>
                </c:pt>
                <c:pt idx="296">
                  <c:v>2.001E-2</c:v>
                </c:pt>
                <c:pt idx="297">
                  <c:v>1.9954E-2</c:v>
                </c:pt>
                <c:pt idx="298">
                  <c:v>1.9893999999999998E-2</c:v>
                </c:pt>
                <c:pt idx="299">
                  <c:v>1.9918000000000002E-2</c:v>
                </c:pt>
                <c:pt idx="300">
                  <c:v>1.9848999999999999E-2</c:v>
                </c:pt>
                <c:pt idx="301">
                  <c:v>1.9755000000000002E-2</c:v>
                </c:pt>
                <c:pt idx="302">
                  <c:v>1.9743E-2</c:v>
                </c:pt>
                <c:pt idx="303">
                  <c:v>1.9823E-2</c:v>
                </c:pt>
                <c:pt idx="304">
                  <c:v>1.9857E-2</c:v>
                </c:pt>
                <c:pt idx="305">
                  <c:v>1.9952999999999999E-2</c:v>
                </c:pt>
                <c:pt idx="306">
                  <c:v>2.0001999999999999E-2</c:v>
                </c:pt>
                <c:pt idx="307">
                  <c:v>2.009E-2</c:v>
                </c:pt>
                <c:pt idx="308">
                  <c:v>2.0174000000000001E-2</c:v>
                </c:pt>
                <c:pt idx="309">
                  <c:v>2.0129000000000001E-2</c:v>
                </c:pt>
                <c:pt idx="310">
                  <c:v>2.0208E-2</c:v>
                </c:pt>
                <c:pt idx="311">
                  <c:v>2.0249E-2</c:v>
                </c:pt>
                <c:pt idx="312">
                  <c:v>2.0226000000000001E-2</c:v>
                </c:pt>
                <c:pt idx="313">
                  <c:v>2.0254000000000001E-2</c:v>
                </c:pt>
                <c:pt idx="314">
                  <c:v>2.0347000000000001E-2</c:v>
                </c:pt>
                <c:pt idx="315">
                  <c:v>2.0403000000000001E-2</c:v>
                </c:pt>
                <c:pt idx="316">
                  <c:v>2.0407000000000002E-2</c:v>
                </c:pt>
                <c:pt idx="317">
                  <c:v>2.0448999999999998E-2</c:v>
                </c:pt>
                <c:pt idx="318">
                  <c:v>2.0544E-2</c:v>
                </c:pt>
                <c:pt idx="319">
                  <c:v>2.0507000000000001E-2</c:v>
                </c:pt>
                <c:pt idx="320">
                  <c:v>2.0424999999999999E-2</c:v>
                </c:pt>
                <c:pt idx="321">
                  <c:v>2.0437E-2</c:v>
                </c:pt>
                <c:pt idx="322">
                  <c:v>2.0393999999999999E-2</c:v>
                </c:pt>
                <c:pt idx="323">
                  <c:v>2.0390999999999999E-2</c:v>
                </c:pt>
                <c:pt idx="324">
                  <c:v>2.0478E-2</c:v>
                </c:pt>
                <c:pt idx="325">
                  <c:v>2.0486999999999998E-2</c:v>
                </c:pt>
                <c:pt idx="326">
                  <c:v>2.0518999999999999E-2</c:v>
                </c:pt>
                <c:pt idx="327">
                  <c:v>2.0542999999999999E-2</c:v>
                </c:pt>
                <c:pt idx="328">
                  <c:v>2.0552000000000001E-2</c:v>
                </c:pt>
                <c:pt idx="329">
                  <c:v>2.0645E-2</c:v>
                </c:pt>
                <c:pt idx="330">
                  <c:v>2.0643000000000002E-2</c:v>
                </c:pt>
                <c:pt idx="331">
                  <c:v>2.0618000000000001E-2</c:v>
                </c:pt>
                <c:pt idx="332">
                  <c:v>2.0556999999999999E-2</c:v>
                </c:pt>
                <c:pt idx="333">
                  <c:v>2.0511000000000001E-2</c:v>
                </c:pt>
                <c:pt idx="334">
                  <c:v>2.053E-2</c:v>
                </c:pt>
                <c:pt idx="335">
                  <c:v>2.0504999999999999E-2</c:v>
                </c:pt>
                <c:pt idx="336">
                  <c:v>2.0532000000000002E-2</c:v>
                </c:pt>
                <c:pt idx="337">
                  <c:v>2.0469999999999999E-2</c:v>
                </c:pt>
                <c:pt idx="338">
                  <c:v>2.0468E-2</c:v>
                </c:pt>
                <c:pt idx="339">
                  <c:v>2.0487999999999999E-2</c:v>
                </c:pt>
                <c:pt idx="340">
                  <c:v>2.0566999999999998E-2</c:v>
                </c:pt>
                <c:pt idx="341">
                  <c:v>2.0480000000000002E-2</c:v>
                </c:pt>
                <c:pt idx="342">
                  <c:v>2.0507999999999998E-2</c:v>
                </c:pt>
                <c:pt idx="343">
                  <c:v>2.0605999999999999E-2</c:v>
                </c:pt>
                <c:pt idx="344">
                  <c:v>2.0535999999999999E-2</c:v>
                </c:pt>
                <c:pt idx="345">
                  <c:v>2.0611999999999998E-2</c:v>
                </c:pt>
                <c:pt idx="346">
                  <c:v>2.0523E-2</c:v>
                </c:pt>
                <c:pt idx="347">
                  <c:v>2.0527E-2</c:v>
                </c:pt>
                <c:pt idx="348">
                  <c:v>2.0445000000000001E-2</c:v>
                </c:pt>
                <c:pt idx="349">
                  <c:v>2.0521999999999999E-2</c:v>
                </c:pt>
                <c:pt idx="350">
                  <c:v>2.0487999999999999E-2</c:v>
                </c:pt>
                <c:pt idx="351">
                  <c:v>2.051E-2</c:v>
                </c:pt>
                <c:pt idx="352">
                  <c:v>2.0486999999999998E-2</c:v>
                </c:pt>
                <c:pt idx="353">
                  <c:v>2.0577000000000002E-2</c:v>
                </c:pt>
                <c:pt idx="354">
                  <c:v>2.0617E-2</c:v>
                </c:pt>
                <c:pt idx="355">
                  <c:v>2.0598000000000002E-2</c:v>
                </c:pt>
                <c:pt idx="356">
                  <c:v>2.0666E-2</c:v>
                </c:pt>
                <c:pt idx="357">
                  <c:v>2.0729000000000001E-2</c:v>
                </c:pt>
                <c:pt idx="358">
                  <c:v>2.0756E-2</c:v>
                </c:pt>
                <c:pt idx="359">
                  <c:v>2.0705999999999999E-2</c:v>
                </c:pt>
                <c:pt idx="360">
                  <c:v>2.07E-2</c:v>
                </c:pt>
                <c:pt idx="361">
                  <c:v>2.0752E-2</c:v>
                </c:pt>
                <c:pt idx="362">
                  <c:v>2.0781000000000001E-2</c:v>
                </c:pt>
                <c:pt idx="363">
                  <c:v>2.0851000000000001E-2</c:v>
                </c:pt>
                <c:pt idx="364">
                  <c:v>2.0944000000000001E-2</c:v>
                </c:pt>
                <c:pt idx="365">
                  <c:v>2.0931999999999999E-2</c:v>
                </c:pt>
                <c:pt idx="366">
                  <c:v>2.1026E-2</c:v>
                </c:pt>
                <c:pt idx="367">
                  <c:v>2.1042999999999999E-2</c:v>
                </c:pt>
                <c:pt idx="368">
                  <c:v>2.1101999999999999E-2</c:v>
                </c:pt>
                <c:pt idx="369">
                  <c:v>2.1094999999999999E-2</c:v>
                </c:pt>
                <c:pt idx="370">
                  <c:v>2.0999E-2</c:v>
                </c:pt>
                <c:pt idx="371">
                  <c:v>2.1003999999999998E-2</c:v>
                </c:pt>
                <c:pt idx="372">
                  <c:v>2.1014999999999999E-2</c:v>
                </c:pt>
                <c:pt idx="373">
                  <c:v>2.0965000000000001E-2</c:v>
                </c:pt>
                <c:pt idx="374">
                  <c:v>2.0882999999999999E-2</c:v>
                </c:pt>
                <c:pt idx="375">
                  <c:v>2.0863E-2</c:v>
                </c:pt>
                <c:pt idx="376">
                  <c:v>2.0919E-2</c:v>
                </c:pt>
                <c:pt idx="377">
                  <c:v>2.0989000000000001E-2</c:v>
                </c:pt>
                <c:pt idx="378">
                  <c:v>2.0955000000000001E-2</c:v>
                </c:pt>
                <c:pt idx="379">
                  <c:v>2.0959999999999999E-2</c:v>
                </c:pt>
                <c:pt idx="380">
                  <c:v>2.0913000000000001E-2</c:v>
                </c:pt>
                <c:pt idx="381">
                  <c:v>2.0830999999999999E-2</c:v>
                </c:pt>
                <c:pt idx="382">
                  <c:v>2.0767999999999998E-2</c:v>
                </c:pt>
                <c:pt idx="383">
                  <c:v>2.0676E-2</c:v>
                </c:pt>
                <c:pt idx="384">
                  <c:v>2.0634E-2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871-49FD-B33D-D374FE395580}"/>
            </c:ext>
          </c:extLst>
        </c:ser>
        <c:ser>
          <c:idx val="8"/>
          <c:order val="9"/>
          <c:tx>
            <c:strRef>
              <c:f>'idx data'!$L$2</c:f>
              <c:strCache>
                <c:ptCount val="1"/>
                <c:pt idx="0">
                  <c:v>10yrTr</c:v>
                </c:pt>
              </c:strCache>
            </c:strRef>
          </c:tx>
          <c:spPr>
            <a:ln w="28575" cap="rnd">
              <a:solidFill>
                <a:schemeClr val="accent5">
                  <a:tint val="9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'idx data'!$A$3:$A$387</c:f>
              <c:numCache>
                <c:formatCode>General</c:formatCode>
                <c:ptCount val="3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</c:numCache>
            </c:numRef>
          </c:cat>
          <c:val>
            <c:numRef>
              <c:f>'idx data'!$L$3:$L$387</c:f>
              <c:numCache>
                <c:formatCode>General</c:formatCode>
                <c:ptCount val="385"/>
                <c:pt idx="0">
                  <c:v>2.2099999999999998E-2</c:v>
                </c:pt>
                <c:pt idx="1">
                  <c:v>2.2020000000000001E-2</c:v>
                </c:pt>
                <c:pt idx="2">
                  <c:v>2.2067E-2</c:v>
                </c:pt>
                <c:pt idx="3">
                  <c:v>2.2148999999999999E-2</c:v>
                </c:pt>
                <c:pt idx="4">
                  <c:v>2.2106000000000001E-2</c:v>
                </c:pt>
                <c:pt idx="5">
                  <c:v>2.2152999999999999E-2</c:v>
                </c:pt>
                <c:pt idx="6">
                  <c:v>2.2200000000000001E-2</c:v>
                </c:pt>
                <c:pt idx="7">
                  <c:v>2.2165000000000001E-2</c:v>
                </c:pt>
                <c:pt idx="8">
                  <c:v>2.2155000000000001E-2</c:v>
                </c:pt>
                <c:pt idx="9">
                  <c:v>2.2069999999999999E-2</c:v>
                </c:pt>
                <c:pt idx="10">
                  <c:v>2.2024999999999999E-2</c:v>
                </c:pt>
                <c:pt idx="11">
                  <c:v>2.1937999999999999E-2</c:v>
                </c:pt>
                <c:pt idx="12">
                  <c:v>2.198E-2</c:v>
                </c:pt>
                <c:pt idx="13">
                  <c:v>2.2032E-2</c:v>
                </c:pt>
                <c:pt idx="14">
                  <c:v>2.2062999999999999E-2</c:v>
                </c:pt>
                <c:pt idx="15">
                  <c:v>2.2138000000000001E-2</c:v>
                </c:pt>
                <c:pt idx="16">
                  <c:v>2.2165000000000001E-2</c:v>
                </c:pt>
                <c:pt idx="17">
                  <c:v>2.2249000000000001E-2</c:v>
                </c:pt>
                <c:pt idx="18">
                  <c:v>2.2216E-2</c:v>
                </c:pt>
                <c:pt idx="19">
                  <c:v>2.2307E-2</c:v>
                </c:pt>
                <c:pt idx="20">
                  <c:v>2.2353000000000001E-2</c:v>
                </c:pt>
                <c:pt idx="21">
                  <c:v>2.2391999999999999E-2</c:v>
                </c:pt>
                <c:pt idx="22">
                  <c:v>2.2450999999999999E-2</c:v>
                </c:pt>
                <c:pt idx="23">
                  <c:v>2.2450999999999999E-2</c:v>
                </c:pt>
                <c:pt idx="24">
                  <c:v>2.2447000000000002E-2</c:v>
                </c:pt>
                <c:pt idx="25">
                  <c:v>2.2362E-2</c:v>
                </c:pt>
                <c:pt idx="26">
                  <c:v>2.2314000000000001E-2</c:v>
                </c:pt>
                <c:pt idx="27">
                  <c:v>2.2393E-2</c:v>
                </c:pt>
                <c:pt idx="28">
                  <c:v>2.2387000000000001E-2</c:v>
                </c:pt>
                <c:pt idx="29">
                  <c:v>2.2481000000000001E-2</c:v>
                </c:pt>
                <c:pt idx="30">
                  <c:v>2.2526999999999998E-2</c:v>
                </c:pt>
                <c:pt idx="31">
                  <c:v>2.2475999999999999E-2</c:v>
                </c:pt>
                <c:pt idx="32">
                  <c:v>2.2446000000000001E-2</c:v>
                </c:pt>
                <c:pt idx="33">
                  <c:v>2.2527999999999999E-2</c:v>
                </c:pt>
                <c:pt idx="34">
                  <c:v>2.2457999999999999E-2</c:v>
                </c:pt>
                <c:pt idx="35">
                  <c:v>2.2408999999999998E-2</c:v>
                </c:pt>
                <c:pt idx="36">
                  <c:v>2.2488000000000001E-2</c:v>
                </c:pt>
                <c:pt idx="37">
                  <c:v>2.248E-2</c:v>
                </c:pt>
                <c:pt idx="38">
                  <c:v>2.2467000000000001E-2</c:v>
                </c:pt>
                <c:pt idx="39">
                  <c:v>2.2523000000000001E-2</c:v>
                </c:pt>
                <c:pt idx="40">
                  <c:v>2.2501E-2</c:v>
                </c:pt>
                <c:pt idx="41">
                  <c:v>2.2533000000000001E-2</c:v>
                </c:pt>
                <c:pt idx="42">
                  <c:v>2.2557000000000001E-2</c:v>
                </c:pt>
                <c:pt idx="43">
                  <c:v>2.2481999999999999E-2</c:v>
                </c:pt>
                <c:pt idx="44">
                  <c:v>2.2412000000000001E-2</c:v>
                </c:pt>
                <c:pt idx="45">
                  <c:v>2.2384000000000001E-2</c:v>
                </c:pt>
                <c:pt idx="46">
                  <c:v>2.2348E-2</c:v>
                </c:pt>
                <c:pt idx="47">
                  <c:v>2.2381999999999999E-2</c:v>
                </c:pt>
                <c:pt idx="48">
                  <c:v>2.2395000000000002E-2</c:v>
                </c:pt>
                <c:pt idx="49">
                  <c:v>2.2348E-2</c:v>
                </c:pt>
                <c:pt idx="50">
                  <c:v>2.2449E-2</c:v>
                </c:pt>
                <c:pt idx="51">
                  <c:v>2.2380000000000001E-2</c:v>
                </c:pt>
                <c:pt idx="52">
                  <c:v>2.2415999999999998E-2</c:v>
                </c:pt>
                <c:pt idx="53">
                  <c:v>2.2363999999999998E-2</c:v>
                </c:pt>
                <c:pt idx="54">
                  <c:v>2.2321000000000001E-2</c:v>
                </c:pt>
                <c:pt idx="55">
                  <c:v>2.2331E-2</c:v>
                </c:pt>
                <c:pt idx="56">
                  <c:v>2.2232999999999999E-2</c:v>
                </c:pt>
                <c:pt idx="57">
                  <c:v>2.2141000000000001E-2</c:v>
                </c:pt>
                <c:pt idx="58">
                  <c:v>2.2044000000000001E-2</c:v>
                </c:pt>
                <c:pt idx="59">
                  <c:v>2.1999999999999999E-2</c:v>
                </c:pt>
                <c:pt idx="60">
                  <c:v>2.206E-2</c:v>
                </c:pt>
                <c:pt idx="61">
                  <c:v>2.1994E-2</c:v>
                </c:pt>
                <c:pt idx="62">
                  <c:v>2.1984E-2</c:v>
                </c:pt>
                <c:pt idx="63">
                  <c:v>2.1998E-2</c:v>
                </c:pt>
                <c:pt idx="64">
                  <c:v>2.2027000000000001E-2</c:v>
                </c:pt>
                <c:pt idx="65">
                  <c:v>2.2106000000000001E-2</c:v>
                </c:pt>
                <c:pt idx="66">
                  <c:v>2.2008E-2</c:v>
                </c:pt>
                <c:pt idx="67">
                  <c:v>2.1968999999999999E-2</c:v>
                </c:pt>
                <c:pt idx="68">
                  <c:v>2.2016000000000001E-2</c:v>
                </c:pt>
                <c:pt idx="69">
                  <c:v>2.1951999999999999E-2</c:v>
                </c:pt>
                <c:pt idx="70">
                  <c:v>2.1964000000000001E-2</c:v>
                </c:pt>
                <c:pt idx="71">
                  <c:v>2.2051000000000001E-2</c:v>
                </c:pt>
                <c:pt idx="72">
                  <c:v>2.2030999999999999E-2</c:v>
                </c:pt>
                <c:pt idx="73">
                  <c:v>2.2017999999999999E-2</c:v>
                </c:pt>
                <c:pt idx="74">
                  <c:v>2.1922000000000001E-2</c:v>
                </c:pt>
                <c:pt idx="75">
                  <c:v>2.1887E-2</c:v>
                </c:pt>
                <c:pt idx="76">
                  <c:v>2.1805000000000001E-2</c:v>
                </c:pt>
                <c:pt idx="77">
                  <c:v>2.1770000000000001E-2</c:v>
                </c:pt>
                <c:pt idx="78">
                  <c:v>2.1815999999999999E-2</c:v>
                </c:pt>
                <c:pt idx="79">
                  <c:v>2.1735999999999998E-2</c:v>
                </c:pt>
                <c:pt idx="80">
                  <c:v>2.1722999999999999E-2</c:v>
                </c:pt>
                <c:pt idx="81">
                  <c:v>2.1812999999999999E-2</c:v>
                </c:pt>
                <c:pt idx="82">
                  <c:v>2.1765E-2</c:v>
                </c:pt>
                <c:pt idx="83">
                  <c:v>2.1666000000000001E-2</c:v>
                </c:pt>
                <c:pt idx="84">
                  <c:v>2.1652999999999999E-2</c:v>
                </c:pt>
                <c:pt idx="85">
                  <c:v>2.1722999999999999E-2</c:v>
                </c:pt>
                <c:pt idx="86">
                  <c:v>2.1746000000000001E-2</c:v>
                </c:pt>
                <c:pt idx="87">
                  <c:v>2.1649999999999999E-2</c:v>
                </c:pt>
                <c:pt idx="88">
                  <c:v>2.1558000000000001E-2</c:v>
                </c:pt>
                <c:pt idx="89">
                  <c:v>2.162E-2</c:v>
                </c:pt>
                <c:pt idx="90">
                  <c:v>2.1586999999999999E-2</c:v>
                </c:pt>
                <c:pt idx="91">
                  <c:v>2.1663000000000002E-2</c:v>
                </c:pt>
                <c:pt idx="92">
                  <c:v>2.1731E-2</c:v>
                </c:pt>
                <c:pt idx="93">
                  <c:v>2.1734E-2</c:v>
                </c:pt>
                <c:pt idx="94">
                  <c:v>2.1787000000000001E-2</c:v>
                </c:pt>
                <c:pt idx="95">
                  <c:v>2.1860999999999998E-2</c:v>
                </c:pt>
                <c:pt idx="96">
                  <c:v>2.1828E-2</c:v>
                </c:pt>
                <c:pt idx="97">
                  <c:v>2.1832000000000001E-2</c:v>
                </c:pt>
                <c:pt idx="98">
                  <c:v>2.1906999999999999E-2</c:v>
                </c:pt>
                <c:pt idx="99">
                  <c:v>2.1992999999999999E-2</c:v>
                </c:pt>
                <c:pt idx="100">
                  <c:v>2.1967E-2</c:v>
                </c:pt>
                <c:pt idx="101">
                  <c:v>2.1930999999999999E-2</c:v>
                </c:pt>
                <c:pt idx="102">
                  <c:v>2.2010999999999999E-2</c:v>
                </c:pt>
                <c:pt idx="103">
                  <c:v>2.2016000000000001E-2</c:v>
                </c:pt>
                <c:pt idx="104">
                  <c:v>2.2041999999999999E-2</c:v>
                </c:pt>
                <c:pt idx="105">
                  <c:v>2.2051999999999999E-2</c:v>
                </c:pt>
                <c:pt idx="106">
                  <c:v>2.1978000000000001E-2</c:v>
                </c:pt>
                <c:pt idx="107">
                  <c:v>2.1963E-2</c:v>
                </c:pt>
                <c:pt idx="108">
                  <c:v>2.1866E-2</c:v>
                </c:pt>
                <c:pt idx="109">
                  <c:v>2.1954999999999999E-2</c:v>
                </c:pt>
                <c:pt idx="110">
                  <c:v>2.2009000000000001E-2</c:v>
                </c:pt>
                <c:pt idx="111">
                  <c:v>2.1923999999999999E-2</c:v>
                </c:pt>
                <c:pt idx="112">
                  <c:v>2.1871000000000002E-2</c:v>
                </c:pt>
                <c:pt idx="113">
                  <c:v>2.1864000000000001E-2</c:v>
                </c:pt>
                <c:pt idx="114">
                  <c:v>2.1805000000000001E-2</c:v>
                </c:pt>
                <c:pt idx="115">
                  <c:v>2.1783E-2</c:v>
                </c:pt>
                <c:pt idx="116">
                  <c:v>2.1860000000000001E-2</c:v>
                </c:pt>
                <c:pt idx="117">
                  <c:v>2.1772E-2</c:v>
                </c:pt>
                <c:pt idx="118">
                  <c:v>2.1867000000000001E-2</c:v>
                </c:pt>
                <c:pt idx="119">
                  <c:v>2.1804E-2</c:v>
                </c:pt>
                <c:pt idx="120">
                  <c:v>2.1863E-2</c:v>
                </c:pt>
                <c:pt idx="121">
                  <c:v>2.1821E-2</c:v>
                </c:pt>
                <c:pt idx="122">
                  <c:v>2.1874999999999999E-2</c:v>
                </c:pt>
                <c:pt idx="123">
                  <c:v>2.1850000000000001E-2</c:v>
                </c:pt>
                <c:pt idx="124">
                  <c:v>2.1791000000000001E-2</c:v>
                </c:pt>
                <c:pt idx="125">
                  <c:v>2.1824E-2</c:v>
                </c:pt>
                <c:pt idx="126">
                  <c:v>2.1807E-2</c:v>
                </c:pt>
                <c:pt idx="127">
                  <c:v>2.1898999999999998E-2</c:v>
                </c:pt>
                <c:pt idx="128">
                  <c:v>2.1822999999999999E-2</c:v>
                </c:pt>
                <c:pt idx="129">
                  <c:v>2.1857999999999999E-2</c:v>
                </c:pt>
                <c:pt idx="130">
                  <c:v>2.1857999999999999E-2</c:v>
                </c:pt>
                <c:pt idx="131">
                  <c:v>2.1821E-2</c:v>
                </c:pt>
                <c:pt idx="132">
                  <c:v>2.1854999999999999E-2</c:v>
                </c:pt>
                <c:pt idx="133">
                  <c:v>2.1859E-2</c:v>
                </c:pt>
                <c:pt idx="134">
                  <c:v>2.1822000000000001E-2</c:v>
                </c:pt>
                <c:pt idx="135">
                  <c:v>2.1752000000000001E-2</c:v>
                </c:pt>
                <c:pt idx="136">
                  <c:v>2.1669000000000001E-2</c:v>
                </c:pt>
                <c:pt idx="137">
                  <c:v>2.1669999999999998E-2</c:v>
                </c:pt>
                <c:pt idx="138">
                  <c:v>2.1739000000000001E-2</c:v>
                </c:pt>
                <c:pt idx="139">
                  <c:v>2.1756000000000001E-2</c:v>
                </c:pt>
                <c:pt idx="140">
                  <c:v>2.1777999999999999E-2</c:v>
                </c:pt>
                <c:pt idx="141">
                  <c:v>2.171E-2</c:v>
                </c:pt>
                <c:pt idx="142">
                  <c:v>2.1717E-2</c:v>
                </c:pt>
                <c:pt idx="143">
                  <c:v>2.1654E-2</c:v>
                </c:pt>
                <c:pt idx="144">
                  <c:v>2.1701999999999999E-2</c:v>
                </c:pt>
                <c:pt idx="145">
                  <c:v>2.162E-2</c:v>
                </c:pt>
                <c:pt idx="146">
                  <c:v>2.1708000000000002E-2</c:v>
                </c:pt>
                <c:pt idx="147">
                  <c:v>2.1628999999999999E-2</c:v>
                </c:pt>
                <c:pt idx="148">
                  <c:v>2.1672E-2</c:v>
                </c:pt>
                <c:pt idx="149">
                  <c:v>2.1576999999999999E-2</c:v>
                </c:pt>
                <c:pt idx="150">
                  <c:v>2.1666000000000001E-2</c:v>
                </c:pt>
                <c:pt idx="151">
                  <c:v>2.1590000000000002E-2</c:v>
                </c:pt>
                <c:pt idx="152">
                  <c:v>2.1662000000000001E-2</c:v>
                </c:pt>
                <c:pt idx="153">
                  <c:v>2.1635000000000001E-2</c:v>
                </c:pt>
                <c:pt idx="154">
                  <c:v>2.1652999999999999E-2</c:v>
                </c:pt>
                <c:pt idx="155">
                  <c:v>2.1579000000000001E-2</c:v>
                </c:pt>
                <c:pt idx="156">
                  <c:v>2.1526E-2</c:v>
                </c:pt>
                <c:pt idx="157">
                  <c:v>2.1579999999999998E-2</c:v>
                </c:pt>
                <c:pt idx="158">
                  <c:v>2.1562999999999999E-2</c:v>
                </c:pt>
                <c:pt idx="159">
                  <c:v>2.1482000000000001E-2</c:v>
                </c:pt>
                <c:pt idx="160">
                  <c:v>2.1399999999999999E-2</c:v>
                </c:pt>
                <c:pt idx="161">
                  <c:v>2.1471000000000001E-2</c:v>
                </c:pt>
                <c:pt idx="162">
                  <c:v>2.1562999999999999E-2</c:v>
                </c:pt>
                <c:pt idx="163">
                  <c:v>2.1505E-2</c:v>
                </c:pt>
                <c:pt idx="164">
                  <c:v>2.1481E-2</c:v>
                </c:pt>
                <c:pt idx="165">
                  <c:v>2.1479999999999999E-2</c:v>
                </c:pt>
                <c:pt idx="166">
                  <c:v>2.1575E-2</c:v>
                </c:pt>
                <c:pt idx="167">
                  <c:v>2.1477E-2</c:v>
                </c:pt>
                <c:pt idx="168">
                  <c:v>2.1455999999999999E-2</c:v>
                </c:pt>
                <c:pt idx="169">
                  <c:v>2.1394E-2</c:v>
                </c:pt>
                <c:pt idx="170">
                  <c:v>2.1371999999999999E-2</c:v>
                </c:pt>
                <c:pt idx="171">
                  <c:v>2.1366E-2</c:v>
                </c:pt>
                <c:pt idx="172">
                  <c:v>2.1385999999999999E-2</c:v>
                </c:pt>
                <c:pt idx="173">
                  <c:v>2.1318E-2</c:v>
                </c:pt>
                <c:pt idx="174">
                  <c:v>2.1221E-2</c:v>
                </c:pt>
                <c:pt idx="175">
                  <c:v>2.1145000000000001E-2</c:v>
                </c:pt>
                <c:pt idx="176">
                  <c:v>2.121E-2</c:v>
                </c:pt>
                <c:pt idx="177">
                  <c:v>2.1309000000000002E-2</c:v>
                </c:pt>
                <c:pt idx="178">
                  <c:v>2.1257000000000002E-2</c:v>
                </c:pt>
                <c:pt idx="179">
                  <c:v>2.1207E-2</c:v>
                </c:pt>
                <c:pt idx="180">
                  <c:v>2.1288999999999999E-2</c:v>
                </c:pt>
                <c:pt idx="181">
                  <c:v>2.1270000000000001E-2</c:v>
                </c:pt>
                <c:pt idx="182">
                  <c:v>2.1350999999999998E-2</c:v>
                </c:pt>
                <c:pt idx="183">
                  <c:v>2.1410999999999999E-2</c:v>
                </c:pt>
                <c:pt idx="184">
                  <c:v>2.1392000000000001E-2</c:v>
                </c:pt>
                <c:pt idx="185">
                  <c:v>2.1361999999999999E-2</c:v>
                </c:pt>
                <c:pt idx="186">
                  <c:v>2.1436E-2</c:v>
                </c:pt>
                <c:pt idx="187">
                  <c:v>2.1426000000000001E-2</c:v>
                </c:pt>
                <c:pt idx="188">
                  <c:v>2.1478000000000001E-2</c:v>
                </c:pt>
                <c:pt idx="189">
                  <c:v>2.1548000000000001E-2</c:v>
                </c:pt>
                <c:pt idx="190">
                  <c:v>2.1544000000000001E-2</c:v>
                </c:pt>
                <c:pt idx="191">
                  <c:v>2.1575E-2</c:v>
                </c:pt>
                <c:pt idx="192">
                  <c:v>2.1500999999999999E-2</c:v>
                </c:pt>
                <c:pt idx="193">
                  <c:v>2.1471000000000001E-2</c:v>
                </c:pt>
                <c:pt idx="194">
                  <c:v>2.1427999999999999E-2</c:v>
                </c:pt>
                <c:pt idx="195">
                  <c:v>2.1399999999999999E-2</c:v>
                </c:pt>
                <c:pt idx="196">
                  <c:v>2.1361999999999999E-2</c:v>
                </c:pt>
                <c:pt idx="197">
                  <c:v>2.1360000000000001E-2</c:v>
                </c:pt>
                <c:pt idx="198">
                  <c:v>2.1335E-2</c:v>
                </c:pt>
                <c:pt idx="199">
                  <c:v>2.1349E-2</c:v>
                </c:pt>
                <c:pt idx="200">
                  <c:v>2.1430000000000001E-2</c:v>
                </c:pt>
                <c:pt idx="201">
                  <c:v>2.1531000000000002E-2</c:v>
                </c:pt>
                <c:pt idx="202">
                  <c:v>2.1464E-2</c:v>
                </c:pt>
                <c:pt idx="203">
                  <c:v>2.1453E-2</c:v>
                </c:pt>
                <c:pt idx="204">
                  <c:v>2.1465000000000001E-2</c:v>
                </c:pt>
                <c:pt idx="205">
                  <c:v>2.1558000000000001E-2</c:v>
                </c:pt>
                <c:pt idx="206">
                  <c:v>2.1458999999999999E-2</c:v>
                </c:pt>
                <c:pt idx="207">
                  <c:v>2.1392000000000001E-2</c:v>
                </c:pt>
                <c:pt idx="208">
                  <c:v>2.1367000000000001E-2</c:v>
                </c:pt>
                <c:pt idx="209">
                  <c:v>2.1373E-2</c:v>
                </c:pt>
                <c:pt idx="210">
                  <c:v>2.1388000000000001E-2</c:v>
                </c:pt>
                <c:pt idx="211">
                  <c:v>2.1458000000000001E-2</c:v>
                </c:pt>
                <c:pt idx="212">
                  <c:v>2.1419000000000001E-2</c:v>
                </c:pt>
                <c:pt idx="213">
                  <c:v>2.1402000000000001E-2</c:v>
                </c:pt>
                <c:pt idx="214">
                  <c:v>2.1319000000000001E-2</c:v>
                </c:pt>
                <c:pt idx="215">
                  <c:v>2.1292999999999999E-2</c:v>
                </c:pt>
                <c:pt idx="216">
                  <c:v>2.1309999999999999E-2</c:v>
                </c:pt>
                <c:pt idx="217">
                  <c:v>2.1231E-2</c:v>
                </c:pt>
                <c:pt idx="218">
                  <c:v>2.1326000000000001E-2</c:v>
                </c:pt>
                <c:pt idx="219">
                  <c:v>2.1248E-2</c:v>
                </c:pt>
                <c:pt idx="220">
                  <c:v>2.1158E-2</c:v>
                </c:pt>
                <c:pt idx="221">
                  <c:v>2.1139000000000002E-2</c:v>
                </c:pt>
                <c:pt idx="222">
                  <c:v>2.1139999999999999E-2</c:v>
                </c:pt>
                <c:pt idx="223">
                  <c:v>2.1211000000000001E-2</c:v>
                </c:pt>
                <c:pt idx="224">
                  <c:v>2.1177000000000001E-2</c:v>
                </c:pt>
                <c:pt idx="225">
                  <c:v>2.1167999999999999E-2</c:v>
                </c:pt>
                <c:pt idx="226">
                  <c:v>2.1264999999999999E-2</c:v>
                </c:pt>
                <c:pt idx="227">
                  <c:v>2.1354000000000001E-2</c:v>
                </c:pt>
                <c:pt idx="228">
                  <c:v>2.1301E-2</c:v>
                </c:pt>
                <c:pt idx="229">
                  <c:v>2.1368999999999999E-2</c:v>
                </c:pt>
                <c:pt idx="230">
                  <c:v>2.1309999999999999E-2</c:v>
                </c:pt>
                <c:pt idx="231">
                  <c:v>2.1402000000000001E-2</c:v>
                </c:pt>
                <c:pt idx="232">
                  <c:v>2.1349E-2</c:v>
                </c:pt>
                <c:pt idx="233">
                  <c:v>2.1389999999999999E-2</c:v>
                </c:pt>
                <c:pt idx="234">
                  <c:v>2.1430999999999999E-2</c:v>
                </c:pt>
                <c:pt idx="235">
                  <c:v>2.137E-2</c:v>
                </c:pt>
                <c:pt idx="236">
                  <c:v>2.1439E-2</c:v>
                </c:pt>
                <c:pt idx="237">
                  <c:v>2.1343999999999998E-2</c:v>
                </c:pt>
                <c:pt idx="238">
                  <c:v>2.1385999999999999E-2</c:v>
                </c:pt>
                <c:pt idx="239">
                  <c:v>2.1443E-2</c:v>
                </c:pt>
                <c:pt idx="240">
                  <c:v>2.1448999999999999E-2</c:v>
                </c:pt>
                <c:pt idx="241">
                  <c:v>2.1371999999999999E-2</c:v>
                </c:pt>
                <c:pt idx="242">
                  <c:v>2.1357000000000001E-2</c:v>
                </c:pt>
                <c:pt idx="243">
                  <c:v>2.1333999999999999E-2</c:v>
                </c:pt>
                <c:pt idx="244">
                  <c:v>2.1391E-2</c:v>
                </c:pt>
                <c:pt idx="245">
                  <c:v>2.1402000000000001E-2</c:v>
                </c:pt>
                <c:pt idx="246">
                  <c:v>2.1323999999999999E-2</c:v>
                </c:pt>
                <c:pt idx="247">
                  <c:v>2.1402999999999998E-2</c:v>
                </c:pt>
                <c:pt idx="248">
                  <c:v>2.1371999999999999E-2</c:v>
                </c:pt>
                <c:pt idx="249">
                  <c:v>2.1360000000000001E-2</c:v>
                </c:pt>
                <c:pt idx="250">
                  <c:v>2.1323000000000002E-2</c:v>
                </c:pt>
                <c:pt idx="251">
                  <c:v>2.1277999999999998E-2</c:v>
                </c:pt>
                <c:pt idx="252">
                  <c:v>2.1270000000000001E-2</c:v>
                </c:pt>
                <c:pt idx="253">
                  <c:v>2.1361999999999999E-2</c:v>
                </c:pt>
                <c:pt idx="254">
                  <c:v>2.1461999999999998E-2</c:v>
                </c:pt>
                <c:pt idx="255">
                  <c:v>2.1440000000000001E-2</c:v>
                </c:pt>
                <c:pt idx="256">
                  <c:v>2.1538999999999999E-2</c:v>
                </c:pt>
                <c:pt idx="257">
                  <c:v>2.1531000000000002E-2</c:v>
                </c:pt>
                <c:pt idx="258">
                  <c:v>2.1547E-2</c:v>
                </c:pt>
                <c:pt idx="259">
                  <c:v>2.1572999999999998E-2</c:v>
                </c:pt>
                <c:pt idx="260">
                  <c:v>2.1526E-2</c:v>
                </c:pt>
                <c:pt idx="261">
                  <c:v>2.1465999999999999E-2</c:v>
                </c:pt>
                <c:pt idx="262">
                  <c:v>2.1391E-2</c:v>
                </c:pt>
                <c:pt idx="263">
                  <c:v>2.1468999999999999E-2</c:v>
                </c:pt>
                <c:pt idx="264">
                  <c:v>2.1406000000000001E-2</c:v>
                </c:pt>
                <c:pt idx="265">
                  <c:v>2.1367000000000001E-2</c:v>
                </c:pt>
                <c:pt idx="266">
                  <c:v>2.1343999999999998E-2</c:v>
                </c:pt>
                <c:pt idx="267">
                  <c:v>2.1364999999999999E-2</c:v>
                </c:pt>
                <c:pt idx="268">
                  <c:v>2.1368000000000002E-2</c:v>
                </c:pt>
                <c:pt idx="269">
                  <c:v>2.1335E-2</c:v>
                </c:pt>
                <c:pt idx="270">
                  <c:v>2.1349E-2</c:v>
                </c:pt>
                <c:pt idx="271">
                  <c:v>2.1425E-2</c:v>
                </c:pt>
                <c:pt idx="272">
                  <c:v>2.1479000000000002E-2</c:v>
                </c:pt>
                <c:pt idx="273">
                  <c:v>2.1443E-2</c:v>
                </c:pt>
                <c:pt idx="274">
                  <c:v>2.1430000000000001E-2</c:v>
                </c:pt>
                <c:pt idx="275">
                  <c:v>2.1465000000000001E-2</c:v>
                </c:pt>
                <c:pt idx="276">
                  <c:v>2.1422E-2</c:v>
                </c:pt>
                <c:pt idx="277">
                  <c:v>2.1416000000000001E-2</c:v>
                </c:pt>
                <c:pt idx="278">
                  <c:v>2.1484E-2</c:v>
                </c:pt>
                <c:pt idx="279">
                  <c:v>2.1545999999999999E-2</c:v>
                </c:pt>
                <c:pt idx="280">
                  <c:v>2.154E-2</c:v>
                </c:pt>
                <c:pt idx="281">
                  <c:v>2.1579000000000001E-2</c:v>
                </c:pt>
                <c:pt idx="282">
                  <c:v>2.1548999999999999E-2</c:v>
                </c:pt>
                <c:pt idx="283">
                  <c:v>2.1530000000000001E-2</c:v>
                </c:pt>
                <c:pt idx="284">
                  <c:v>2.1534000000000001E-2</c:v>
                </c:pt>
                <c:pt idx="285">
                  <c:v>2.1624000000000001E-2</c:v>
                </c:pt>
                <c:pt idx="286">
                  <c:v>2.163E-2</c:v>
                </c:pt>
                <c:pt idx="287">
                  <c:v>2.1533E-2</c:v>
                </c:pt>
                <c:pt idx="288">
                  <c:v>2.1461999999999998E-2</c:v>
                </c:pt>
                <c:pt idx="289">
                  <c:v>2.1551000000000001E-2</c:v>
                </c:pt>
                <c:pt idx="290">
                  <c:v>2.1484E-2</c:v>
                </c:pt>
                <c:pt idx="291">
                  <c:v>2.1413000000000001E-2</c:v>
                </c:pt>
                <c:pt idx="292">
                  <c:v>2.1364000000000001E-2</c:v>
                </c:pt>
                <c:pt idx="293">
                  <c:v>2.1309999999999999E-2</c:v>
                </c:pt>
                <c:pt idx="294">
                  <c:v>2.1274999999999999E-2</c:v>
                </c:pt>
                <c:pt idx="295">
                  <c:v>2.1260000000000001E-2</c:v>
                </c:pt>
                <c:pt idx="296">
                  <c:v>2.1256000000000001E-2</c:v>
                </c:pt>
                <c:pt idx="297">
                  <c:v>2.1184000000000001E-2</c:v>
                </c:pt>
                <c:pt idx="298">
                  <c:v>2.1276E-2</c:v>
                </c:pt>
                <c:pt idx="299">
                  <c:v>2.1288000000000001E-2</c:v>
                </c:pt>
                <c:pt idx="300">
                  <c:v>2.1283E-2</c:v>
                </c:pt>
                <c:pt idx="301">
                  <c:v>2.1298999999999998E-2</c:v>
                </c:pt>
                <c:pt idx="302">
                  <c:v>2.1214E-2</c:v>
                </c:pt>
                <c:pt idx="303">
                  <c:v>2.1167999999999999E-2</c:v>
                </c:pt>
                <c:pt idx="304">
                  <c:v>2.1235E-2</c:v>
                </c:pt>
                <c:pt idx="305">
                  <c:v>2.1318E-2</c:v>
                </c:pt>
                <c:pt idx="306">
                  <c:v>2.1312999999999999E-2</c:v>
                </c:pt>
                <c:pt idx="307">
                  <c:v>2.1381000000000001E-2</c:v>
                </c:pt>
                <c:pt idx="308">
                  <c:v>2.1477E-2</c:v>
                </c:pt>
                <c:pt idx="309">
                  <c:v>2.1378000000000001E-2</c:v>
                </c:pt>
                <c:pt idx="310">
                  <c:v>2.1441999999999999E-2</c:v>
                </c:pt>
                <c:pt idx="311">
                  <c:v>2.1402999999999998E-2</c:v>
                </c:pt>
                <c:pt idx="312">
                  <c:v>2.1493999999999999E-2</c:v>
                </c:pt>
                <c:pt idx="313">
                  <c:v>2.1590999999999999E-2</c:v>
                </c:pt>
                <c:pt idx="314">
                  <c:v>2.1575E-2</c:v>
                </c:pt>
                <c:pt idx="315">
                  <c:v>2.1648000000000001E-2</c:v>
                </c:pt>
                <c:pt idx="316">
                  <c:v>2.1588E-2</c:v>
                </c:pt>
                <c:pt idx="317">
                  <c:v>2.1607999999999999E-2</c:v>
                </c:pt>
                <c:pt idx="318">
                  <c:v>2.1661E-2</c:v>
                </c:pt>
                <c:pt idx="319">
                  <c:v>2.1697000000000001E-2</c:v>
                </c:pt>
                <c:pt idx="320">
                  <c:v>2.1742000000000001E-2</c:v>
                </c:pt>
                <c:pt idx="321">
                  <c:v>2.1784999999999999E-2</c:v>
                </c:pt>
                <c:pt idx="322">
                  <c:v>2.1829999999999999E-2</c:v>
                </c:pt>
                <c:pt idx="323">
                  <c:v>2.1819999999999999E-2</c:v>
                </c:pt>
                <c:pt idx="324">
                  <c:v>2.1873E-2</c:v>
                </c:pt>
                <c:pt idx="325">
                  <c:v>2.1891000000000001E-2</c:v>
                </c:pt>
                <c:pt idx="326">
                  <c:v>2.1887E-2</c:v>
                </c:pt>
                <c:pt idx="327">
                  <c:v>2.1839999999999998E-2</c:v>
                </c:pt>
                <c:pt idx="328">
                  <c:v>2.1922000000000001E-2</c:v>
                </c:pt>
                <c:pt idx="329">
                  <c:v>2.1894E-2</c:v>
                </c:pt>
                <c:pt idx="330">
                  <c:v>2.1805999999999999E-2</c:v>
                </c:pt>
                <c:pt idx="331">
                  <c:v>2.1759000000000001E-2</c:v>
                </c:pt>
                <c:pt idx="332">
                  <c:v>2.1687000000000001E-2</c:v>
                </c:pt>
                <c:pt idx="333">
                  <c:v>2.1701000000000002E-2</c:v>
                </c:pt>
                <c:pt idx="334">
                  <c:v>2.1706E-2</c:v>
                </c:pt>
                <c:pt idx="335">
                  <c:v>2.179E-2</c:v>
                </c:pt>
                <c:pt idx="336">
                  <c:v>2.1786E-2</c:v>
                </c:pt>
                <c:pt idx="337">
                  <c:v>2.1690000000000001E-2</c:v>
                </c:pt>
                <c:pt idx="338">
                  <c:v>2.1687999999999999E-2</c:v>
                </c:pt>
                <c:pt idx="339">
                  <c:v>2.1690000000000001E-2</c:v>
                </c:pt>
                <c:pt idx="340">
                  <c:v>2.1691999999999999E-2</c:v>
                </c:pt>
                <c:pt idx="341">
                  <c:v>2.1766000000000001E-2</c:v>
                </c:pt>
                <c:pt idx="342">
                  <c:v>2.1673000000000001E-2</c:v>
                </c:pt>
                <c:pt idx="343">
                  <c:v>2.1585E-2</c:v>
                </c:pt>
                <c:pt idx="344">
                  <c:v>2.1648000000000001E-2</c:v>
                </c:pt>
                <c:pt idx="345">
                  <c:v>2.1694000000000001E-2</c:v>
                </c:pt>
                <c:pt idx="346">
                  <c:v>2.1616E-2</c:v>
                </c:pt>
                <c:pt idx="347">
                  <c:v>2.1565000000000001E-2</c:v>
                </c:pt>
                <c:pt idx="348">
                  <c:v>2.147E-2</c:v>
                </c:pt>
                <c:pt idx="349">
                  <c:v>2.1489999999999999E-2</c:v>
                </c:pt>
                <c:pt idx="350">
                  <c:v>2.1427000000000002E-2</c:v>
                </c:pt>
                <c:pt idx="351">
                  <c:v>2.147E-2</c:v>
                </c:pt>
                <c:pt idx="352">
                  <c:v>2.1416999999999999E-2</c:v>
                </c:pt>
                <c:pt idx="353">
                  <c:v>2.1418E-2</c:v>
                </c:pt>
                <c:pt idx="354">
                  <c:v>2.1475999999999999E-2</c:v>
                </c:pt>
                <c:pt idx="355">
                  <c:v>2.1568E-2</c:v>
                </c:pt>
                <c:pt idx="356">
                  <c:v>2.1597000000000002E-2</c:v>
                </c:pt>
                <c:pt idx="357">
                  <c:v>2.1579000000000001E-2</c:v>
                </c:pt>
                <c:pt idx="358">
                  <c:v>2.1618999999999999E-2</c:v>
                </c:pt>
                <c:pt idx="359">
                  <c:v>2.1696E-2</c:v>
                </c:pt>
                <c:pt idx="360">
                  <c:v>2.1642999999999999E-2</c:v>
                </c:pt>
                <c:pt idx="361">
                  <c:v>2.1628999999999999E-2</c:v>
                </c:pt>
                <c:pt idx="362">
                  <c:v>2.1694999999999999E-2</c:v>
                </c:pt>
                <c:pt idx="363">
                  <c:v>2.1781999999999999E-2</c:v>
                </c:pt>
                <c:pt idx="364">
                  <c:v>2.1836000000000001E-2</c:v>
                </c:pt>
                <c:pt idx="365">
                  <c:v>2.1756000000000001E-2</c:v>
                </c:pt>
                <c:pt idx="366">
                  <c:v>2.1686E-2</c:v>
                </c:pt>
                <c:pt idx="367">
                  <c:v>2.1661E-2</c:v>
                </c:pt>
                <c:pt idx="368">
                  <c:v>2.1571E-2</c:v>
                </c:pt>
                <c:pt idx="369">
                  <c:v>2.1536E-2</c:v>
                </c:pt>
                <c:pt idx="370">
                  <c:v>2.1564E-2</c:v>
                </c:pt>
                <c:pt idx="371">
                  <c:v>2.1506000000000001E-2</c:v>
                </c:pt>
                <c:pt idx="372">
                  <c:v>2.1492000000000001E-2</c:v>
                </c:pt>
                <c:pt idx="373">
                  <c:v>2.1465999999999999E-2</c:v>
                </c:pt>
                <c:pt idx="374">
                  <c:v>2.1482000000000001E-2</c:v>
                </c:pt>
                <c:pt idx="375">
                  <c:v>2.1576000000000001E-2</c:v>
                </c:pt>
                <c:pt idx="376">
                  <c:v>2.1538999999999999E-2</c:v>
                </c:pt>
                <c:pt idx="377">
                  <c:v>2.1465000000000001E-2</c:v>
                </c:pt>
                <c:pt idx="378">
                  <c:v>2.1491E-2</c:v>
                </c:pt>
                <c:pt idx="379">
                  <c:v>2.1475000000000001E-2</c:v>
                </c:pt>
                <c:pt idx="380">
                  <c:v>2.154E-2</c:v>
                </c:pt>
                <c:pt idx="381">
                  <c:v>2.1572000000000001E-2</c:v>
                </c:pt>
                <c:pt idx="382">
                  <c:v>2.1617000000000001E-2</c:v>
                </c:pt>
                <c:pt idx="383">
                  <c:v>2.1566999999999999E-2</c:v>
                </c:pt>
                <c:pt idx="384">
                  <c:v>2.1621999999999999E-2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871-49FD-B33D-D374FE395580}"/>
            </c:ext>
          </c:extLst>
        </c:ser>
        <c:ser>
          <c:idx val="9"/>
          <c:order val="10"/>
          <c:tx>
            <c:strRef>
              <c:f>'idx data'!$M$2</c:f>
              <c:strCache>
                <c:ptCount val="1"/>
                <c:pt idx="0">
                  <c:v>20yrTr</c:v>
                </c:pt>
              </c:strCache>
            </c:strRef>
          </c:tx>
          <c:spPr>
            <a:ln w="28575" cap="rnd">
              <a:solidFill>
                <a:schemeClr val="accent5">
                  <a:shade val="9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'idx data'!$A$3:$A$387</c:f>
              <c:numCache>
                <c:formatCode>General</c:formatCode>
                <c:ptCount val="3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</c:numCache>
            </c:numRef>
          </c:cat>
          <c:val>
            <c:numRef>
              <c:f>'idx data'!$M$3:$M$387</c:f>
              <c:numCache>
                <c:formatCode>General</c:formatCode>
                <c:ptCount val="385"/>
                <c:pt idx="0">
                  <c:v>2.6000000000000002E-2</c:v>
                </c:pt>
                <c:pt idx="1">
                  <c:v>2.6027999999999999E-2</c:v>
                </c:pt>
                <c:pt idx="2">
                  <c:v>2.6054999999999998E-2</c:v>
                </c:pt>
                <c:pt idx="3">
                  <c:v>2.6030999999999999E-2</c:v>
                </c:pt>
                <c:pt idx="4">
                  <c:v>2.6002000000000001E-2</c:v>
                </c:pt>
                <c:pt idx="5">
                  <c:v>2.6100000000000002E-2</c:v>
                </c:pt>
                <c:pt idx="6">
                  <c:v>2.6179999999999998E-2</c:v>
                </c:pt>
                <c:pt idx="7">
                  <c:v>2.6152999999999999E-2</c:v>
                </c:pt>
                <c:pt idx="8">
                  <c:v>2.6183999999999999E-2</c:v>
                </c:pt>
                <c:pt idx="9">
                  <c:v>2.6221999999999999E-2</c:v>
                </c:pt>
                <c:pt idx="10">
                  <c:v>2.6304999999999999E-2</c:v>
                </c:pt>
                <c:pt idx="11">
                  <c:v>2.6346999999999999E-2</c:v>
                </c:pt>
                <c:pt idx="12">
                  <c:v>2.6296E-2</c:v>
                </c:pt>
                <c:pt idx="13">
                  <c:v>2.6214000000000001E-2</c:v>
                </c:pt>
                <c:pt idx="14">
                  <c:v>2.6259000000000001E-2</c:v>
                </c:pt>
                <c:pt idx="15">
                  <c:v>2.6197000000000002E-2</c:v>
                </c:pt>
                <c:pt idx="16">
                  <c:v>2.6262000000000001E-2</c:v>
                </c:pt>
                <c:pt idx="17">
                  <c:v>2.6182E-2</c:v>
                </c:pt>
                <c:pt idx="18">
                  <c:v>2.6225999999999999E-2</c:v>
                </c:pt>
                <c:pt idx="19">
                  <c:v>2.6322000000000002E-2</c:v>
                </c:pt>
                <c:pt idx="20">
                  <c:v>2.6376E-2</c:v>
                </c:pt>
                <c:pt idx="21">
                  <c:v>2.6391000000000001E-2</c:v>
                </c:pt>
                <c:pt idx="22">
                  <c:v>2.6394999999999998E-2</c:v>
                </c:pt>
                <c:pt idx="23">
                  <c:v>2.6474000000000001E-2</c:v>
                </c:pt>
                <c:pt idx="24">
                  <c:v>2.657E-2</c:v>
                </c:pt>
                <c:pt idx="25">
                  <c:v>2.6527999999999999E-2</c:v>
                </c:pt>
                <c:pt idx="26">
                  <c:v>2.6585000000000001E-2</c:v>
                </c:pt>
                <c:pt idx="27">
                  <c:v>2.6631999999999999E-2</c:v>
                </c:pt>
                <c:pt idx="28">
                  <c:v>2.6571999999999998E-2</c:v>
                </c:pt>
                <c:pt idx="29">
                  <c:v>2.6646E-2</c:v>
                </c:pt>
                <c:pt idx="30">
                  <c:v>2.6551000000000002E-2</c:v>
                </c:pt>
                <c:pt idx="31">
                  <c:v>2.6596000000000002E-2</c:v>
                </c:pt>
                <c:pt idx="32">
                  <c:v>2.6662999999999999E-2</c:v>
                </c:pt>
                <c:pt idx="33">
                  <c:v>2.6703000000000001E-2</c:v>
                </c:pt>
                <c:pt idx="34">
                  <c:v>2.6665999999999999E-2</c:v>
                </c:pt>
                <c:pt idx="35">
                  <c:v>2.6591E-2</c:v>
                </c:pt>
                <c:pt idx="36">
                  <c:v>2.6620000000000001E-2</c:v>
                </c:pt>
                <c:pt idx="37">
                  <c:v>2.6606000000000001E-2</c:v>
                </c:pt>
                <c:pt idx="38">
                  <c:v>2.6643E-2</c:v>
                </c:pt>
                <c:pt idx="39">
                  <c:v>2.6587E-2</c:v>
                </c:pt>
                <c:pt idx="40">
                  <c:v>2.6682999999999998E-2</c:v>
                </c:pt>
                <c:pt idx="41">
                  <c:v>2.6674E-2</c:v>
                </c:pt>
                <c:pt idx="42">
                  <c:v>2.6742999999999999E-2</c:v>
                </c:pt>
                <c:pt idx="43">
                  <c:v>2.6675000000000001E-2</c:v>
                </c:pt>
                <c:pt idx="44">
                  <c:v>2.6654000000000001E-2</c:v>
                </c:pt>
                <c:pt idx="45">
                  <c:v>2.6588000000000001E-2</c:v>
                </c:pt>
                <c:pt idx="46">
                  <c:v>2.6598E-2</c:v>
                </c:pt>
                <c:pt idx="47">
                  <c:v>2.6622E-2</c:v>
                </c:pt>
                <c:pt idx="48">
                  <c:v>2.6561000000000001E-2</c:v>
                </c:pt>
                <c:pt idx="49">
                  <c:v>2.6495999999999999E-2</c:v>
                </c:pt>
                <c:pt idx="50">
                  <c:v>2.6453000000000001E-2</c:v>
                </c:pt>
                <c:pt idx="51">
                  <c:v>2.6453999999999998E-2</c:v>
                </c:pt>
                <c:pt idx="52">
                  <c:v>2.6388999999999999E-2</c:v>
                </c:pt>
                <c:pt idx="53">
                  <c:v>2.6395999999999999E-2</c:v>
                </c:pt>
                <c:pt idx="54">
                  <c:v>2.6449E-2</c:v>
                </c:pt>
                <c:pt idx="55">
                  <c:v>2.639E-2</c:v>
                </c:pt>
                <c:pt idx="56">
                  <c:v>2.6308999999999999E-2</c:v>
                </c:pt>
                <c:pt idx="57">
                  <c:v>2.6286E-2</c:v>
                </c:pt>
                <c:pt idx="58">
                  <c:v>2.6206E-2</c:v>
                </c:pt>
                <c:pt idx="59">
                  <c:v>2.6297000000000001E-2</c:v>
                </c:pt>
                <c:pt idx="60">
                  <c:v>2.6332000000000001E-2</c:v>
                </c:pt>
                <c:pt idx="61">
                  <c:v>2.6256999999999999E-2</c:v>
                </c:pt>
                <c:pt idx="62">
                  <c:v>2.6287999999999999E-2</c:v>
                </c:pt>
                <c:pt idx="63">
                  <c:v>2.6341E-2</c:v>
                </c:pt>
                <c:pt idx="64">
                  <c:v>2.6391999999999999E-2</c:v>
                </c:pt>
                <c:pt idx="65">
                  <c:v>2.6377999999999999E-2</c:v>
                </c:pt>
                <c:pt idx="66">
                  <c:v>2.6373000000000001E-2</c:v>
                </c:pt>
                <c:pt idx="67">
                  <c:v>2.6460999999999998E-2</c:v>
                </c:pt>
                <c:pt idx="68">
                  <c:v>2.6408999999999998E-2</c:v>
                </c:pt>
                <c:pt idx="69">
                  <c:v>2.6426000000000002E-2</c:v>
                </c:pt>
                <c:pt idx="70">
                  <c:v>2.6426000000000002E-2</c:v>
                </c:pt>
                <c:pt idx="71">
                  <c:v>2.6450999999999999E-2</c:v>
                </c:pt>
                <c:pt idx="72">
                  <c:v>2.6393E-2</c:v>
                </c:pt>
                <c:pt idx="73">
                  <c:v>2.6328000000000001E-2</c:v>
                </c:pt>
                <c:pt idx="74">
                  <c:v>2.6353999999999999E-2</c:v>
                </c:pt>
                <c:pt idx="75">
                  <c:v>2.6283999999999998E-2</c:v>
                </c:pt>
                <c:pt idx="76">
                  <c:v>2.6357999999999999E-2</c:v>
                </c:pt>
                <c:pt idx="77">
                  <c:v>2.6366000000000001E-2</c:v>
                </c:pt>
                <c:pt idx="78">
                  <c:v>2.6419000000000002E-2</c:v>
                </c:pt>
                <c:pt idx="79">
                  <c:v>2.6409999999999999E-2</c:v>
                </c:pt>
                <c:pt idx="80">
                  <c:v>2.6436999999999999E-2</c:v>
                </c:pt>
                <c:pt idx="81">
                  <c:v>2.6338E-2</c:v>
                </c:pt>
                <c:pt idx="82">
                  <c:v>2.6263999999999999E-2</c:v>
                </c:pt>
                <c:pt idx="83">
                  <c:v>2.6298999999999999E-2</c:v>
                </c:pt>
                <c:pt idx="84">
                  <c:v>2.6283999999999998E-2</c:v>
                </c:pt>
                <c:pt idx="85">
                  <c:v>2.6217000000000001E-2</c:v>
                </c:pt>
                <c:pt idx="86">
                  <c:v>2.6315000000000002E-2</c:v>
                </c:pt>
                <c:pt idx="87">
                  <c:v>2.632E-2</c:v>
                </c:pt>
                <c:pt idx="88">
                  <c:v>2.6349999999999998E-2</c:v>
                </c:pt>
                <c:pt idx="89">
                  <c:v>2.6363999999999999E-2</c:v>
                </c:pt>
                <c:pt idx="90">
                  <c:v>2.6438E-2</c:v>
                </c:pt>
                <c:pt idx="91">
                  <c:v>2.6384999999999999E-2</c:v>
                </c:pt>
                <c:pt idx="92">
                  <c:v>2.6445E-2</c:v>
                </c:pt>
                <c:pt idx="93">
                  <c:v>2.6431E-2</c:v>
                </c:pt>
                <c:pt idx="94">
                  <c:v>2.6341E-2</c:v>
                </c:pt>
                <c:pt idx="95">
                  <c:v>2.6349999999999998E-2</c:v>
                </c:pt>
                <c:pt idx="96">
                  <c:v>2.6317E-2</c:v>
                </c:pt>
                <c:pt idx="97">
                  <c:v>2.6270000000000002E-2</c:v>
                </c:pt>
                <c:pt idx="98">
                  <c:v>2.6207999999999999E-2</c:v>
                </c:pt>
                <c:pt idx="99">
                  <c:v>2.6112E-2</c:v>
                </c:pt>
                <c:pt idx="100">
                  <c:v>2.6075999999999998E-2</c:v>
                </c:pt>
                <c:pt idx="101">
                  <c:v>2.6019E-2</c:v>
                </c:pt>
                <c:pt idx="102">
                  <c:v>2.6091E-2</c:v>
                </c:pt>
                <c:pt idx="103">
                  <c:v>2.6012E-2</c:v>
                </c:pt>
                <c:pt idx="104">
                  <c:v>2.5930999999999999E-2</c:v>
                </c:pt>
                <c:pt idx="105">
                  <c:v>2.5926000000000001E-2</c:v>
                </c:pt>
                <c:pt idx="106">
                  <c:v>2.5884000000000001E-2</c:v>
                </c:pt>
                <c:pt idx="107">
                  <c:v>2.5944999999999999E-2</c:v>
                </c:pt>
                <c:pt idx="108">
                  <c:v>2.5881000000000001E-2</c:v>
                </c:pt>
                <c:pt idx="109">
                  <c:v>2.5911E-2</c:v>
                </c:pt>
                <c:pt idx="110">
                  <c:v>2.5985999999999999E-2</c:v>
                </c:pt>
                <c:pt idx="111">
                  <c:v>2.6037999999999999E-2</c:v>
                </c:pt>
                <c:pt idx="112">
                  <c:v>2.6034999999999999E-2</c:v>
                </c:pt>
                <c:pt idx="113">
                  <c:v>2.6082999999999999E-2</c:v>
                </c:pt>
                <c:pt idx="114">
                  <c:v>2.6179999999999998E-2</c:v>
                </c:pt>
                <c:pt idx="115">
                  <c:v>2.6218999999999999E-2</c:v>
                </c:pt>
                <c:pt idx="116">
                  <c:v>2.6256999999999999E-2</c:v>
                </c:pt>
                <c:pt idx="117">
                  <c:v>2.6197999999999999E-2</c:v>
                </c:pt>
                <c:pt idx="118">
                  <c:v>2.6162999999999999E-2</c:v>
                </c:pt>
                <c:pt idx="119">
                  <c:v>2.6224000000000001E-2</c:v>
                </c:pt>
                <c:pt idx="120">
                  <c:v>2.6318000000000001E-2</c:v>
                </c:pt>
                <c:pt idx="121">
                  <c:v>2.6221999999999999E-2</c:v>
                </c:pt>
                <c:pt idx="122">
                  <c:v>2.6151000000000001E-2</c:v>
                </c:pt>
                <c:pt idx="123">
                  <c:v>2.6128999999999999E-2</c:v>
                </c:pt>
                <c:pt idx="124">
                  <c:v>2.6091E-2</c:v>
                </c:pt>
                <c:pt idx="125">
                  <c:v>2.6023000000000001E-2</c:v>
                </c:pt>
                <c:pt idx="126">
                  <c:v>2.6030999999999999E-2</c:v>
                </c:pt>
                <c:pt idx="127">
                  <c:v>2.5944999999999999E-2</c:v>
                </c:pt>
                <c:pt idx="128">
                  <c:v>2.6044999999999999E-2</c:v>
                </c:pt>
                <c:pt idx="129">
                  <c:v>2.5958999999999999E-2</c:v>
                </c:pt>
                <c:pt idx="130">
                  <c:v>2.5989000000000002E-2</c:v>
                </c:pt>
                <c:pt idx="131">
                  <c:v>2.5899999999999999E-2</c:v>
                </c:pt>
                <c:pt idx="132">
                  <c:v>2.5987E-2</c:v>
                </c:pt>
                <c:pt idx="133">
                  <c:v>2.6041999999999999E-2</c:v>
                </c:pt>
                <c:pt idx="134">
                  <c:v>2.5951999999999999E-2</c:v>
                </c:pt>
                <c:pt idx="135">
                  <c:v>2.6005E-2</c:v>
                </c:pt>
                <c:pt idx="136">
                  <c:v>2.5916999999999999E-2</c:v>
                </c:pt>
                <c:pt idx="137">
                  <c:v>2.5835E-2</c:v>
                </c:pt>
                <c:pt idx="138">
                  <c:v>2.5878999999999999E-2</c:v>
                </c:pt>
                <c:pt idx="139">
                  <c:v>2.5884000000000001E-2</c:v>
                </c:pt>
                <c:pt idx="140">
                  <c:v>2.5793E-2</c:v>
                </c:pt>
                <c:pt idx="141">
                  <c:v>2.5736999999999999E-2</c:v>
                </c:pt>
                <c:pt idx="142">
                  <c:v>2.5666000000000001E-2</c:v>
                </c:pt>
                <c:pt idx="143">
                  <c:v>2.5613E-2</c:v>
                </c:pt>
                <c:pt idx="144">
                  <c:v>2.5680999999999999E-2</c:v>
                </c:pt>
                <c:pt idx="145">
                  <c:v>2.5779E-2</c:v>
                </c:pt>
                <c:pt idx="146">
                  <c:v>2.5832999999999998E-2</c:v>
                </c:pt>
                <c:pt idx="147">
                  <c:v>2.5849E-2</c:v>
                </c:pt>
                <c:pt idx="148">
                  <c:v>2.5798999999999999E-2</c:v>
                </c:pt>
                <c:pt idx="149">
                  <c:v>2.5814E-2</c:v>
                </c:pt>
                <c:pt idx="150">
                  <c:v>2.5869E-2</c:v>
                </c:pt>
                <c:pt idx="151">
                  <c:v>2.5867000000000001E-2</c:v>
                </c:pt>
                <c:pt idx="152">
                  <c:v>2.5883E-2</c:v>
                </c:pt>
                <c:pt idx="153">
                  <c:v>2.5974000000000001E-2</c:v>
                </c:pt>
                <c:pt idx="154">
                  <c:v>2.6017999999999999E-2</c:v>
                </c:pt>
                <c:pt idx="155">
                  <c:v>2.6055999999999999E-2</c:v>
                </c:pt>
                <c:pt idx="156">
                  <c:v>2.6041999999999999E-2</c:v>
                </c:pt>
                <c:pt idx="157">
                  <c:v>2.6067E-2</c:v>
                </c:pt>
                <c:pt idx="158">
                  <c:v>2.6039E-2</c:v>
                </c:pt>
                <c:pt idx="159">
                  <c:v>2.6030999999999999E-2</c:v>
                </c:pt>
                <c:pt idx="160">
                  <c:v>2.6082000000000001E-2</c:v>
                </c:pt>
                <c:pt idx="161">
                  <c:v>2.6093000000000002E-2</c:v>
                </c:pt>
                <c:pt idx="162">
                  <c:v>2.6030999999999999E-2</c:v>
                </c:pt>
                <c:pt idx="163">
                  <c:v>2.6082000000000001E-2</c:v>
                </c:pt>
                <c:pt idx="164">
                  <c:v>2.5985999999999999E-2</c:v>
                </c:pt>
                <c:pt idx="165">
                  <c:v>2.6022E-2</c:v>
                </c:pt>
                <c:pt idx="166">
                  <c:v>2.5965999999999999E-2</c:v>
                </c:pt>
                <c:pt idx="167">
                  <c:v>2.5916999999999999E-2</c:v>
                </c:pt>
                <c:pt idx="168">
                  <c:v>2.5981000000000001E-2</c:v>
                </c:pt>
                <c:pt idx="169">
                  <c:v>2.5923000000000002E-2</c:v>
                </c:pt>
                <c:pt idx="170">
                  <c:v>2.5918E-2</c:v>
                </c:pt>
                <c:pt idx="171">
                  <c:v>2.5951999999999999E-2</c:v>
                </c:pt>
                <c:pt idx="172">
                  <c:v>2.6016999999999998E-2</c:v>
                </c:pt>
                <c:pt idx="173">
                  <c:v>2.598E-2</c:v>
                </c:pt>
                <c:pt idx="174">
                  <c:v>2.5888000000000001E-2</c:v>
                </c:pt>
                <c:pt idx="175">
                  <c:v>2.5967E-2</c:v>
                </c:pt>
                <c:pt idx="176">
                  <c:v>2.5912999999999999E-2</c:v>
                </c:pt>
                <c:pt idx="177">
                  <c:v>2.5859E-2</c:v>
                </c:pt>
                <c:pt idx="178">
                  <c:v>2.5843000000000001E-2</c:v>
                </c:pt>
                <c:pt idx="179">
                  <c:v>2.5777999999999999E-2</c:v>
                </c:pt>
                <c:pt idx="180">
                  <c:v>2.5755E-2</c:v>
                </c:pt>
                <c:pt idx="181">
                  <c:v>2.5784999999999999E-2</c:v>
                </c:pt>
                <c:pt idx="182">
                  <c:v>2.5729999999999999E-2</c:v>
                </c:pt>
                <c:pt idx="183">
                  <c:v>2.5687000000000001E-2</c:v>
                </c:pt>
                <c:pt idx="184">
                  <c:v>2.5704999999999999E-2</c:v>
                </c:pt>
                <c:pt idx="185">
                  <c:v>2.5700000000000001E-2</c:v>
                </c:pt>
                <c:pt idx="186">
                  <c:v>2.5774999999999999E-2</c:v>
                </c:pt>
                <c:pt idx="187">
                  <c:v>2.5729999999999999E-2</c:v>
                </c:pt>
                <c:pt idx="188">
                  <c:v>2.5659999999999999E-2</c:v>
                </c:pt>
                <c:pt idx="189">
                  <c:v>2.5600999999999999E-2</c:v>
                </c:pt>
                <c:pt idx="190">
                  <c:v>2.5604999999999999E-2</c:v>
                </c:pt>
                <c:pt idx="191">
                  <c:v>2.5697000000000001E-2</c:v>
                </c:pt>
                <c:pt idx="192">
                  <c:v>2.5680000000000001E-2</c:v>
                </c:pt>
                <c:pt idx="193">
                  <c:v>2.5614999999999999E-2</c:v>
                </c:pt>
                <c:pt idx="194">
                  <c:v>2.5527000000000001E-2</c:v>
                </c:pt>
                <c:pt idx="195">
                  <c:v>2.5475999999999999E-2</c:v>
                </c:pt>
                <c:pt idx="196">
                  <c:v>2.5412000000000001E-2</c:v>
                </c:pt>
                <c:pt idx="197">
                  <c:v>2.5416000000000001E-2</c:v>
                </c:pt>
                <c:pt idx="198">
                  <c:v>2.5498E-2</c:v>
                </c:pt>
                <c:pt idx="199">
                  <c:v>2.5552999999999999E-2</c:v>
                </c:pt>
                <c:pt idx="200">
                  <c:v>2.5604999999999999E-2</c:v>
                </c:pt>
                <c:pt idx="201">
                  <c:v>2.5600999999999999E-2</c:v>
                </c:pt>
                <c:pt idx="202">
                  <c:v>2.5534000000000001E-2</c:v>
                </c:pt>
                <c:pt idx="203">
                  <c:v>2.5533E-2</c:v>
                </c:pt>
                <c:pt idx="204">
                  <c:v>2.5514999999999999E-2</c:v>
                </c:pt>
                <c:pt idx="205">
                  <c:v>2.5505E-2</c:v>
                </c:pt>
                <c:pt idx="206">
                  <c:v>2.5541999999999999E-2</c:v>
                </c:pt>
                <c:pt idx="207">
                  <c:v>2.562E-2</c:v>
                </c:pt>
                <c:pt idx="208">
                  <c:v>2.5645999999999999E-2</c:v>
                </c:pt>
                <c:pt idx="209">
                  <c:v>2.5564E-2</c:v>
                </c:pt>
                <c:pt idx="210">
                  <c:v>2.5502E-2</c:v>
                </c:pt>
                <c:pt idx="211">
                  <c:v>2.5451999999999999E-2</c:v>
                </c:pt>
                <c:pt idx="212">
                  <c:v>2.5363E-2</c:v>
                </c:pt>
                <c:pt idx="213">
                  <c:v>2.5304E-2</c:v>
                </c:pt>
                <c:pt idx="214">
                  <c:v>2.5321E-2</c:v>
                </c:pt>
                <c:pt idx="215">
                  <c:v>2.5373E-2</c:v>
                </c:pt>
                <c:pt idx="216">
                  <c:v>2.5274999999999999E-2</c:v>
                </c:pt>
                <c:pt idx="217">
                  <c:v>2.5340999999999999E-2</c:v>
                </c:pt>
                <c:pt idx="218">
                  <c:v>2.5271999999999999E-2</c:v>
                </c:pt>
                <c:pt idx="219">
                  <c:v>2.5219999999999999E-2</c:v>
                </c:pt>
                <c:pt idx="220">
                  <c:v>2.5135999999999999E-2</c:v>
                </c:pt>
                <c:pt idx="221">
                  <c:v>2.5100999999999998E-2</c:v>
                </c:pt>
                <c:pt idx="222">
                  <c:v>2.5076000000000001E-2</c:v>
                </c:pt>
                <c:pt idx="223">
                  <c:v>2.5010000000000001E-2</c:v>
                </c:pt>
                <c:pt idx="224">
                  <c:v>2.5092E-2</c:v>
                </c:pt>
                <c:pt idx="225">
                  <c:v>2.5182E-2</c:v>
                </c:pt>
                <c:pt idx="226">
                  <c:v>2.5135999999999999E-2</c:v>
                </c:pt>
                <c:pt idx="227">
                  <c:v>2.5163000000000001E-2</c:v>
                </c:pt>
                <c:pt idx="228">
                  <c:v>2.5111000000000001E-2</c:v>
                </c:pt>
                <c:pt idx="229">
                  <c:v>2.5056999999999999E-2</c:v>
                </c:pt>
                <c:pt idx="230">
                  <c:v>2.5083000000000001E-2</c:v>
                </c:pt>
                <c:pt idx="231">
                  <c:v>2.5051E-2</c:v>
                </c:pt>
                <c:pt idx="232">
                  <c:v>2.4964E-2</c:v>
                </c:pt>
                <c:pt idx="233">
                  <c:v>2.4982000000000001E-2</c:v>
                </c:pt>
                <c:pt idx="234">
                  <c:v>2.4934999999999999E-2</c:v>
                </c:pt>
                <c:pt idx="235">
                  <c:v>2.4865999999999999E-2</c:v>
                </c:pt>
                <c:pt idx="236">
                  <c:v>2.479E-2</c:v>
                </c:pt>
                <c:pt idx="237">
                  <c:v>2.4874E-2</c:v>
                </c:pt>
                <c:pt idx="238">
                  <c:v>2.4823000000000001E-2</c:v>
                </c:pt>
                <c:pt idx="239">
                  <c:v>2.4868000000000001E-2</c:v>
                </c:pt>
                <c:pt idx="240">
                  <c:v>2.4804E-2</c:v>
                </c:pt>
                <c:pt idx="241">
                  <c:v>2.4712000000000001E-2</c:v>
                </c:pt>
                <c:pt idx="242">
                  <c:v>2.4774999999999998E-2</c:v>
                </c:pt>
                <c:pt idx="243">
                  <c:v>2.4819999999999998E-2</c:v>
                </c:pt>
                <c:pt idx="244">
                  <c:v>2.4754999999999999E-2</c:v>
                </c:pt>
                <c:pt idx="245">
                  <c:v>2.4822E-2</c:v>
                </c:pt>
                <c:pt idx="246">
                  <c:v>2.4781000000000001E-2</c:v>
                </c:pt>
                <c:pt idx="247">
                  <c:v>2.4716999999999999E-2</c:v>
                </c:pt>
                <c:pt idx="248">
                  <c:v>2.4657999999999999E-2</c:v>
                </c:pt>
                <c:pt idx="249">
                  <c:v>2.4607E-2</c:v>
                </c:pt>
                <c:pt idx="250">
                  <c:v>2.4594999999999999E-2</c:v>
                </c:pt>
                <c:pt idx="251">
                  <c:v>2.4615999999999999E-2</c:v>
                </c:pt>
                <c:pt idx="252">
                  <c:v>2.4625000000000001E-2</c:v>
                </c:pt>
                <c:pt idx="253">
                  <c:v>2.4711E-2</c:v>
                </c:pt>
                <c:pt idx="254">
                  <c:v>2.4798000000000001E-2</c:v>
                </c:pt>
                <c:pt idx="255">
                  <c:v>2.4856E-2</c:v>
                </c:pt>
                <c:pt idx="256">
                  <c:v>2.4825E-2</c:v>
                </c:pt>
                <c:pt idx="257">
                  <c:v>2.4806999999999999E-2</c:v>
                </c:pt>
                <c:pt idx="258">
                  <c:v>2.4764000000000001E-2</c:v>
                </c:pt>
                <c:pt idx="259">
                  <c:v>2.4743999999999999E-2</c:v>
                </c:pt>
                <c:pt idx="260">
                  <c:v>2.4726000000000001E-2</c:v>
                </c:pt>
                <c:pt idx="261">
                  <c:v>2.4750000000000001E-2</c:v>
                </c:pt>
                <c:pt idx="262">
                  <c:v>2.4846E-2</c:v>
                </c:pt>
                <c:pt idx="263">
                  <c:v>2.4933E-2</c:v>
                </c:pt>
                <c:pt idx="264">
                  <c:v>2.4972000000000001E-2</c:v>
                </c:pt>
                <c:pt idx="265">
                  <c:v>2.5038000000000001E-2</c:v>
                </c:pt>
                <c:pt idx="266">
                  <c:v>2.4941000000000001E-2</c:v>
                </c:pt>
                <c:pt idx="267">
                  <c:v>2.4843E-2</c:v>
                </c:pt>
                <c:pt idx="268">
                  <c:v>2.4778000000000001E-2</c:v>
                </c:pt>
                <c:pt idx="269">
                  <c:v>2.4844999999999999E-2</c:v>
                </c:pt>
                <c:pt idx="270">
                  <c:v>2.4763E-2</c:v>
                </c:pt>
                <c:pt idx="271">
                  <c:v>2.4813999999999999E-2</c:v>
                </c:pt>
                <c:pt idx="272">
                  <c:v>2.4759E-2</c:v>
                </c:pt>
                <c:pt idx="273">
                  <c:v>2.4849E-2</c:v>
                </c:pt>
                <c:pt idx="274">
                  <c:v>2.4819000000000001E-2</c:v>
                </c:pt>
                <c:pt idx="275">
                  <c:v>2.4757000000000001E-2</c:v>
                </c:pt>
                <c:pt idx="276">
                  <c:v>2.4757999999999999E-2</c:v>
                </c:pt>
                <c:pt idx="277">
                  <c:v>2.4850000000000001E-2</c:v>
                </c:pt>
                <c:pt idx="278">
                  <c:v>2.4922E-2</c:v>
                </c:pt>
                <c:pt idx="279">
                  <c:v>2.4909000000000001E-2</c:v>
                </c:pt>
                <c:pt idx="280">
                  <c:v>2.4978E-2</c:v>
                </c:pt>
                <c:pt idx="281">
                  <c:v>2.4892999999999998E-2</c:v>
                </c:pt>
                <c:pt idx="282">
                  <c:v>2.4934999999999999E-2</c:v>
                </c:pt>
                <c:pt idx="283">
                  <c:v>2.4865999999999999E-2</c:v>
                </c:pt>
                <c:pt idx="284">
                  <c:v>2.4797E-2</c:v>
                </c:pt>
                <c:pt idx="285">
                  <c:v>2.4858000000000002E-2</c:v>
                </c:pt>
                <c:pt idx="286">
                  <c:v>2.4910999999999999E-2</c:v>
                </c:pt>
                <c:pt idx="287">
                  <c:v>2.4929E-2</c:v>
                </c:pt>
                <c:pt idx="288">
                  <c:v>2.4979999999999999E-2</c:v>
                </c:pt>
                <c:pt idx="289">
                  <c:v>2.4969000000000002E-2</c:v>
                </c:pt>
                <c:pt idx="290">
                  <c:v>2.4930999999999998E-2</c:v>
                </c:pt>
                <c:pt idx="291">
                  <c:v>2.4938999999999999E-2</c:v>
                </c:pt>
                <c:pt idx="292">
                  <c:v>2.4915E-2</c:v>
                </c:pt>
                <c:pt idx="293">
                  <c:v>2.5010999999999999E-2</c:v>
                </c:pt>
                <c:pt idx="294">
                  <c:v>2.5017999999999999E-2</c:v>
                </c:pt>
                <c:pt idx="295">
                  <c:v>2.5117E-2</c:v>
                </c:pt>
                <c:pt idx="296">
                  <c:v>2.5104000000000001E-2</c:v>
                </c:pt>
                <c:pt idx="297">
                  <c:v>2.5052000000000001E-2</c:v>
                </c:pt>
                <c:pt idx="298">
                  <c:v>2.5141E-2</c:v>
                </c:pt>
                <c:pt idx="299">
                  <c:v>2.5228E-2</c:v>
                </c:pt>
                <c:pt idx="300">
                  <c:v>2.5326000000000001E-2</c:v>
                </c:pt>
                <c:pt idx="301">
                  <c:v>2.5406000000000001E-2</c:v>
                </c:pt>
                <c:pt idx="302">
                  <c:v>2.5329000000000001E-2</c:v>
                </c:pt>
                <c:pt idx="303">
                  <c:v>2.5246000000000001E-2</c:v>
                </c:pt>
                <c:pt idx="304">
                  <c:v>2.5222000000000001E-2</c:v>
                </c:pt>
                <c:pt idx="305">
                  <c:v>2.5201000000000001E-2</c:v>
                </c:pt>
                <c:pt idx="306">
                  <c:v>2.5215999999999999E-2</c:v>
                </c:pt>
                <c:pt idx="307">
                  <c:v>2.5173000000000001E-2</c:v>
                </c:pt>
                <c:pt idx="308">
                  <c:v>2.5142999999999999E-2</c:v>
                </c:pt>
                <c:pt idx="309">
                  <c:v>2.5197000000000001E-2</c:v>
                </c:pt>
                <c:pt idx="310">
                  <c:v>2.5208999999999999E-2</c:v>
                </c:pt>
                <c:pt idx="311">
                  <c:v>2.5291000000000001E-2</c:v>
                </c:pt>
                <c:pt idx="312">
                  <c:v>2.5340999999999999E-2</c:v>
                </c:pt>
                <c:pt idx="313">
                  <c:v>2.5427000000000002E-2</c:v>
                </c:pt>
                <c:pt idx="314">
                  <c:v>2.5340999999999999E-2</c:v>
                </c:pt>
                <c:pt idx="315">
                  <c:v>2.5326999999999999E-2</c:v>
                </c:pt>
                <c:pt idx="316">
                  <c:v>2.5301000000000001E-2</c:v>
                </c:pt>
                <c:pt idx="317">
                  <c:v>2.5387E-2</c:v>
                </c:pt>
                <c:pt idx="318">
                  <c:v>2.5315000000000001E-2</c:v>
                </c:pt>
                <c:pt idx="319">
                  <c:v>2.5382999999999999E-2</c:v>
                </c:pt>
                <c:pt idx="320">
                  <c:v>2.5453E-2</c:v>
                </c:pt>
                <c:pt idx="321">
                  <c:v>2.5534000000000001E-2</c:v>
                </c:pt>
                <c:pt idx="322">
                  <c:v>2.5565000000000001E-2</c:v>
                </c:pt>
                <c:pt idx="323">
                  <c:v>2.5662999999999998E-2</c:v>
                </c:pt>
                <c:pt idx="324">
                  <c:v>2.5756999999999999E-2</c:v>
                </c:pt>
                <c:pt idx="325">
                  <c:v>2.5787999999999998E-2</c:v>
                </c:pt>
                <c:pt idx="326">
                  <c:v>2.5847999999999999E-2</c:v>
                </c:pt>
                <c:pt idx="327">
                  <c:v>2.5874999999999999E-2</c:v>
                </c:pt>
                <c:pt idx="328">
                  <c:v>2.5829000000000001E-2</c:v>
                </c:pt>
                <c:pt idx="329">
                  <c:v>2.5805000000000002E-2</c:v>
                </c:pt>
                <c:pt idx="330">
                  <c:v>2.5735999999999998E-2</c:v>
                </c:pt>
                <c:pt idx="331">
                  <c:v>2.5773000000000001E-2</c:v>
                </c:pt>
                <c:pt idx="332">
                  <c:v>2.5741E-2</c:v>
                </c:pt>
                <c:pt idx="333">
                  <c:v>2.5697000000000001E-2</c:v>
                </c:pt>
                <c:pt idx="334">
                  <c:v>2.5686E-2</c:v>
                </c:pt>
                <c:pt idx="335">
                  <c:v>2.5662999999999998E-2</c:v>
                </c:pt>
                <c:pt idx="336">
                  <c:v>2.5728000000000001E-2</c:v>
                </c:pt>
                <c:pt idx="337">
                  <c:v>2.5748E-2</c:v>
                </c:pt>
                <c:pt idx="338">
                  <c:v>2.5784000000000001E-2</c:v>
                </c:pt>
                <c:pt idx="339">
                  <c:v>2.5840999999999999E-2</c:v>
                </c:pt>
                <c:pt idx="340">
                  <c:v>2.5864999999999999E-2</c:v>
                </c:pt>
                <c:pt idx="341">
                  <c:v>2.5874000000000001E-2</c:v>
                </c:pt>
                <c:pt idx="342">
                  <c:v>2.5918E-2</c:v>
                </c:pt>
                <c:pt idx="343">
                  <c:v>2.5936000000000001E-2</c:v>
                </c:pt>
                <c:pt idx="344">
                  <c:v>2.5899999999999999E-2</c:v>
                </c:pt>
                <c:pt idx="345">
                  <c:v>2.589E-2</c:v>
                </c:pt>
                <c:pt idx="346">
                  <c:v>2.5846999999999998E-2</c:v>
                </c:pt>
                <c:pt idx="347">
                  <c:v>2.5866E-2</c:v>
                </c:pt>
                <c:pt idx="348">
                  <c:v>2.5871000000000002E-2</c:v>
                </c:pt>
                <c:pt idx="349">
                  <c:v>2.596E-2</c:v>
                </c:pt>
                <c:pt idx="350">
                  <c:v>2.5933000000000001E-2</c:v>
                </c:pt>
                <c:pt idx="351">
                  <c:v>2.5928E-2</c:v>
                </c:pt>
                <c:pt idx="352">
                  <c:v>2.5836999999999999E-2</c:v>
                </c:pt>
                <c:pt idx="353">
                  <c:v>2.5936000000000001E-2</c:v>
                </c:pt>
                <c:pt idx="354">
                  <c:v>2.5978999999999999E-2</c:v>
                </c:pt>
                <c:pt idx="355">
                  <c:v>2.5967E-2</c:v>
                </c:pt>
                <c:pt idx="356">
                  <c:v>2.5942E-2</c:v>
                </c:pt>
                <c:pt idx="357">
                  <c:v>2.5911E-2</c:v>
                </c:pt>
                <c:pt idx="358">
                  <c:v>2.5899999999999999E-2</c:v>
                </c:pt>
                <c:pt idx="359">
                  <c:v>2.5805999999999999E-2</c:v>
                </c:pt>
                <c:pt idx="360">
                  <c:v>2.5831E-2</c:v>
                </c:pt>
                <c:pt idx="361">
                  <c:v>2.5835E-2</c:v>
                </c:pt>
                <c:pt idx="362">
                  <c:v>2.5749000000000001E-2</c:v>
                </c:pt>
                <c:pt idx="363">
                  <c:v>2.5741E-2</c:v>
                </c:pt>
                <c:pt idx="364">
                  <c:v>2.5655000000000001E-2</c:v>
                </c:pt>
                <c:pt idx="365">
                  <c:v>2.5738E-2</c:v>
                </c:pt>
                <c:pt idx="366">
                  <c:v>2.5673000000000001E-2</c:v>
                </c:pt>
                <c:pt idx="367">
                  <c:v>2.5773000000000001E-2</c:v>
                </c:pt>
                <c:pt idx="368">
                  <c:v>2.5763000000000001E-2</c:v>
                </c:pt>
                <c:pt idx="369">
                  <c:v>2.5786E-2</c:v>
                </c:pt>
                <c:pt idx="370">
                  <c:v>2.5697999999999999E-2</c:v>
                </c:pt>
                <c:pt idx="371">
                  <c:v>2.5662999999999998E-2</c:v>
                </c:pt>
                <c:pt idx="372">
                  <c:v>2.5697000000000001E-2</c:v>
                </c:pt>
                <c:pt idx="373">
                  <c:v>2.5617000000000001E-2</c:v>
                </c:pt>
                <c:pt idx="374">
                  <c:v>2.5562000000000001E-2</c:v>
                </c:pt>
                <c:pt idx="375">
                  <c:v>2.5468000000000001E-2</c:v>
                </c:pt>
                <c:pt idx="376">
                  <c:v>2.5427999999999999E-2</c:v>
                </c:pt>
                <c:pt idx="377">
                  <c:v>2.5468000000000001E-2</c:v>
                </c:pt>
                <c:pt idx="378">
                  <c:v>2.5544000000000001E-2</c:v>
                </c:pt>
                <c:pt idx="379">
                  <c:v>2.554E-2</c:v>
                </c:pt>
                <c:pt idx="380">
                  <c:v>2.5578E-2</c:v>
                </c:pt>
                <c:pt idx="381">
                  <c:v>2.5638999999999999E-2</c:v>
                </c:pt>
                <c:pt idx="382">
                  <c:v>2.5718999999999999E-2</c:v>
                </c:pt>
                <c:pt idx="383">
                  <c:v>2.5725000000000001E-2</c:v>
                </c:pt>
                <c:pt idx="384">
                  <c:v>2.5672E-2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871-49FD-B33D-D374FE395580}"/>
            </c:ext>
          </c:extLst>
        </c:ser>
        <c:ser>
          <c:idx val="10"/>
          <c:order val="11"/>
          <c:tx>
            <c:strRef>
              <c:f>'idx data'!$N$2</c:f>
              <c:strCache>
                <c:ptCount val="1"/>
                <c:pt idx="0">
                  <c:v>30yrTr</c:v>
                </c:pt>
              </c:strCache>
            </c:strRef>
          </c:tx>
          <c:spPr>
            <a:ln w="28575" cap="rnd">
              <a:solidFill>
                <a:schemeClr val="accent5">
                  <a:shade val="8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'idx data'!$A$3:$A$387</c:f>
              <c:numCache>
                <c:formatCode>General</c:formatCode>
                <c:ptCount val="3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</c:numCache>
            </c:numRef>
          </c:cat>
          <c:val>
            <c:numRef>
              <c:f>'idx data'!$N$3:$N$387</c:f>
              <c:numCache>
                <c:formatCode>General</c:formatCode>
                <c:ptCount val="385"/>
                <c:pt idx="0">
                  <c:v>2.87E-2</c:v>
                </c:pt>
                <c:pt idx="1">
                  <c:v>2.8659E-2</c:v>
                </c:pt>
                <c:pt idx="2">
                  <c:v>2.8636999999999999E-2</c:v>
                </c:pt>
                <c:pt idx="3">
                  <c:v>2.8603E-2</c:v>
                </c:pt>
                <c:pt idx="4">
                  <c:v>2.8511999999999999E-2</c:v>
                </c:pt>
                <c:pt idx="5">
                  <c:v>2.8485E-2</c:v>
                </c:pt>
                <c:pt idx="6">
                  <c:v>2.8544E-2</c:v>
                </c:pt>
                <c:pt idx="7">
                  <c:v>2.8451000000000001E-2</c:v>
                </c:pt>
                <c:pt idx="8">
                  <c:v>2.8358999999999999E-2</c:v>
                </c:pt>
                <c:pt idx="9">
                  <c:v>2.8386000000000002E-2</c:v>
                </c:pt>
                <c:pt idx="10">
                  <c:v>2.8336E-2</c:v>
                </c:pt>
                <c:pt idx="11">
                  <c:v>2.8237999999999999E-2</c:v>
                </c:pt>
                <c:pt idx="12">
                  <c:v>2.8174000000000001E-2</c:v>
                </c:pt>
                <c:pt idx="13">
                  <c:v>2.8239E-2</c:v>
                </c:pt>
                <c:pt idx="14">
                  <c:v>2.8150000000000001E-2</c:v>
                </c:pt>
                <c:pt idx="15">
                  <c:v>2.8105000000000002E-2</c:v>
                </c:pt>
                <c:pt idx="16">
                  <c:v>2.8077999999999999E-2</c:v>
                </c:pt>
                <c:pt idx="17">
                  <c:v>2.8178000000000002E-2</c:v>
                </c:pt>
                <c:pt idx="18">
                  <c:v>2.8088999999999999E-2</c:v>
                </c:pt>
                <c:pt idx="19">
                  <c:v>2.8045E-2</c:v>
                </c:pt>
                <c:pt idx="20">
                  <c:v>2.8143000000000001E-2</c:v>
                </c:pt>
                <c:pt idx="21">
                  <c:v>2.8045E-2</c:v>
                </c:pt>
                <c:pt idx="22">
                  <c:v>2.8059000000000001E-2</c:v>
                </c:pt>
                <c:pt idx="23">
                  <c:v>2.8046999999999999E-2</c:v>
                </c:pt>
                <c:pt idx="24">
                  <c:v>2.8055E-2</c:v>
                </c:pt>
                <c:pt idx="25">
                  <c:v>2.7972E-2</c:v>
                </c:pt>
                <c:pt idx="26">
                  <c:v>2.7969999999999998E-2</c:v>
                </c:pt>
                <c:pt idx="27">
                  <c:v>2.7952999999999999E-2</c:v>
                </c:pt>
                <c:pt idx="28">
                  <c:v>2.8052000000000001E-2</c:v>
                </c:pt>
                <c:pt idx="29">
                  <c:v>2.8076E-2</c:v>
                </c:pt>
                <c:pt idx="30">
                  <c:v>2.809E-2</c:v>
                </c:pt>
                <c:pt idx="31">
                  <c:v>2.8188999999999999E-2</c:v>
                </c:pt>
                <c:pt idx="32">
                  <c:v>2.8111000000000001E-2</c:v>
                </c:pt>
                <c:pt idx="33">
                  <c:v>2.8115999999999999E-2</c:v>
                </c:pt>
                <c:pt idx="34">
                  <c:v>2.8146000000000001E-2</c:v>
                </c:pt>
                <c:pt idx="35">
                  <c:v>2.8192999999999999E-2</c:v>
                </c:pt>
                <c:pt idx="36">
                  <c:v>2.8258999999999999E-2</c:v>
                </c:pt>
                <c:pt idx="37">
                  <c:v>2.8258999999999999E-2</c:v>
                </c:pt>
                <c:pt idx="38">
                  <c:v>2.8257000000000001E-2</c:v>
                </c:pt>
                <c:pt idx="39">
                  <c:v>2.819E-2</c:v>
                </c:pt>
                <c:pt idx="40">
                  <c:v>2.8216000000000001E-2</c:v>
                </c:pt>
                <c:pt idx="41">
                  <c:v>2.8242E-2</c:v>
                </c:pt>
                <c:pt idx="42">
                  <c:v>2.8258999999999999E-2</c:v>
                </c:pt>
                <c:pt idx="43">
                  <c:v>2.8254000000000001E-2</c:v>
                </c:pt>
                <c:pt idx="44">
                  <c:v>2.8334999999999999E-2</c:v>
                </c:pt>
                <c:pt idx="45">
                  <c:v>2.8426E-2</c:v>
                </c:pt>
                <c:pt idx="46">
                  <c:v>2.8458000000000001E-2</c:v>
                </c:pt>
                <c:pt idx="47">
                  <c:v>2.8545999999999998E-2</c:v>
                </c:pt>
                <c:pt idx="48">
                  <c:v>2.8546999999999999E-2</c:v>
                </c:pt>
                <c:pt idx="49">
                  <c:v>2.8558E-2</c:v>
                </c:pt>
                <c:pt idx="50">
                  <c:v>2.8492E-2</c:v>
                </c:pt>
                <c:pt idx="51">
                  <c:v>2.8435999999999999E-2</c:v>
                </c:pt>
                <c:pt idx="52">
                  <c:v>2.8518999999999999E-2</c:v>
                </c:pt>
                <c:pt idx="53">
                  <c:v>2.8597999999999998E-2</c:v>
                </c:pt>
                <c:pt idx="54">
                  <c:v>2.8509E-2</c:v>
                </c:pt>
                <c:pt idx="55">
                  <c:v>2.8443E-2</c:v>
                </c:pt>
                <c:pt idx="56">
                  <c:v>2.8458000000000001E-2</c:v>
                </c:pt>
                <c:pt idx="57">
                  <c:v>2.8358999999999999E-2</c:v>
                </c:pt>
                <c:pt idx="58">
                  <c:v>2.828E-2</c:v>
                </c:pt>
                <c:pt idx="59">
                  <c:v>2.8201E-2</c:v>
                </c:pt>
                <c:pt idx="60">
                  <c:v>2.8160999999999999E-2</c:v>
                </c:pt>
                <c:pt idx="61">
                  <c:v>2.8251999999999999E-2</c:v>
                </c:pt>
                <c:pt idx="62">
                  <c:v>2.8347000000000001E-2</c:v>
                </c:pt>
                <c:pt idx="63">
                  <c:v>2.8263E-2</c:v>
                </c:pt>
                <c:pt idx="64">
                  <c:v>2.8246E-2</c:v>
                </c:pt>
                <c:pt idx="65">
                  <c:v>2.8228E-2</c:v>
                </c:pt>
                <c:pt idx="66">
                  <c:v>2.8176E-2</c:v>
                </c:pt>
                <c:pt idx="67">
                  <c:v>2.8083E-2</c:v>
                </c:pt>
                <c:pt idx="68">
                  <c:v>2.8024E-2</c:v>
                </c:pt>
                <c:pt idx="69">
                  <c:v>2.7959000000000001E-2</c:v>
                </c:pt>
                <c:pt idx="70">
                  <c:v>2.7893999999999999E-2</c:v>
                </c:pt>
                <c:pt idx="71">
                  <c:v>2.7980999999999999E-2</c:v>
                </c:pt>
                <c:pt idx="72">
                  <c:v>2.7970999999999999E-2</c:v>
                </c:pt>
                <c:pt idx="73">
                  <c:v>2.794E-2</c:v>
                </c:pt>
                <c:pt idx="74">
                  <c:v>2.8011999999999999E-2</c:v>
                </c:pt>
                <c:pt idx="75">
                  <c:v>2.794E-2</c:v>
                </c:pt>
                <c:pt idx="76">
                  <c:v>2.7917999999999998E-2</c:v>
                </c:pt>
                <c:pt idx="77">
                  <c:v>2.7904000000000002E-2</c:v>
                </c:pt>
                <c:pt idx="78">
                  <c:v>2.7987999999999999E-2</c:v>
                </c:pt>
                <c:pt idx="79">
                  <c:v>2.8014000000000001E-2</c:v>
                </c:pt>
                <c:pt idx="80">
                  <c:v>2.8058E-2</c:v>
                </c:pt>
                <c:pt idx="81">
                  <c:v>2.8136999999999999E-2</c:v>
                </c:pt>
                <c:pt idx="82">
                  <c:v>2.8048E-2</c:v>
                </c:pt>
                <c:pt idx="83">
                  <c:v>2.8007000000000001E-2</c:v>
                </c:pt>
                <c:pt idx="84">
                  <c:v>2.7941000000000001E-2</c:v>
                </c:pt>
                <c:pt idx="85">
                  <c:v>2.8035999999999998E-2</c:v>
                </c:pt>
                <c:pt idx="86">
                  <c:v>2.8049999999999999E-2</c:v>
                </c:pt>
                <c:pt idx="87">
                  <c:v>2.8035999999999998E-2</c:v>
                </c:pt>
                <c:pt idx="88">
                  <c:v>2.8015000000000002E-2</c:v>
                </c:pt>
                <c:pt idx="89">
                  <c:v>2.7958E-2</c:v>
                </c:pt>
                <c:pt idx="90">
                  <c:v>2.7903000000000001E-2</c:v>
                </c:pt>
                <c:pt idx="91">
                  <c:v>2.7806999999999998E-2</c:v>
                </c:pt>
                <c:pt idx="92">
                  <c:v>2.7824999999999999E-2</c:v>
                </c:pt>
                <c:pt idx="93">
                  <c:v>2.7782999999999999E-2</c:v>
                </c:pt>
                <c:pt idx="94">
                  <c:v>2.7841999999999999E-2</c:v>
                </c:pt>
                <c:pt idx="95">
                  <c:v>2.7906E-2</c:v>
                </c:pt>
                <c:pt idx="96">
                  <c:v>2.7827000000000001E-2</c:v>
                </c:pt>
                <c:pt idx="97">
                  <c:v>2.7754999999999998E-2</c:v>
                </c:pt>
                <c:pt idx="98">
                  <c:v>2.7703999999999999E-2</c:v>
                </c:pt>
                <c:pt idx="99">
                  <c:v>2.7800999999999999E-2</c:v>
                </c:pt>
                <c:pt idx="100">
                  <c:v>2.7716999999999999E-2</c:v>
                </c:pt>
                <c:pt idx="101">
                  <c:v>2.7699999999999999E-2</c:v>
                </c:pt>
                <c:pt idx="102">
                  <c:v>2.7709999999999999E-2</c:v>
                </c:pt>
                <c:pt idx="103">
                  <c:v>2.7733000000000001E-2</c:v>
                </c:pt>
                <c:pt idx="104">
                  <c:v>2.7663E-2</c:v>
                </c:pt>
                <c:pt idx="105">
                  <c:v>2.7730999999999999E-2</c:v>
                </c:pt>
                <c:pt idx="106">
                  <c:v>2.7786999999999999E-2</c:v>
                </c:pt>
                <c:pt idx="107">
                  <c:v>2.7858999999999998E-2</c:v>
                </c:pt>
                <c:pt idx="108">
                  <c:v>2.7857E-2</c:v>
                </c:pt>
                <c:pt idx="109">
                  <c:v>2.7897000000000002E-2</c:v>
                </c:pt>
                <c:pt idx="110">
                  <c:v>2.7935000000000001E-2</c:v>
                </c:pt>
                <c:pt idx="111">
                  <c:v>2.8029999999999999E-2</c:v>
                </c:pt>
                <c:pt idx="112">
                  <c:v>2.7941000000000001E-2</c:v>
                </c:pt>
                <c:pt idx="113">
                  <c:v>2.7937E-2</c:v>
                </c:pt>
                <c:pt idx="114">
                  <c:v>2.7977999999999999E-2</c:v>
                </c:pt>
                <c:pt idx="115">
                  <c:v>2.7893000000000001E-2</c:v>
                </c:pt>
                <c:pt idx="116">
                  <c:v>2.7802E-2</c:v>
                </c:pt>
                <c:pt idx="117">
                  <c:v>2.7886999999999999E-2</c:v>
                </c:pt>
                <c:pt idx="118">
                  <c:v>2.7987000000000001E-2</c:v>
                </c:pt>
                <c:pt idx="119">
                  <c:v>2.8046999999999999E-2</c:v>
                </c:pt>
                <c:pt idx="120">
                  <c:v>2.8004999999999999E-2</c:v>
                </c:pt>
                <c:pt idx="121">
                  <c:v>2.7954E-2</c:v>
                </c:pt>
                <c:pt idx="122">
                  <c:v>2.7993000000000001E-2</c:v>
                </c:pt>
                <c:pt idx="123">
                  <c:v>2.8051E-2</c:v>
                </c:pt>
                <c:pt idx="124">
                  <c:v>2.8133999999999999E-2</c:v>
                </c:pt>
                <c:pt idx="125">
                  <c:v>2.8087000000000001E-2</c:v>
                </c:pt>
                <c:pt idx="126">
                  <c:v>2.8025999999999999E-2</c:v>
                </c:pt>
                <c:pt idx="127">
                  <c:v>2.8011999999999999E-2</c:v>
                </c:pt>
                <c:pt idx="128">
                  <c:v>2.7959999999999999E-2</c:v>
                </c:pt>
                <c:pt idx="129">
                  <c:v>2.7871E-2</c:v>
                </c:pt>
                <c:pt idx="130">
                  <c:v>2.7866999999999999E-2</c:v>
                </c:pt>
                <c:pt idx="131">
                  <c:v>2.7813999999999998E-2</c:v>
                </c:pt>
                <c:pt idx="132">
                  <c:v>2.7736E-2</c:v>
                </c:pt>
                <c:pt idx="133">
                  <c:v>2.7799000000000001E-2</c:v>
                </c:pt>
                <c:pt idx="134">
                  <c:v>2.7706000000000001E-2</c:v>
                </c:pt>
                <c:pt idx="135">
                  <c:v>2.7765999999999999E-2</c:v>
                </c:pt>
                <c:pt idx="136">
                  <c:v>2.7793999999999999E-2</c:v>
                </c:pt>
                <c:pt idx="137">
                  <c:v>2.7862999999999999E-2</c:v>
                </c:pt>
                <c:pt idx="138">
                  <c:v>2.7817000000000001E-2</c:v>
                </c:pt>
                <c:pt idx="139">
                  <c:v>2.7775999999999999E-2</c:v>
                </c:pt>
                <c:pt idx="140">
                  <c:v>2.7876000000000001E-2</c:v>
                </c:pt>
                <c:pt idx="141">
                  <c:v>2.7934E-2</c:v>
                </c:pt>
                <c:pt idx="142">
                  <c:v>2.7990999999999999E-2</c:v>
                </c:pt>
                <c:pt idx="143">
                  <c:v>2.7965E-2</c:v>
                </c:pt>
                <c:pt idx="144">
                  <c:v>2.8014000000000001E-2</c:v>
                </c:pt>
                <c:pt idx="145">
                  <c:v>2.8022999999999999E-2</c:v>
                </c:pt>
                <c:pt idx="146">
                  <c:v>2.8077000000000001E-2</c:v>
                </c:pt>
                <c:pt idx="147">
                  <c:v>2.8080000000000001E-2</c:v>
                </c:pt>
                <c:pt idx="148">
                  <c:v>2.8011000000000001E-2</c:v>
                </c:pt>
                <c:pt idx="149">
                  <c:v>2.8055E-2</c:v>
                </c:pt>
                <c:pt idx="150">
                  <c:v>2.8039000000000001E-2</c:v>
                </c:pt>
                <c:pt idx="151">
                  <c:v>2.8001999999999999E-2</c:v>
                </c:pt>
                <c:pt idx="152">
                  <c:v>2.7949000000000002E-2</c:v>
                </c:pt>
                <c:pt idx="153">
                  <c:v>2.7886999999999999E-2</c:v>
                </c:pt>
                <c:pt idx="154">
                  <c:v>2.7806000000000001E-2</c:v>
                </c:pt>
                <c:pt idx="155">
                  <c:v>2.7816E-2</c:v>
                </c:pt>
                <c:pt idx="156">
                  <c:v>2.7834000000000001E-2</c:v>
                </c:pt>
                <c:pt idx="157">
                  <c:v>2.7767E-2</c:v>
                </c:pt>
                <c:pt idx="158">
                  <c:v>2.7779999999999999E-2</c:v>
                </c:pt>
                <c:pt idx="159">
                  <c:v>2.7833E-2</c:v>
                </c:pt>
                <c:pt idx="160">
                  <c:v>2.785E-2</c:v>
                </c:pt>
                <c:pt idx="161">
                  <c:v>2.776E-2</c:v>
                </c:pt>
                <c:pt idx="162">
                  <c:v>2.7675000000000002E-2</c:v>
                </c:pt>
                <c:pt idx="163">
                  <c:v>2.7598000000000001E-2</c:v>
                </c:pt>
                <c:pt idx="164">
                  <c:v>2.7566E-2</c:v>
                </c:pt>
                <c:pt idx="165">
                  <c:v>2.7646E-2</c:v>
                </c:pt>
                <c:pt idx="166">
                  <c:v>2.7581999999999999E-2</c:v>
                </c:pt>
                <c:pt idx="167">
                  <c:v>2.7667000000000001E-2</c:v>
                </c:pt>
                <c:pt idx="168">
                  <c:v>2.7616000000000002E-2</c:v>
                </c:pt>
                <c:pt idx="169">
                  <c:v>2.7681000000000001E-2</c:v>
                </c:pt>
                <c:pt idx="170">
                  <c:v>2.7725E-2</c:v>
                </c:pt>
                <c:pt idx="171">
                  <c:v>2.7633000000000001E-2</c:v>
                </c:pt>
                <c:pt idx="172">
                  <c:v>2.7646E-2</c:v>
                </c:pt>
                <c:pt idx="173">
                  <c:v>2.7712000000000001E-2</c:v>
                </c:pt>
                <c:pt idx="174">
                  <c:v>2.7656E-2</c:v>
                </c:pt>
                <c:pt idx="175">
                  <c:v>2.7626999999999999E-2</c:v>
                </c:pt>
                <c:pt idx="176">
                  <c:v>2.7723999999999999E-2</c:v>
                </c:pt>
                <c:pt idx="177">
                  <c:v>2.7625E-2</c:v>
                </c:pt>
                <c:pt idx="178">
                  <c:v>2.7702999999999998E-2</c:v>
                </c:pt>
                <c:pt idx="179">
                  <c:v>2.7744000000000001E-2</c:v>
                </c:pt>
                <c:pt idx="180">
                  <c:v>2.7743E-2</c:v>
                </c:pt>
                <c:pt idx="181">
                  <c:v>2.7661999999999999E-2</c:v>
                </c:pt>
                <c:pt idx="182">
                  <c:v>2.7671999999999999E-2</c:v>
                </c:pt>
                <c:pt idx="183">
                  <c:v>2.7584999999999998E-2</c:v>
                </c:pt>
                <c:pt idx="184">
                  <c:v>2.7640000000000001E-2</c:v>
                </c:pt>
                <c:pt idx="185">
                  <c:v>2.7560000000000001E-2</c:v>
                </c:pt>
                <c:pt idx="186">
                  <c:v>2.7567000000000001E-2</c:v>
                </c:pt>
                <c:pt idx="187">
                  <c:v>2.7663E-2</c:v>
                </c:pt>
                <c:pt idx="188">
                  <c:v>2.7569E-2</c:v>
                </c:pt>
                <c:pt idx="189">
                  <c:v>2.7601000000000001E-2</c:v>
                </c:pt>
                <c:pt idx="190">
                  <c:v>2.7546000000000001E-2</c:v>
                </c:pt>
                <c:pt idx="191">
                  <c:v>2.7504000000000001E-2</c:v>
                </c:pt>
                <c:pt idx="192">
                  <c:v>2.7480999999999998E-2</c:v>
                </c:pt>
                <c:pt idx="193">
                  <c:v>2.7574999999999999E-2</c:v>
                </c:pt>
                <c:pt idx="194">
                  <c:v>2.7501999999999999E-2</c:v>
                </c:pt>
                <c:pt idx="195">
                  <c:v>2.7546999999999999E-2</c:v>
                </c:pt>
                <c:pt idx="196">
                  <c:v>2.7505000000000002E-2</c:v>
                </c:pt>
                <c:pt idx="197">
                  <c:v>2.7507E-2</c:v>
                </c:pt>
                <c:pt idx="198">
                  <c:v>2.7570000000000001E-2</c:v>
                </c:pt>
                <c:pt idx="199">
                  <c:v>2.7539000000000001E-2</c:v>
                </c:pt>
                <c:pt idx="200">
                  <c:v>2.7473000000000001E-2</c:v>
                </c:pt>
                <c:pt idx="201">
                  <c:v>2.7541E-2</c:v>
                </c:pt>
                <c:pt idx="202">
                  <c:v>2.7463999999999999E-2</c:v>
                </c:pt>
                <c:pt idx="203">
                  <c:v>2.7545E-2</c:v>
                </c:pt>
                <c:pt idx="204">
                  <c:v>2.7529000000000001E-2</c:v>
                </c:pt>
                <c:pt idx="205">
                  <c:v>2.7439999999999999E-2</c:v>
                </c:pt>
                <c:pt idx="206">
                  <c:v>2.7397000000000001E-2</c:v>
                </c:pt>
                <c:pt idx="207">
                  <c:v>2.7366000000000001E-2</c:v>
                </c:pt>
                <c:pt idx="208">
                  <c:v>2.7394999999999999E-2</c:v>
                </c:pt>
                <c:pt idx="209">
                  <c:v>2.7400000000000001E-2</c:v>
                </c:pt>
                <c:pt idx="210">
                  <c:v>2.7448E-2</c:v>
                </c:pt>
                <c:pt idx="211">
                  <c:v>2.7435000000000001E-2</c:v>
                </c:pt>
                <c:pt idx="212">
                  <c:v>2.7507E-2</c:v>
                </c:pt>
                <c:pt idx="213">
                  <c:v>2.7472E-2</c:v>
                </c:pt>
                <c:pt idx="214">
                  <c:v>2.7508999999999999E-2</c:v>
                </c:pt>
                <c:pt idx="215">
                  <c:v>2.7434E-2</c:v>
                </c:pt>
                <c:pt idx="216">
                  <c:v>2.7338000000000001E-2</c:v>
                </c:pt>
                <c:pt idx="217">
                  <c:v>2.7279000000000001E-2</c:v>
                </c:pt>
                <c:pt idx="218">
                  <c:v>2.7317999999999999E-2</c:v>
                </c:pt>
                <c:pt idx="219">
                  <c:v>2.7274E-2</c:v>
                </c:pt>
                <c:pt idx="220">
                  <c:v>2.7254E-2</c:v>
                </c:pt>
                <c:pt idx="221">
                  <c:v>2.7282000000000001E-2</c:v>
                </c:pt>
                <c:pt idx="222">
                  <c:v>2.7243E-2</c:v>
                </c:pt>
                <c:pt idx="223">
                  <c:v>2.7168000000000001E-2</c:v>
                </c:pt>
                <c:pt idx="224">
                  <c:v>2.7168000000000001E-2</c:v>
                </c:pt>
                <c:pt idx="225">
                  <c:v>2.7122E-2</c:v>
                </c:pt>
                <c:pt idx="226">
                  <c:v>2.7165999999999999E-2</c:v>
                </c:pt>
                <c:pt idx="227">
                  <c:v>2.7236E-2</c:v>
                </c:pt>
                <c:pt idx="228">
                  <c:v>2.7241000000000001E-2</c:v>
                </c:pt>
                <c:pt idx="229">
                  <c:v>2.7320000000000001E-2</c:v>
                </c:pt>
                <c:pt idx="230">
                  <c:v>2.7373000000000001E-2</c:v>
                </c:pt>
                <c:pt idx="231">
                  <c:v>2.7456000000000001E-2</c:v>
                </c:pt>
                <c:pt idx="232">
                  <c:v>2.7486E-2</c:v>
                </c:pt>
                <c:pt idx="233">
                  <c:v>2.7486E-2</c:v>
                </c:pt>
                <c:pt idx="234">
                  <c:v>2.7407999999999998E-2</c:v>
                </c:pt>
                <c:pt idx="235">
                  <c:v>2.7497000000000001E-2</c:v>
                </c:pt>
                <c:pt idx="236">
                  <c:v>2.751E-2</c:v>
                </c:pt>
                <c:pt idx="237">
                  <c:v>2.7508999999999999E-2</c:v>
                </c:pt>
                <c:pt idx="238">
                  <c:v>2.7473000000000001E-2</c:v>
                </c:pt>
                <c:pt idx="239">
                  <c:v>2.7563000000000001E-2</c:v>
                </c:pt>
                <c:pt idx="240">
                  <c:v>2.7644999999999999E-2</c:v>
                </c:pt>
                <c:pt idx="241">
                  <c:v>2.7619000000000001E-2</c:v>
                </c:pt>
                <c:pt idx="242">
                  <c:v>2.7643000000000001E-2</c:v>
                </c:pt>
                <c:pt idx="243">
                  <c:v>2.7681999999999998E-2</c:v>
                </c:pt>
                <c:pt idx="244">
                  <c:v>2.7595000000000001E-2</c:v>
                </c:pt>
                <c:pt idx="245">
                  <c:v>2.7633000000000001E-2</c:v>
                </c:pt>
                <c:pt idx="246">
                  <c:v>2.7673E-2</c:v>
                </c:pt>
                <c:pt idx="247">
                  <c:v>2.7732E-2</c:v>
                </c:pt>
                <c:pt idx="248">
                  <c:v>2.7827000000000001E-2</c:v>
                </c:pt>
                <c:pt idx="249">
                  <c:v>2.776E-2</c:v>
                </c:pt>
                <c:pt idx="250">
                  <c:v>2.7831999999999999E-2</c:v>
                </c:pt>
                <c:pt idx="251">
                  <c:v>2.793E-2</c:v>
                </c:pt>
                <c:pt idx="252">
                  <c:v>2.7916E-2</c:v>
                </c:pt>
                <c:pt idx="253">
                  <c:v>2.7848000000000001E-2</c:v>
                </c:pt>
                <c:pt idx="254">
                  <c:v>2.785E-2</c:v>
                </c:pt>
                <c:pt idx="255">
                  <c:v>2.7793000000000002E-2</c:v>
                </c:pt>
                <c:pt idx="256">
                  <c:v>2.7757E-2</c:v>
                </c:pt>
                <c:pt idx="257">
                  <c:v>2.7671000000000001E-2</c:v>
                </c:pt>
                <c:pt idx="258">
                  <c:v>2.7668000000000002E-2</c:v>
                </c:pt>
                <c:pt idx="259">
                  <c:v>2.7598000000000001E-2</c:v>
                </c:pt>
                <c:pt idx="260">
                  <c:v>2.7567999999999999E-2</c:v>
                </c:pt>
                <c:pt idx="261">
                  <c:v>2.7615000000000001E-2</c:v>
                </c:pt>
                <c:pt idx="262">
                  <c:v>2.7569E-2</c:v>
                </c:pt>
                <c:pt idx="263">
                  <c:v>2.7647000000000001E-2</c:v>
                </c:pt>
                <c:pt idx="264">
                  <c:v>2.7649E-2</c:v>
                </c:pt>
                <c:pt idx="265">
                  <c:v>2.7567999999999999E-2</c:v>
                </c:pt>
                <c:pt idx="266">
                  <c:v>2.7549000000000001E-2</c:v>
                </c:pt>
                <c:pt idx="267">
                  <c:v>2.7501000000000001E-2</c:v>
                </c:pt>
                <c:pt idx="268">
                  <c:v>2.7494000000000001E-2</c:v>
                </c:pt>
                <c:pt idx="269">
                  <c:v>2.7455E-2</c:v>
                </c:pt>
                <c:pt idx="270">
                  <c:v>2.7448E-2</c:v>
                </c:pt>
                <c:pt idx="271">
                  <c:v>2.7383000000000001E-2</c:v>
                </c:pt>
                <c:pt idx="272">
                  <c:v>2.7349999999999999E-2</c:v>
                </c:pt>
                <c:pt idx="273">
                  <c:v>2.7272999999999999E-2</c:v>
                </c:pt>
                <c:pt idx="274">
                  <c:v>2.7286000000000001E-2</c:v>
                </c:pt>
                <c:pt idx="275">
                  <c:v>2.7199999999999998E-2</c:v>
                </c:pt>
                <c:pt idx="276">
                  <c:v>2.7120999999999999E-2</c:v>
                </c:pt>
                <c:pt idx="277">
                  <c:v>2.7182000000000001E-2</c:v>
                </c:pt>
                <c:pt idx="278">
                  <c:v>2.7119999999999998E-2</c:v>
                </c:pt>
                <c:pt idx="279">
                  <c:v>2.7147999999999999E-2</c:v>
                </c:pt>
                <c:pt idx="280">
                  <c:v>2.7099999999999999E-2</c:v>
                </c:pt>
                <c:pt idx="281">
                  <c:v>2.7016999999999999E-2</c:v>
                </c:pt>
                <c:pt idx="282">
                  <c:v>2.6991999999999999E-2</c:v>
                </c:pt>
                <c:pt idx="283">
                  <c:v>2.6903E-2</c:v>
                </c:pt>
                <c:pt idx="284">
                  <c:v>2.6870999999999999E-2</c:v>
                </c:pt>
                <c:pt idx="285">
                  <c:v>2.6848E-2</c:v>
                </c:pt>
                <c:pt idx="286">
                  <c:v>2.6811000000000001E-2</c:v>
                </c:pt>
                <c:pt idx="287">
                  <c:v>2.6865E-2</c:v>
                </c:pt>
                <c:pt idx="288">
                  <c:v>2.6873999999999999E-2</c:v>
                </c:pt>
                <c:pt idx="289">
                  <c:v>2.6943000000000002E-2</c:v>
                </c:pt>
                <c:pt idx="290">
                  <c:v>2.6971999999999999E-2</c:v>
                </c:pt>
                <c:pt idx="291">
                  <c:v>2.6884000000000002E-2</c:v>
                </c:pt>
                <c:pt idx="292">
                  <c:v>2.6896E-2</c:v>
                </c:pt>
                <c:pt idx="293">
                  <c:v>2.6952E-2</c:v>
                </c:pt>
                <c:pt idx="294">
                  <c:v>2.6901000000000001E-2</c:v>
                </c:pt>
                <c:pt idx="295">
                  <c:v>2.6905999999999999E-2</c:v>
                </c:pt>
                <c:pt idx="296">
                  <c:v>2.6931E-2</c:v>
                </c:pt>
                <c:pt idx="297">
                  <c:v>2.6967999999999999E-2</c:v>
                </c:pt>
                <c:pt idx="298">
                  <c:v>2.6991000000000001E-2</c:v>
                </c:pt>
                <c:pt idx="299">
                  <c:v>2.6908000000000001E-2</c:v>
                </c:pt>
                <c:pt idx="300">
                  <c:v>2.6904999999999998E-2</c:v>
                </c:pt>
                <c:pt idx="301">
                  <c:v>2.6995999999999999E-2</c:v>
                </c:pt>
                <c:pt idx="302">
                  <c:v>2.6981000000000002E-2</c:v>
                </c:pt>
                <c:pt idx="303">
                  <c:v>2.7075999999999999E-2</c:v>
                </c:pt>
                <c:pt idx="304">
                  <c:v>2.7144999999999999E-2</c:v>
                </c:pt>
                <c:pt idx="305">
                  <c:v>2.7046000000000001E-2</c:v>
                </c:pt>
                <c:pt idx="306">
                  <c:v>2.7118E-2</c:v>
                </c:pt>
                <c:pt idx="307">
                  <c:v>2.7199000000000001E-2</c:v>
                </c:pt>
                <c:pt idx="308">
                  <c:v>2.7129E-2</c:v>
                </c:pt>
                <c:pt idx="309">
                  <c:v>2.7105000000000001E-2</c:v>
                </c:pt>
                <c:pt idx="310">
                  <c:v>2.7102000000000001E-2</c:v>
                </c:pt>
                <c:pt idx="311">
                  <c:v>2.7097E-2</c:v>
                </c:pt>
                <c:pt idx="312">
                  <c:v>2.708E-2</c:v>
                </c:pt>
                <c:pt idx="313">
                  <c:v>2.7102000000000001E-2</c:v>
                </c:pt>
                <c:pt idx="314">
                  <c:v>2.7141999999999999E-2</c:v>
                </c:pt>
                <c:pt idx="315">
                  <c:v>2.7106999999999999E-2</c:v>
                </c:pt>
                <c:pt idx="316">
                  <c:v>2.7057000000000001E-2</c:v>
                </c:pt>
                <c:pt idx="317">
                  <c:v>2.7036000000000001E-2</c:v>
                </c:pt>
                <c:pt idx="318">
                  <c:v>2.7011E-2</c:v>
                </c:pt>
                <c:pt idx="319">
                  <c:v>2.6963000000000001E-2</c:v>
                </c:pt>
                <c:pt idx="320">
                  <c:v>2.7050000000000001E-2</c:v>
                </c:pt>
                <c:pt idx="321">
                  <c:v>2.6991000000000001E-2</c:v>
                </c:pt>
                <c:pt idx="322">
                  <c:v>2.6934E-2</c:v>
                </c:pt>
                <c:pt idx="323">
                  <c:v>2.6886E-2</c:v>
                </c:pt>
                <c:pt idx="324">
                  <c:v>2.6839999999999999E-2</c:v>
                </c:pt>
                <c:pt idx="325">
                  <c:v>2.6856000000000001E-2</c:v>
                </c:pt>
                <c:pt idx="326">
                  <c:v>2.6869000000000001E-2</c:v>
                </c:pt>
                <c:pt idx="327">
                  <c:v>2.6845000000000001E-2</c:v>
                </c:pt>
                <c:pt idx="328">
                  <c:v>2.6793999999999998E-2</c:v>
                </c:pt>
                <c:pt idx="329">
                  <c:v>2.6769999999999999E-2</c:v>
                </c:pt>
                <c:pt idx="330">
                  <c:v>2.6800000000000001E-2</c:v>
                </c:pt>
                <c:pt idx="331">
                  <c:v>2.6842999999999999E-2</c:v>
                </c:pt>
                <c:pt idx="332">
                  <c:v>2.6887999999999999E-2</c:v>
                </c:pt>
                <c:pt idx="333">
                  <c:v>2.6894000000000001E-2</c:v>
                </c:pt>
                <c:pt idx="334">
                  <c:v>2.6941E-2</c:v>
                </c:pt>
                <c:pt idx="335">
                  <c:v>2.7029000000000001E-2</c:v>
                </c:pt>
                <c:pt idx="336">
                  <c:v>2.7033000000000001E-2</c:v>
                </c:pt>
                <c:pt idx="337">
                  <c:v>2.7120999999999999E-2</c:v>
                </c:pt>
                <c:pt idx="338">
                  <c:v>2.7196000000000001E-2</c:v>
                </c:pt>
                <c:pt idx="339">
                  <c:v>2.7192999999999998E-2</c:v>
                </c:pt>
                <c:pt idx="340">
                  <c:v>2.717E-2</c:v>
                </c:pt>
                <c:pt idx="341">
                  <c:v>2.726E-2</c:v>
                </c:pt>
                <c:pt idx="342">
                  <c:v>2.7289000000000001E-2</c:v>
                </c:pt>
                <c:pt idx="343">
                  <c:v>2.7189999999999999E-2</c:v>
                </c:pt>
                <c:pt idx="344">
                  <c:v>2.7274E-2</c:v>
                </c:pt>
                <c:pt idx="345">
                  <c:v>2.7213000000000001E-2</c:v>
                </c:pt>
                <c:pt idx="346">
                  <c:v>2.7199000000000001E-2</c:v>
                </c:pt>
                <c:pt idx="347">
                  <c:v>2.7231999999999999E-2</c:v>
                </c:pt>
                <c:pt idx="348">
                  <c:v>2.7309E-2</c:v>
                </c:pt>
                <c:pt idx="349">
                  <c:v>2.7316E-2</c:v>
                </c:pt>
                <c:pt idx="350">
                  <c:v>2.7392E-2</c:v>
                </c:pt>
                <c:pt idx="351">
                  <c:v>2.7411999999999999E-2</c:v>
                </c:pt>
                <c:pt idx="352">
                  <c:v>2.7394999999999999E-2</c:v>
                </c:pt>
                <c:pt idx="353">
                  <c:v>2.7467999999999999E-2</c:v>
                </c:pt>
                <c:pt idx="354">
                  <c:v>2.7505999999999999E-2</c:v>
                </c:pt>
                <c:pt idx="355">
                  <c:v>2.7479E-2</c:v>
                </c:pt>
                <c:pt idx="356">
                  <c:v>2.7437E-2</c:v>
                </c:pt>
                <c:pt idx="357">
                  <c:v>2.7432000000000002E-2</c:v>
                </c:pt>
                <c:pt idx="358">
                  <c:v>2.7481999999999999E-2</c:v>
                </c:pt>
                <c:pt idx="359">
                  <c:v>2.7529000000000001E-2</c:v>
                </c:pt>
                <c:pt idx="360">
                  <c:v>2.7453999999999999E-2</c:v>
                </c:pt>
                <c:pt idx="361">
                  <c:v>2.7362000000000001E-2</c:v>
                </c:pt>
                <c:pt idx="362">
                  <c:v>2.7442999999999999E-2</c:v>
                </c:pt>
                <c:pt idx="363">
                  <c:v>2.7366999999999999E-2</c:v>
                </c:pt>
                <c:pt idx="364">
                  <c:v>2.7356999999999999E-2</c:v>
                </c:pt>
                <c:pt idx="365">
                  <c:v>2.7310999999999998E-2</c:v>
                </c:pt>
                <c:pt idx="366">
                  <c:v>2.7338000000000001E-2</c:v>
                </c:pt>
                <c:pt idx="367">
                  <c:v>2.7313E-2</c:v>
                </c:pt>
                <c:pt idx="368">
                  <c:v>2.7285E-2</c:v>
                </c:pt>
                <c:pt idx="369">
                  <c:v>2.7258999999999999E-2</c:v>
                </c:pt>
                <c:pt idx="370">
                  <c:v>2.7351E-2</c:v>
                </c:pt>
                <c:pt idx="371">
                  <c:v>2.7407000000000001E-2</c:v>
                </c:pt>
                <c:pt idx="372">
                  <c:v>2.7469E-2</c:v>
                </c:pt>
                <c:pt idx="373">
                  <c:v>2.7415999999999999E-2</c:v>
                </c:pt>
                <c:pt idx="374">
                  <c:v>2.7501000000000001E-2</c:v>
                </c:pt>
                <c:pt idx="375">
                  <c:v>2.7553999999999999E-2</c:v>
                </c:pt>
                <c:pt idx="376">
                  <c:v>2.7487000000000001E-2</c:v>
                </c:pt>
                <c:pt idx="377">
                  <c:v>2.7448E-2</c:v>
                </c:pt>
                <c:pt idx="378">
                  <c:v>2.7417E-2</c:v>
                </c:pt>
                <c:pt idx="379">
                  <c:v>2.7459000000000001E-2</c:v>
                </c:pt>
                <c:pt idx="380">
                  <c:v>2.7517E-2</c:v>
                </c:pt>
                <c:pt idx="381">
                  <c:v>2.7588999999999999E-2</c:v>
                </c:pt>
                <c:pt idx="382">
                  <c:v>2.7609999999999999E-2</c:v>
                </c:pt>
                <c:pt idx="383">
                  <c:v>2.7543999999999999E-2</c:v>
                </c:pt>
                <c:pt idx="384">
                  <c:v>2.7472E-2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871-49FD-B33D-D374FE395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728016"/>
        <c:axId val="476727688"/>
      </c:lineChart>
      <c:scatterChart>
        <c:scatterStyle val="smoothMarker"/>
        <c:varyColors val="0"/>
        <c:ser>
          <c:idx val="11"/>
          <c:order val="0"/>
          <c:tx>
            <c:strRef>
              <c:f>'idx data'!$W$4</c:f>
              <c:strCache>
                <c:ptCount val="1"/>
                <c:pt idx="0">
                  <c:v>Inversion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'idx data'!$Y$4:$Y$5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xVal>
          <c:yVal>
            <c:numRef>
              <c:f>'idx data'!$X$4:$X$5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0871-49FD-B33D-D374FE395580}"/>
            </c:ext>
          </c:extLst>
        </c:ser>
        <c:ser>
          <c:idx val="12"/>
          <c:order val="12"/>
          <c:tx>
            <c:strRef>
              <c:f>'idx data'!$W$6</c:f>
              <c:strCache>
                <c:ptCount val="1"/>
                <c:pt idx="0">
                  <c:v>Initial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'idx data'!$Y$6:$Y$7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'idx data'!$X$6:$X$7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871-49FD-B33D-D374FE395580}"/>
            </c:ext>
          </c:extLst>
        </c:ser>
        <c:ser>
          <c:idx val="13"/>
          <c:order val="13"/>
          <c:tx>
            <c:strRef>
              <c:f>'idx data'!$W$8</c:f>
              <c:strCache>
                <c:ptCount val="1"/>
                <c:pt idx="0">
                  <c:v>a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'idx data'!$Y$8:$Y$9</c:f>
              <c:numCache>
                <c:formatCode>General</c:formatCode>
                <c:ptCount val="2"/>
                <c:pt idx="0">
                  <c:v>240</c:v>
                </c:pt>
                <c:pt idx="1">
                  <c:v>240</c:v>
                </c:pt>
              </c:numCache>
            </c:numRef>
          </c:xVal>
          <c:yVal>
            <c:numRef>
              <c:f>'idx data'!$X$8:$X$9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0871-49FD-B33D-D374FE395580}"/>
            </c:ext>
          </c:extLst>
        </c:ser>
        <c:ser>
          <c:idx val="16"/>
          <c:order val="14"/>
          <c:tx>
            <c:strRef>
              <c:f>'idx data'!$W$14</c:f>
              <c:strCache>
                <c:ptCount val="1"/>
                <c:pt idx="0">
                  <c:v>d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'idx data'!$Y$14:$Y$15</c:f>
              <c:numCache>
                <c:formatCode>General</c:formatCode>
                <c:ptCount val="2"/>
                <c:pt idx="0">
                  <c:v>150</c:v>
                </c:pt>
                <c:pt idx="1">
                  <c:v>150</c:v>
                </c:pt>
              </c:numCache>
            </c:numRef>
          </c:xVal>
          <c:yVal>
            <c:numRef>
              <c:f>'idx data'!$X$14:$X$15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0871-49FD-B33D-D374FE395580}"/>
            </c:ext>
          </c:extLst>
        </c:ser>
        <c:ser>
          <c:idx val="17"/>
          <c:order val="15"/>
          <c:tx>
            <c:strRef>
              <c:f>'idx data'!$W$16</c:f>
              <c:strCache>
                <c:ptCount val="1"/>
                <c:pt idx="0">
                  <c:v>e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'idx data'!$Y$16:$Y$17</c:f>
              <c:numCache>
                <c:formatCode>General</c:formatCode>
                <c:ptCount val="2"/>
                <c:pt idx="0">
                  <c:v>200</c:v>
                </c:pt>
                <c:pt idx="1">
                  <c:v>200</c:v>
                </c:pt>
              </c:numCache>
            </c:numRef>
          </c:xVal>
          <c:yVal>
            <c:numRef>
              <c:f>'idx data'!$X$16:$X$17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0871-49FD-B33D-D374FE395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51232"/>
        <c:axId val="482052872"/>
      </c:scatterChart>
      <c:catAx>
        <c:axId val="47672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27688"/>
        <c:crosses val="autoZero"/>
        <c:auto val="1"/>
        <c:lblAlgn val="ctr"/>
        <c:lblOffset val="100"/>
        <c:tickLblSkip val="60"/>
        <c:tickMarkSkip val="20"/>
        <c:noMultiLvlLbl val="0"/>
      </c:catAx>
      <c:valAx>
        <c:axId val="47672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28016"/>
        <c:crosses val="autoZero"/>
        <c:crossBetween val="between"/>
      </c:valAx>
      <c:valAx>
        <c:axId val="4820528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51232"/>
        <c:crosses val="max"/>
        <c:crossBetween val="midCat"/>
      </c:valAx>
      <c:valAx>
        <c:axId val="482051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205287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Major Indices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'idx data'!$O$2</c:f>
              <c:strCache>
                <c:ptCount val="1"/>
                <c:pt idx="0">
                  <c:v>SPI idx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'idx data'!$A$3:$A$387</c:f>
              <c:numCache>
                <c:formatCode>General</c:formatCode>
                <c:ptCount val="3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</c:numCache>
            </c:numRef>
          </c:cat>
          <c:val>
            <c:numRef>
              <c:f>'idx data'!$O$3:$O$387</c:f>
              <c:numCache>
                <c:formatCode>General</c:formatCode>
                <c:ptCount val="385"/>
                <c:pt idx="0">
                  <c:v>1000</c:v>
                </c:pt>
                <c:pt idx="1">
                  <c:v>1003.6329139951714</c:v>
                </c:pt>
                <c:pt idx="2">
                  <c:v>1004.9779120962364</c:v>
                </c:pt>
                <c:pt idx="3">
                  <c:v>1006.4363914888044</c:v>
                </c:pt>
                <c:pt idx="4">
                  <c:v>1009.4978130237934</c:v>
                </c:pt>
                <c:pt idx="5">
                  <c:v>1009.7361560417968</c:v>
                </c:pt>
                <c:pt idx="6">
                  <c:v>1009.3716886975056</c:v>
                </c:pt>
                <c:pt idx="7">
                  <c:v>1005.7137981674314</c:v>
                </c:pt>
                <c:pt idx="8">
                  <c:v>1001.883149794682</c:v>
                </c:pt>
                <c:pt idx="9">
                  <c:v>1003.4434386566941</c:v>
                </c:pt>
                <c:pt idx="10">
                  <c:v>1003.8197699516888</c:v>
                </c:pt>
                <c:pt idx="11">
                  <c:v>1004.9316882135248</c:v>
                </c:pt>
                <c:pt idx="12">
                  <c:v>1001.905449822132</c:v>
                </c:pt>
                <c:pt idx="13">
                  <c:v>1003.4056183094755</c:v>
                </c:pt>
                <c:pt idx="14">
                  <c:v>1000.8086632208697</c:v>
                </c:pt>
                <c:pt idx="15">
                  <c:v>1001.516952292749</c:v>
                </c:pt>
                <c:pt idx="16">
                  <c:v>997.74840496776835</c:v>
                </c:pt>
                <c:pt idx="17">
                  <c:v>1000.5933017687403</c:v>
                </c:pt>
                <c:pt idx="18">
                  <c:v>1002.4110293508749</c:v>
                </c:pt>
                <c:pt idx="19">
                  <c:v>1003.7174567473866</c:v>
                </c:pt>
                <c:pt idx="20">
                  <c:v>1001.5404999002269</c:v>
                </c:pt>
                <c:pt idx="21">
                  <c:v>997.675097968464</c:v>
                </c:pt>
                <c:pt idx="22">
                  <c:v>998.03245599871582</c:v>
                </c:pt>
                <c:pt idx="23">
                  <c:v>999.32295038097334</c:v>
                </c:pt>
                <c:pt idx="24">
                  <c:v>998.24959076997015</c:v>
                </c:pt>
                <c:pt idx="25">
                  <c:v>1001.015808705069</c:v>
                </c:pt>
                <c:pt idx="26">
                  <c:v>1003.2526254642158</c:v>
                </c:pt>
                <c:pt idx="27">
                  <c:v>1002.2380967320295</c:v>
                </c:pt>
                <c:pt idx="28">
                  <c:v>1004.176152679904</c:v>
                </c:pt>
                <c:pt idx="29">
                  <c:v>1003.5616084115834</c:v>
                </c:pt>
                <c:pt idx="30">
                  <c:v>1006.4097180487947</c:v>
                </c:pt>
                <c:pt idx="31">
                  <c:v>1007.3236861713086</c:v>
                </c:pt>
                <c:pt idx="32">
                  <c:v>1004.9690660945367</c:v>
                </c:pt>
                <c:pt idx="33">
                  <c:v>1002.0654378244271</c:v>
                </c:pt>
                <c:pt idx="34">
                  <c:v>1000.7326340619202</c:v>
                </c:pt>
                <c:pt idx="35">
                  <c:v>996.77936146972911</c:v>
                </c:pt>
                <c:pt idx="36">
                  <c:v>996.61554639914993</c:v>
                </c:pt>
                <c:pt idx="37">
                  <c:v>1000.5058755583649</c:v>
                </c:pt>
                <c:pt idx="38">
                  <c:v>1004.7907887596548</c:v>
                </c:pt>
                <c:pt idx="39">
                  <c:v>1003.775191353845</c:v>
                </c:pt>
                <c:pt idx="40">
                  <c:v>1004.1428715858251</c:v>
                </c:pt>
                <c:pt idx="41">
                  <c:v>1000.9005845395565</c:v>
                </c:pt>
                <c:pt idx="42">
                  <c:v>1003.9770314522394</c:v>
                </c:pt>
                <c:pt idx="43">
                  <c:v>1007.0153061762179</c:v>
                </c:pt>
                <c:pt idx="44">
                  <c:v>1005.3521062826001</c:v>
                </c:pt>
                <c:pt idx="45">
                  <c:v>1005.1279512968936</c:v>
                </c:pt>
                <c:pt idx="46">
                  <c:v>1003.3040987439622</c:v>
                </c:pt>
                <c:pt idx="47">
                  <c:v>1004.2266485884771</c:v>
                </c:pt>
                <c:pt idx="48">
                  <c:v>1001.9880839644941</c:v>
                </c:pt>
                <c:pt idx="49">
                  <c:v>997.88559537209267</c:v>
                </c:pt>
                <c:pt idx="50">
                  <c:v>1000.44452755731</c:v>
                </c:pt>
                <c:pt idx="51">
                  <c:v>1002.4283291106136</c:v>
                </c:pt>
                <c:pt idx="52">
                  <c:v>1003.7098100181611</c:v>
                </c:pt>
                <c:pt idx="53">
                  <c:v>1004.126352840133</c:v>
                </c:pt>
                <c:pt idx="54">
                  <c:v>1001.1191969762999</c:v>
                </c:pt>
                <c:pt idx="55">
                  <c:v>1000.2327745045438</c:v>
                </c:pt>
                <c:pt idx="56">
                  <c:v>1003.898680870423</c:v>
                </c:pt>
                <c:pt idx="57">
                  <c:v>1008.1198614980526</c:v>
                </c:pt>
                <c:pt idx="58">
                  <c:v>1008.9737522046327</c:v>
                </c:pt>
                <c:pt idx="59">
                  <c:v>1005.1720699781081</c:v>
                </c:pt>
                <c:pt idx="60">
                  <c:v>1003.2296027806085</c:v>
                </c:pt>
                <c:pt idx="61">
                  <c:v>1001.64042964629</c:v>
                </c:pt>
                <c:pt idx="62">
                  <c:v>1001.770748577125</c:v>
                </c:pt>
                <c:pt idx="63">
                  <c:v>1005.6695001939788</c:v>
                </c:pt>
                <c:pt idx="64">
                  <c:v>1002.6376193929941</c:v>
                </c:pt>
                <c:pt idx="65">
                  <c:v>1000.7206993623823</c:v>
                </c:pt>
                <c:pt idx="66">
                  <c:v>1002.4588785033052</c:v>
                </c:pt>
                <c:pt idx="67">
                  <c:v>1001.0007537341767</c:v>
                </c:pt>
                <c:pt idx="68">
                  <c:v>1002.0870289741249</c:v>
                </c:pt>
                <c:pt idx="69">
                  <c:v>1003.1639977393086</c:v>
                </c:pt>
                <c:pt idx="70">
                  <c:v>1002.8991212109844</c:v>
                </c:pt>
                <c:pt idx="71">
                  <c:v>1000.6619029244922</c:v>
                </c:pt>
                <c:pt idx="72">
                  <c:v>1001.2455923745123</c:v>
                </c:pt>
                <c:pt idx="73">
                  <c:v>1003.8199272238796</c:v>
                </c:pt>
                <c:pt idx="74">
                  <c:v>1004.5905323708678</c:v>
                </c:pt>
                <c:pt idx="75">
                  <c:v>1003.0064941964198</c:v>
                </c:pt>
                <c:pt idx="76">
                  <c:v>1005.8809716227513</c:v>
                </c:pt>
                <c:pt idx="77">
                  <c:v>1003.918322608445</c:v>
                </c:pt>
                <c:pt idx="78">
                  <c:v>1007.5160208478235</c:v>
                </c:pt>
                <c:pt idx="79">
                  <c:v>1008.4872962001556</c:v>
                </c:pt>
                <c:pt idx="80">
                  <c:v>1004.8357242083715</c:v>
                </c:pt>
                <c:pt idx="81">
                  <c:v>1002.7106868424114</c:v>
                </c:pt>
                <c:pt idx="82">
                  <c:v>1005.0687680307894</c:v>
                </c:pt>
                <c:pt idx="83">
                  <c:v>1002.0613920277546</c:v>
                </c:pt>
                <c:pt idx="84">
                  <c:v>1000.4819869803875</c:v>
                </c:pt>
                <c:pt idx="85">
                  <c:v>1001.0887701096959</c:v>
                </c:pt>
                <c:pt idx="86">
                  <c:v>1003.4900613237854</c:v>
                </c:pt>
                <c:pt idx="87">
                  <c:v>1001.477758056029</c:v>
                </c:pt>
                <c:pt idx="88">
                  <c:v>997.59853876026273</c:v>
                </c:pt>
                <c:pt idx="89">
                  <c:v>998.77668228685366</c:v>
                </c:pt>
                <c:pt idx="90">
                  <c:v>1002.1669172348464</c:v>
                </c:pt>
                <c:pt idx="91">
                  <c:v>1004.2562937914867</c:v>
                </c:pt>
                <c:pt idx="92">
                  <c:v>1007.7698904786295</c:v>
                </c:pt>
                <c:pt idx="93">
                  <c:v>1011.1001162117367</c:v>
                </c:pt>
                <c:pt idx="94">
                  <c:v>1010.562551885468</c:v>
                </c:pt>
                <c:pt idx="95">
                  <c:v>1007.973476528566</c:v>
                </c:pt>
                <c:pt idx="96">
                  <c:v>1011.0662538098539</c:v>
                </c:pt>
                <c:pt idx="97">
                  <c:v>1014.6898890298801</c:v>
                </c:pt>
                <c:pt idx="98">
                  <c:v>1018.5989934624159</c:v>
                </c:pt>
                <c:pt idx="99">
                  <c:v>1017.1127770721268</c:v>
                </c:pt>
                <c:pt idx="100">
                  <c:v>1016.3509699221287</c:v>
                </c:pt>
                <c:pt idx="101">
                  <c:v>1011.9528247289445</c:v>
                </c:pt>
                <c:pt idx="102">
                  <c:v>1007.2269983285629</c:v>
                </c:pt>
                <c:pt idx="103">
                  <c:v>1004.2381530371879</c:v>
                </c:pt>
                <c:pt idx="104">
                  <c:v>1002.5274157187157</c:v>
                </c:pt>
                <c:pt idx="105">
                  <c:v>999.95827359223154</c:v>
                </c:pt>
                <c:pt idx="106">
                  <c:v>1000.9392205933145</c:v>
                </c:pt>
                <c:pt idx="107">
                  <c:v>1002.7249964754058</c:v>
                </c:pt>
                <c:pt idx="108">
                  <c:v>1001.4473755857854</c:v>
                </c:pt>
                <c:pt idx="109">
                  <c:v>997.97622700278214</c:v>
                </c:pt>
                <c:pt idx="110">
                  <c:v>1000.369759606308</c:v>
                </c:pt>
                <c:pt idx="111">
                  <c:v>1000.1098212413974</c:v>
                </c:pt>
                <c:pt idx="112">
                  <c:v>997.31035544277279</c:v>
                </c:pt>
                <c:pt idx="113">
                  <c:v>995.76647631177684</c:v>
                </c:pt>
                <c:pt idx="114">
                  <c:v>995.16170608515165</c:v>
                </c:pt>
                <c:pt idx="115">
                  <c:v>992.36747633724519</c:v>
                </c:pt>
                <c:pt idx="116">
                  <c:v>991.84739291718734</c:v>
                </c:pt>
                <c:pt idx="117">
                  <c:v>995.83473232758513</c:v>
                </c:pt>
                <c:pt idx="118">
                  <c:v>994.68844284980514</c:v>
                </c:pt>
                <c:pt idx="119">
                  <c:v>993.6724313192633</c:v>
                </c:pt>
                <c:pt idx="120">
                  <c:v>995.6880061921795</c:v>
                </c:pt>
                <c:pt idx="121">
                  <c:v>996.86095019272545</c:v>
                </c:pt>
                <c:pt idx="122">
                  <c:v>993.65917154236934</c:v>
                </c:pt>
                <c:pt idx="123">
                  <c:v>996.30253868277657</c:v>
                </c:pt>
                <c:pt idx="124">
                  <c:v>999.8239082290014</c:v>
                </c:pt>
                <c:pt idx="125">
                  <c:v>1001.4680483706154</c:v>
                </c:pt>
                <c:pt idx="126">
                  <c:v>1003.8643146657416</c:v>
                </c:pt>
                <c:pt idx="127">
                  <c:v>1007.7673577872716</c:v>
                </c:pt>
                <c:pt idx="128">
                  <c:v>1010.1190251458767</c:v>
                </c:pt>
                <c:pt idx="129">
                  <c:v>1011.3684355179212</c:v>
                </c:pt>
                <c:pt idx="130">
                  <c:v>1013.3381315423222</c:v>
                </c:pt>
                <c:pt idx="131">
                  <c:v>1011.1203822054915</c:v>
                </c:pt>
                <c:pt idx="132">
                  <c:v>1011.1140575211498</c:v>
                </c:pt>
                <c:pt idx="133">
                  <c:v>1007.5862119277833</c:v>
                </c:pt>
                <c:pt idx="134">
                  <c:v>1010.5193791943015</c:v>
                </c:pt>
                <c:pt idx="135">
                  <c:v>1013.0859360630723</c:v>
                </c:pt>
                <c:pt idx="136">
                  <c:v>1017.0922243770943</c:v>
                </c:pt>
                <c:pt idx="137">
                  <c:v>1013.9736972263451</c:v>
                </c:pt>
                <c:pt idx="138">
                  <c:v>1010.9598982889432</c:v>
                </c:pt>
                <c:pt idx="139">
                  <c:v>1007.0881937458325</c:v>
                </c:pt>
                <c:pt idx="140">
                  <c:v>1005.7549835071563</c:v>
                </c:pt>
                <c:pt idx="141">
                  <c:v>1008.906047764397</c:v>
                </c:pt>
                <c:pt idx="142">
                  <c:v>1009.9138455723939</c:v>
                </c:pt>
                <c:pt idx="143">
                  <c:v>1006.2639078788101</c:v>
                </c:pt>
                <c:pt idx="144">
                  <c:v>1009.5469404708199</c:v>
                </c:pt>
                <c:pt idx="145">
                  <c:v>1012.0879490856847</c:v>
                </c:pt>
                <c:pt idx="146">
                  <c:v>1010.4119694921098</c:v>
                </c:pt>
                <c:pt idx="147">
                  <c:v>1013.9174878529359</c:v>
                </c:pt>
                <c:pt idx="148">
                  <c:v>1011.7066226131883</c:v>
                </c:pt>
                <c:pt idx="149">
                  <c:v>1012.0312770570208</c:v>
                </c:pt>
                <c:pt idx="150">
                  <c:v>1016.1528002389707</c:v>
                </c:pt>
                <c:pt idx="151">
                  <c:v>1013.8897194393769</c:v>
                </c:pt>
                <c:pt idx="152">
                  <c:v>1017.5358913729493</c:v>
                </c:pt>
                <c:pt idx="153">
                  <c:v>1017.8571661826476</c:v>
                </c:pt>
                <c:pt idx="154">
                  <c:v>1015.7553302635547</c:v>
                </c:pt>
                <c:pt idx="155">
                  <c:v>1019.4863897401546</c:v>
                </c:pt>
                <c:pt idx="156">
                  <c:v>1016.2050143393269</c:v>
                </c:pt>
                <c:pt idx="157">
                  <c:v>1013.5427453138153</c:v>
                </c:pt>
                <c:pt idx="158">
                  <c:v>1011.6919475409221</c:v>
                </c:pt>
                <c:pt idx="159">
                  <c:v>1009.1212666361064</c:v>
                </c:pt>
                <c:pt idx="160">
                  <c:v>1011.3713207014213</c:v>
                </c:pt>
                <c:pt idx="161">
                  <c:v>1008.541155727436</c:v>
                </c:pt>
                <c:pt idx="162">
                  <c:v>1005.283251760246</c:v>
                </c:pt>
                <c:pt idx="163">
                  <c:v>1008.2407905307826</c:v>
                </c:pt>
                <c:pt idx="164">
                  <c:v>1007.6276000586837</c:v>
                </c:pt>
                <c:pt idx="165">
                  <c:v>1005.0321310496091</c:v>
                </c:pt>
                <c:pt idx="166">
                  <c:v>1004.1134069307822</c:v>
                </c:pt>
                <c:pt idx="167">
                  <c:v>1003.7554347060257</c:v>
                </c:pt>
                <c:pt idx="168">
                  <c:v>1000.884105290869</c:v>
                </c:pt>
                <c:pt idx="169">
                  <c:v>999.51041699291159</c:v>
                </c:pt>
                <c:pt idx="170">
                  <c:v>996.66848983426689</c:v>
                </c:pt>
                <c:pt idx="171">
                  <c:v>998.39583225878437</c:v>
                </c:pt>
                <c:pt idx="172">
                  <c:v>997.75395582343458</c:v>
                </c:pt>
                <c:pt idx="173">
                  <c:v>1000.0269864727004</c:v>
                </c:pt>
                <c:pt idx="174">
                  <c:v>999.84098033703856</c:v>
                </c:pt>
                <c:pt idx="175">
                  <c:v>999.60445653932049</c:v>
                </c:pt>
                <c:pt idx="176">
                  <c:v>999.15639905737419</c:v>
                </c:pt>
                <c:pt idx="177">
                  <c:v>1000.8085168596244</c:v>
                </c:pt>
                <c:pt idx="178">
                  <c:v>998.06665763513797</c:v>
                </c:pt>
                <c:pt idx="179">
                  <c:v>995.81744802647597</c:v>
                </c:pt>
                <c:pt idx="180">
                  <c:v>992.23258527112614</c:v>
                </c:pt>
                <c:pt idx="181">
                  <c:v>990.70720712894388</c:v>
                </c:pt>
                <c:pt idx="182">
                  <c:v>991.29720151852075</c:v>
                </c:pt>
                <c:pt idx="183">
                  <c:v>990.05576395241258</c:v>
                </c:pt>
                <c:pt idx="184">
                  <c:v>991.3149807264881</c:v>
                </c:pt>
                <c:pt idx="185">
                  <c:v>991.36821788524855</c:v>
                </c:pt>
                <c:pt idx="186">
                  <c:v>994.91035901506848</c:v>
                </c:pt>
                <c:pt idx="187">
                  <c:v>994.72196915402833</c:v>
                </c:pt>
                <c:pt idx="188">
                  <c:v>992.14347804690442</c:v>
                </c:pt>
                <c:pt idx="189">
                  <c:v>991.33226386632919</c:v>
                </c:pt>
                <c:pt idx="190">
                  <c:v>992.75868869348608</c:v>
                </c:pt>
                <c:pt idx="191">
                  <c:v>996.45436015529185</c:v>
                </c:pt>
                <c:pt idx="192">
                  <c:v>993.854011424296</c:v>
                </c:pt>
                <c:pt idx="193">
                  <c:v>990.27646172176355</c:v>
                </c:pt>
                <c:pt idx="194">
                  <c:v>991.81331150647065</c:v>
                </c:pt>
                <c:pt idx="195">
                  <c:v>992.59978628241777</c:v>
                </c:pt>
                <c:pt idx="196">
                  <c:v>995.85318996357705</c:v>
                </c:pt>
                <c:pt idx="197">
                  <c:v>992.93089819549232</c:v>
                </c:pt>
                <c:pt idx="198">
                  <c:v>991.63183838245027</c:v>
                </c:pt>
                <c:pt idx="199">
                  <c:v>995.05238129526424</c:v>
                </c:pt>
                <c:pt idx="200">
                  <c:v>999.07386683655045</c:v>
                </c:pt>
                <c:pt idx="201">
                  <c:v>1002.8857101639651</c:v>
                </c:pt>
                <c:pt idx="202">
                  <c:v>1005.3201101818588</c:v>
                </c:pt>
                <c:pt idx="203">
                  <c:v>1002.1228952536945</c:v>
                </c:pt>
                <c:pt idx="204">
                  <c:v>1004.5717000878089</c:v>
                </c:pt>
                <c:pt idx="205">
                  <c:v>1003.1815853872737</c:v>
                </c:pt>
                <c:pt idx="206">
                  <c:v>1007.106411219205</c:v>
                </c:pt>
                <c:pt idx="207">
                  <c:v>1010.8405926615402</c:v>
                </c:pt>
                <c:pt idx="208">
                  <c:v>1011.415214267763</c:v>
                </c:pt>
                <c:pt idx="209">
                  <c:v>1007.3997264975018</c:v>
                </c:pt>
                <c:pt idx="210">
                  <c:v>1007.0077501712312</c:v>
                </c:pt>
                <c:pt idx="211">
                  <c:v>1010.4899405735057</c:v>
                </c:pt>
                <c:pt idx="212">
                  <c:v>1014.2747427989409</c:v>
                </c:pt>
                <c:pt idx="213">
                  <c:v>1016.9026820037334</c:v>
                </c:pt>
                <c:pt idx="214">
                  <c:v>1014.3871257534192</c:v>
                </c:pt>
                <c:pt idx="215">
                  <c:v>1014.9522772963051</c:v>
                </c:pt>
                <c:pt idx="216">
                  <c:v>1012.6622877952128</c:v>
                </c:pt>
                <c:pt idx="217">
                  <c:v>1011.745391359379</c:v>
                </c:pt>
                <c:pt idx="218">
                  <c:v>1015.282801018338</c:v>
                </c:pt>
                <c:pt idx="219">
                  <c:v>1014.3001853490086</c:v>
                </c:pt>
                <c:pt idx="220">
                  <c:v>1012.9792716844591</c:v>
                </c:pt>
                <c:pt idx="221">
                  <c:v>1009.3191279760814</c:v>
                </c:pt>
                <c:pt idx="222">
                  <c:v>1005.4917426684931</c:v>
                </c:pt>
                <c:pt idx="223">
                  <c:v>1005.1251690839966</c:v>
                </c:pt>
                <c:pt idx="224">
                  <c:v>1009.1061356029381</c:v>
                </c:pt>
                <c:pt idx="225">
                  <c:v>1005.7087813526543</c:v>
                </c:pt>
                <c:pt idx="226">
                  <c:v>1009.4442903529437</c:v>
                </c:pt>
                <c:pt idx="227">
                  <c:v>1012.6780048231545</c:v>
                </c:pt>
                <c:pt idx="228">
                  <c:v>1010.2300083675382</c:v>
                </c:pt>
                <c:pt idx="229">
                  <c:v>1011.3268429241601</c:v>
                </c:pt>
                <c:pt idx="230">
                  <c:v>1008.8572220619558</c:v>
                </c:pt>
                <c:pt idx="231">
                  <c:v>1009.9341651422322</c:v>
                </c:pt>
                <c:pt idx="232">
                  <c:v>1007.5496547599605</c:v>
                </c:pt>
                <c:pt idx="233">
                  <c:v>1004.1867404420974</c:v>
                </c:pt>
                <c:pt idx="234">
                  <c:v>1002.4532186276859</c:v>
                </c:pt>
                <c:pt idx="235">
                  <c:v>998.23379684355939</c:v>
                </c:pt>
                <c:pt idx="236">
                  <c:v>996.47463636921907</c:v>
                </c:pt>
                <c:pt idx="237">
                  <c:v>994.58175119581347</c:v>
                </c:pt>
                <c:pt idx="238">
                  <c:v>994.42667322478781</c:v>
                </c:pt>
                <c:pt idx="239">
                  <c:v>992.30300690846434</c:v>
                </c:pt>
                <c:pt idx="240">
                  <c:v>987.91827184802946</c:v>
                </c:pt>
                <c:pt idx="241">
                  <c:v>987.36998913067646</c:v>
                </c:pt>
                <c:pt idx="242">
                  <c:v>985.80752081272976</c:v>
                </c:pt>
                <c:pt idx="243">
                  <c:v>987.20771512609087</c:v>
                </c:pt>
                <c:pt idx="244">
                  <c:v>989.31500285481297</c:v>
                </c:pt>
                <c:pt idx="245">
                  <c:v>989.52781103788254</c:v>
                </c:pt>
                <c:pt idx="246">
                  <c:v>986.93213432511652</c:v>
                </c:pt>
                <c:pt idx="247">
                  <c:v>987.65924605515295</c:v>
                </c:pt>
                <c:pt idx="248">
                  <c:v>983.95914899077229</c:v>
                </c:pt>
                <c:pt idx="249">
                  <c:v>982.82333859536243</c:v>
                </c:pt>
                <c:pt idx="250">
                  <c:v>985.28992807164866</c:v>
                </c:pt>
                <c:pt idx="251">
                  <c:v>987.56457724376992</c:v>
                </c:pt>
                <c:pt idx="252">
                  <c:v>988.39811839006313</c:v>
                </c:pt>
                <c:pt idx="253">
                  <c:v>989.65158341675817</c:v>
                </c:pt>
                <c:pt idx="254">
                  <c:v>987.04377268466726</c:v>
                </c:pt>
                <c:pt idx="255">
                  <c:v>983.42730907677469</c:v>
                </c:pt>
                <c:pt idx="256">
                  <c:v>984.90797597019923</c:v>
                </c:pt>
                <c:pt idx="257">
                  <c:v>982.643263442121</c:v>
                </c:pt>
                <c:pt idx="258">
                  <c:v>980.48653499474824</c:v>
                </c:pt>
                <c:pt idx="259">
                  <c:v>978.09142432279282</c:v>
                </c:pt>
                <c:pt idx="260">
                  <c:v>975.90276120520309</c:v>
                </c:pt>
                <c:pt idx="261">
                  <c:v>973.42422423983828</c:v>
                </c:pt>
                <c:pt idx="262">
                  <c:v>971.14004094740005</c:v>
                </c:pt>
                <c:pt idx="263">
                  <c:v>972.21154422411723</c:v>
                </c:pt>
                <c:pt idx="264">
                  <c:v>973.10081283212423</c:v>
                </c:pt>
                <c:pt idx="265">
                  <c:v>975.23649500109173</c:v>
                </c:pt>
                <c:pt idx="266">
                  <c:v>977.09279252616579</c:v>
                </c:pt>
                <c:pt idx="267">
                  <c:v>977.45134678851969</c:v>
                </c:pt>
                <c:pt idx="268">
                  <c:v>977.11665728139928</c:v>
                </c:pt>
                <c:pt idx="269">
                  <c:v>974.41054660656425</c:v>
                </c:pt>
                <c:pt idx="270">
                  <c:v>975.0355237606077</c:v>
                </c:pt>
                <c:pt idx="271">
                  <c:v>973.97479021451238</c:v>
                </c:pt>
                <c:pt idx="272">
                  <c:v>971.4813765329618</c:v>
                </c:pt>
                <c:pt idx="273">
                  <c:v>973.65907354815886</c:v>
                </c:pt>
                <c:pt idx="274">
                  <c:v>973.47200805178636</c:v>
                </c:pt>
                <c:pt idx="275">
                  <c:v>970.46117961048458</c:v>
                </c:pt>
                <c:pt idx="276">
                  <c:v>973.75908533812435</c:v>
                </c:pt>
                <c:pt idx="277">
                  <c:v>970.55433660431322</c:v>
                </c:pt>
                <c:pt idx="278">
                  <c:v>969.89657680451728</c:v>
                </c:pt>
                <c:pt idx="279">
                  <c:v>972.03935585765498</c:v>
                </c:pt>
                <c:pt idx="280">
                  <c:v>971.48853163004662</c:v>
                </c:pt>
                <c:pt idx="281">
                  <c:v>973.55330639790884</c:v>
                </c:pt>
                <c:pt idx="282">
                  <c:v>975.13848278918647</c:v>
                </c:pt>
                <c:pt idx="283">
                  <c:v>976.66908592571531</c:v>
                </c:pt>
                <c:pt idx="284">
                  <c:v>977.09839729007376</c:v>
                </c:pt>
                <c:pt idx="285">
                  <c:v>973.54909868378888</c:v>
                </c:pt>
                <c:pt idx="286">
                  <c:v>974.64379207105367</c:v>
                </c:pt>
                <c:pt idx="287">
                  <c:v>978.07835664564755</c:v>
                </c:pt>
                <c:pt idx="288">
                  <c:v>979.85874276712457</c:v>
                </c:pt>
                <c:pt idx="289">
                  <c:v>983.85410788291517</c:v>
                </c:pt>
                <c:pt idx="290">
                  <c:v>982.84784017708</c:v>
                </c:pt>
                <c:pt idx="291">
                  <c:v>982.12580595713575</c:v>
                </c:pt>
                <c:pt idx="292">
                  <c:v>978.88220662323681</c:v>
                </c:pt>
                <c:pt idx="293">
                  <c:v>982.29755494444419</c:v>
                </c:pt>
                <c:pt idx="294">
                  <c:v>979.79365978244823</c:v>
                </c:pt>
                <c:pt idx="295">
                  <c:v>981.60029743965617</c:v>
                </c:pt>
                <c:pt idx="296">
                  <c:v>981.75548798356806</c:v>
                </c:pt>
                <c:pt idx="297">
                  <c:v>981.13281920860345</c:v>
                </c:pt>
                <c:pt idx="298">
                  <c:v>979.43401715266327</c:v>
                </c:pt>
                <c:pt idx="299">
                  <c:v>978.59051799731117</c:v>
                </c:pt>
                <c:pt idx="300">
                  <c:v>981.05062804694398</c:v>
                </c:pt>
                <c:pt idx="301">
                  <c:v>977.92821174003222</c:v>
                </c:pt>
                <c:pt idx="302">
                  <c:v>979.59140838752012</c:v>
                </c:pt>
                <c:pt idx="303">
                  <c:v>977.73191801718644</c:v>
                </c:pt>
                <c:pt idx="304">
                  <c:v>975.26071659408365</c:v>
                </c:pt>
                <c:pt idx="305">
                  <c:v>972.16158641069899</c:v>
                </c:pt>
                <c:pt idx="306">
                  <c:v>975.28722179676811</c:v>
                </c:pt>
                <c:pt idx="307">
                  <c:v>978.91825420073553</c:v>
                </c:pt>
                <c:pt idx="308">
                  <c:v>981.21118363977985</c:v>
                </c:pt>
                <c:pt idx="309">
                  <c:v>983.50406522605817</c:v>
                </c:pt>
                <c:pt idx="310">
                  <c:v>985.70278382427296</c:v>
                </c:pt>
                <c:pt idx="311">
                  <c:v>983.64644362294666</c:v>
                </c:pt>
                <c:pt idx="312">
                  <c:v>982.57478800844478</c:v>
                </c:pt>
                <c:pt idx="313">
                  <c:v>979.81956790077857</c:v>
                </c:pt>
                <c:pt idx="314">
                  <c:v>981.73895355905665</c:v>
                </c:pt>
                <c:pt idx="315">
                  <c:v>985.1180529034167</c:v>
                </c:pt>
                <c:pt idx="316">
                  <c:v>988.16071056525846</c:v>
                </c:pt>
                <c:pt idx="317">
                  <c:v>987.38417815003504</c:v>
                </c:pt>
                <c:pt idx="318">
                  <c:v>988.15307526372953</c:v>
                </c:pt>
                <c:pt idx="319">
                  <c:v>991.15535293713924</c:v>
                </c:pt>
                <c:pt idx="320">
                  <c:v>991.1397974890898</c:v>
                </c:pt>
                <c:pt idx="321">
                  <c:v>989.37802029187048</c:v>
                </c:pt>
                <c:pt idx="322">
                  <c:v>990.65925484717673</c:v>
                </c:pt>
                <c:pt idx="323">
                  <c:v>992.75816819965621</c:v>
                </c:pt>
                <c:pt idx="324">
                  <c:v>993.01363077171095</c:v>
                </c:pt>
                <c:pt idx="325">
                  <c:v>992.82663882285294</c:v>
                </c:pt>
                <c:pt idx="326">
                  <c:v>991.85965311944733</c:v>
                </c:pt>
                <c:pt idx="327">
                  <c:v>994.89113771586926</c:v>
                </c:pt>
                <c:pt idx="328">
                  <c:v>997.33235470400109</c:v>
                </c:pt>
                <c:pt idx="329">
                  <c:v>993.95985055277663</c:v>
                </c:pt>
                <c:pt idx="330">
                  <c:v>989.56277010048723</c:v>
                </c:pt>
                <c:pt idx="331">
                  <c:v>985.39510772148276</c:v>
                </c:pt>
                <c:pt idx="332">
                  <c:v>983.27614182355751</c:v>
                </c:pt>
                <c:pt idx="333">
                  <c:v>984.2691134696355</c:v>
                </c:pt>
                <c:pt idx="334">
                  <c:v>983.39109626252889</c:v>
                </c:pt>
                <c:pt idx="335">
                  <c:v>983.89952329291066</c:v>
                </c:pt>
                <c:pt idx="336">
                  <c:v>986.37350807412145</c:v>
                </c:pt>
                <c:pt idx="337">
                  <c:v>988.29023056051426</c:v>
                </c:pt>
                <c:pt idx="338">
                  <c:v>987.97460353145823</c:v>
                </c:pt>
                <c:pt idx="339">
                  <c:v>990.21889764821105</c:v>
                </c:pt>
                <c:pt idx="340">
                  <c:v>993.07425500407282</c:v>
                </c:pt>
                <c:pt idx="341">
                  <c:v>996.42592484926115</c:v>
                </c:pt>
                <c:pt idx="342">
                  <c:v>998.85595382582187</c:v>
                </c:pt>
                <c:pt idx="343">
                  <c:v>998.80193343119981</c:v>
                </c:pt>
                <c:pt idx="344">
                  <c:v>996.90972363399942</c:v>
                </c:pt>
                <c:pt idx="345">
                  <c:v>998.68410064917362</c:v>
                </c:pt>
                <c:pt idx="346">
                  <c:v>998.24708351450954</c:v>
                </c:pt>
                <c:pt idx="347">
                  <c:v>994.98594655170541</c:v>
                </c:pt>
                <c:pt idx="348">
                  <c:v>998.02607508708127</c:v>
                </c:pt>
                <c:pt idx="349">
                  <c:v>999.18478532479855</c:v>
                </c:pt>
                <c:pt idx="350">
                  <c:v>1002.9144826933009</c:v>
                </c:pt>
                <c:pt idx="351">
                  <c:v>1006.7157295103152</c:v>
                </c:pt>
                <c:pt idx="352">
                  <c:v>1004.8177546886736</c:v>
                </c:pt>
                <c:pt idx="353">
                  <c:v>1000.5618472054159</c:v>
                </c:pt>
                <c:pt idx="354">
                  <c:v>1003.7888421940901</c:v>
                </c:pt>
                <c:pt idx="355">
                  <c:v>1005.7262099729204</c:v>
                </c:pt>
                <c:pt idx="356">
                  <c:v>1005.1493559612909</c:v>
                </c:pt>
                <c:pt idx="357">
                  <c:v>1006.3573011064873</c:v>
                </c:pt>
                <c:pt idx="358">
                  <c:v>1007.2728383729034</c:v>
                </c:pt>
                <c:pt idx="359">
                  <c:v>1006.5341506126925</c:v>
                </c:pt>
                <c:pt idx="360">
                  <c:v>1003.7466973799424</c:v>
                </c:pt>
                <c:pt idx="361">
                  <c:v>1007.5626652546283</c:v>
                </c:pt>
                <c:pt idx="362">
                  <c:v>1009.245103331376</c:v>
                </c:pt>
                <c:pt idx="363">
                  <c:v>1007.6042411157445</c:v>
                </c:pt>
                <c:pt idx="364">
                  <c:v>1003.2078445117319</c:v>
                </c:pt>
                <c:pt idx="365">
                  <c:v>999.11092239767265</c:v>
                </c:pt>
                <c:pt idx="366">
                  <c:v>995.3619002316151</c:v>
                </c:pt>
                <c:pt idx="367">
                  <c:v>996.26939697974262</c:v>
                </c:pt>
                <c:pt idx="368">
                  <c:v>1000.2582039134694</c:v>
                </c:pt>
                <c:pt idx="369">
                  <c:v>1003.4957621784555</c:v>
                </c:pt>
                <c:pt idx="370">
                  <c:v>1006.7015034042417</c:v>
                </c:pt>
                <c:pt idx="371">
                  <c:v>1006.1186437228872</c:v>
                </c:pt>
                <c:pt idx="372">
                  <c:v>1008.7516334961716</c:v>
                </c:pt>
                <c:pt idx="373">
                  <c:v>1005.2864068093205</c:v>
                </c:pt>
                <c:pt idx="374">
                  <c:v>1003.7315054541014</c:v>
                </c:pt>
                <c:pt idx="375">
                  <c:v>1002.0400972146496</c:v>
                </c:pt>
                <c:pt idx="376">
                  <c:v>1000.3338303840902</c:v>
                </c:pt>
                <c:pt idx="377">
                  <c:v>997.88076517230229</c:v>
                </c:pt>
                <c:pt idx="378">
                  <c:v>1000.5765031365843</c:v>
                </c:pt>
                <c:pt idx="379">
                  <c:v>1000.4828029971578</c:v>
                </c:pt>
                <c:pt idx="380">
                  <c:v>1002.0716300208721</c:v>
                </c:pt>
                <c:pt idx="381">
                  <c:v>1002.5041711169691</c:v>
                </c:pt>
                <c:pt idx="382">
                  <c:v>1003.3406842562144</c:v>
                </c:pt>
                <c:pt idx="383">
                  <c:v>1006.7999943122584</c:v>
                </c:pt>
                <c:pt idx="384">
                  <c:v>1010.4263770506078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5-4D1D-820A-CA04D8018554}"/>
            </c:ext>
          </c:extLst>
        </c:ser>
        <c:ser>
          <c:idx val="1"/>
          <c:order val="1"/>
          <c:tx>
            <c:strRef>
              <c:f>'idx data'!$P$2</c:f>
              <c:strCache>
                <c:ptCount val="1"/>
                <c:pt idx="0">
                  <c:v>CBI idx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'idx data'!$A$3:$A$387</c:f>
              <c:numCache>
                <c:formatCode>General</c:formatCode>
                <c:ptCount val="3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</c:numCache>
            </c:numRef>
          </c:cat>
          <c:val>
            <c:numRef>
              <c:f>'idx data'!$P$3:$P$387</c:f>
              <c:numCache>
                <c:formatCode>General</c:formatCode>
                <c:ptCount val="385"/>
                <c:pt idx="0">
                  <c:v>1000</c:v>
                </c:pt>
                <c:pt idx="1">
                  <c:v>1004.9706911901368</c:v>
                </c:pt>
                <c:pt idx="2">
                  <c:v>1008.500671268701</c:v>
                </c:pt>
                <c:pt idx="3">
                  <c:v>1012.3659881197691</c:v>
                </c:pt>
                <c:pt idx="4">
                  <c:v>1015.4634367994282</c:v>
                </c:pt>
                <c:pt idx="5">
                  <c:v>1019.6788217031218</c:v>
                </c:pt>
                <c:pt idx="6">
                  <c:v>1024.4604274864885</c:v>
                </c:pt>
                <c:pt idx="7">
                  <c:v>1028.8777766600776</c:v>
                </c:pt>
                <c:pt idx="8">
                  <c:v>1032.8572407486997</c:v>
                </c:pt>
                <c:pt idx="9">
                  <c:v>1037.3258204185322</c:v>
                </c:pt>
                <c:pt idx="10">
                  <c:v>1041.7279392309808</c:v>
                </c:pt>
                <c:pt idx="11">
                  <c:v>1047.3116976009671</c:v>
                </c:pt>
                <c:pt idx="12">
                  <c:v>1051.2830158886234</c:v>
                </c:pt>
                <c:pt idx="13">
                  <c:v>1056.7609836897363</c:v>
                </c:pt>
                <c:pt idx="14">
                  <c:v>1062.7195735944249</c:v>
                </c:pt>
                <c:pt idx="15">
                  <c:v>1065.899086677234</c:v>
                </c:pt>
                <c:pt idx="16">
                  <c:v>1069.5541467429928</c:v>
                </c:pt>
                <c:pt idx="17">
                  <c:v>1075.2659439234544</c:v>
                </c:pt>
                <c:pt idx="18">
                  <c:v>1079.2198457585894</c:v>
                </c:pt>
                <c:pt idx="19">
                  <c:v>1084.4798963723251</c:v>
                </c:pt>
                <c:pt idx="20">
                  <c:v>1089.6411347342248</c:v>
                </c:pt>
                <c:pt idx="21">
                  <c:v>1094.559700715994</c:v>
                </c:pt>
                <c:pt idx="22">
                  <c:v>1099.3534332181089</c:v>
                </c:pt>
                <c:pt idx="23">
                  <c:v>1105.0963500452194</c:v>
                </c:pt>
                <c:pt idx="24">
                  <c:v>1110.6462505707398</c:v>
                </c:pt>
                <c:pt idx="25">
                  <c:v>1114.2961019379363</c:v>
                </c:pt>
                <c:pt idx="26">
                  <c:v>1120.780171051354</c:v>
                </c:pt>
                <c:pt idx="27">
                  <c:v>1126.9579470961698</c:v>
                </c:pt>
                <c:pt idx="28">
                  <c:v>1130.3701216098912</c:v>
                </c:pt>
                <c:pt idx="29">
                  <c:v>1133.6358989535386</c:v>
                </c:pt>
                <c:pt idx="30">
                  <c:v>1137.7252214041607</c:v>
                </c:pt>
                <c:pt idx="31">
                  <c:v>1141.0214470084954</c:v>
                </c:pt>
                <c:pt idx="32">
                  <c:v>1146.631952323303</c:v>
                </c:pt>
                <c:pt idx="33">
                  <c:v>1152.575073935961</c:v>
                </c:pt>
                <c:pt idx="34">
                  <c:v>1158.8848190011147</c:v>
                </c:pt>
                <c:pt idx="35">
                  <c:v>1163.1337806893366</c:v>
                </c:pt>
                <c:pt idx="36">
                  <c:v>1166.2639582908655</c:v>
                </c:pt>
                <c:pt idx="37">
                  <c:v>1169.6684823852129</c:v>
                </c:pt>
                <c:pt idx="38">
                  <c:v>1173.2721623053289</c:v>
                </c:pt>
                <c:pt idx="39">
                  <c:v>1178.6883458824125</c:v>
                </c:pt>
                <c:pt idx="40">
                  <c:v>1183.2961545113819</c:v>
                </c:pt>
                <c:pt idx="41">
                  <c:v>1190.2020631370644</c:v>
                </c:pt>
                <c:pt idx="42">
                  <c:v>1194.3611619750759</c:v>
                </c:pt>
                <c:pt idx="43">
                  <c:v>1197.6142969507835</c:v>
                </c:pt>
                <c:pt idx="44">
                  <c:v>1203.7940989823019</c:v>
                </c:pt>
                <c:pt idx="45">
                  <c:v>1208.9025332925401</c:v>
                </c:pt>
                <c:pt idx="46">
                  <c:v>1212.5386252858468</c:v>
                </c:pt>
                <c:pt idx="47">
                  <c:v>1218.6560483975049</c:v>
                </c:pt>
                <c:pt idx="48">
                  <c:v>1224.5559594136125</c:v>
                </c:pt>
                <c:pt idx="49">
                  <c:v>1228.7949661904408</c:v>
                </c:pt>
                <c:pt idx="50">
                  <c:v>1233.4742946675979</c:v>
                </c:pt>
                <c:pt idx="51">
                  <c:v>1238.4787112704923</c:v>
                </c:pt>
                <c:pt idx="52">
                  <c:v>1244.1342315110367</c:v>
                </c:pt>
                <c:pt idx="53">
                  <c:v>1251.3156631032771</c:v>
                </c:pt>
                <c:pt idx="54">
                  <c:v>1257.2787333071014</c:v>
                </c:pt>
                <c:pt idx="55">
                  <c:v>1262.2554254817589</c:v>
                </c:pt>
                <c:pt idx="56">
                  <c:v>1267.0834295077605</c:v>
                </c:pt>
                <c:pt idx="57">
                  <c:v>1271.9311710967049</c:v>
                </c:pt>
                <c:pt idx="58">
                  <c:v>1277.8745184307168</c:v>
                </c:pt>
                <c:pt idx="59">
                  <c:v>1284.0483430894501</c:v>
                </c:pt>
                <c:pt idx="60">
                  <c:v>1290.4001308780184</c:v>
                </c:pt>
                <c:pt idx="61">
                  <c:v>1297.1310478961166</c:v>
                </c:pt>
                <c:pt idx="62">
                  <c:v>1301.6453854373892</c:v>
                </c:pt>
                <c:pt idx="63">
                  <c:v>1305.2296400630717</c:v>
                </c:pt>
                <c:pt idx="64">
                  <c:v>1311.4524576640599</c:v>
                </c:pt>
                <c:pt idx="65">
                  <c:v>1318.9859554574257</c:v>
                </c:pt>
                <c:pt idx="66">
                  <c:v>1323.879975887729</c:v>
                </c:pt>
                <c:pt idx="67">
                  <c:v>1328.5807941749952</c:v>
                </c:pt>
                <c:pt idx="68">
                  <c:v>1332.2616578982772</c:v>
                </c:pt>
                <c:pt idx="69">
                  <c:v>1337.0134974362786</c:v>
                </c:pt>
                <c:pt idx="70">
                  <c:v>1340.6672894525498</c:v>
                </c:pt>
                <c:pt idx="71">
                  <c:v>1347.4545186941014</c:v>
                </c:pt>
                <c:pt idx="72">
                  <c:v>1354.4882996153035</c:v>
                </c:pt>
                <c:pt idx="73">
                  <c:v>1361.9246033102359</c:v>
                </c:pt>
                <c:pt idx="74">
                  <c:v>1367.7384670818071</c:v>
                </c:pt>
                <c:pt idx="75">
                  <c:v>1373.0011751452748</c:v>
                </c:pt>
                <c:pt idx="76">
                  <c:v>1379.7056902443173</c:v>
                </c:pt>
                <c:pt idx="77">
                  <c:v>1387.1544155876286</c:v>
                </c:pt>
                <c:pt idx="78">
                  <c:v>1394.8407002352756</c:v>
                </c:pt>
                <c:pt idx="79">
                  <c:v>1402.7007017131493</c:v>
                </c:pt>
                <c:pt idx="80">
                  <c:v>1408.903674360261</c:v>
                </c:pt>
                <c:pt idx="81">
                  <c:v>1414.2242008028597</c:v>
                </c:pt>
                <c:pt idx="82">
                  <c:v>1422.3504747824747</c:v>
                </c:pt>
                <c:pt idx="83">
                  <c:v>1429.1808417069433</c:v>
                </c:pt>
                <c:pt idx="84">
                  <c:v>1434.8461696526251</c:v>
                </c:pt>
                <c:pt idx="85">
                  <c:v>1442.8823924112364</c:v>
                </c:pt>
                <c:pt idx="86">
                  <c:v>1450.1423947788146</c:v>
                </c:pt>
                <c:pt idx="87">
                  <c:v>1455.6567896044764</c:v>
                </c:pt>
                <c:pt idx="88">
                  <c:v>1461.7375772428936</c:v>
                </c:pt>
                <c:pt idx="89">
                  <c:v>1466.4422966286245</c:v>
                </c:pt>
                <c:pt idx="90">
                  <c:v>1474.8671123450563</c:v>
                </c:pt>
                <c:pt idx="91">
                  <c:v>1479.4384420022359</c:v>
                </c:pt>
                <c:pt idx="92">
                  <c:v>1487.4838108545923</c:v>
                </c:pt>
                <c:pt idx="93">
                  <c:v>1494.159583645562</c:v>
                </c:pt>
                <c:pt idx="94">
                  <c:v>1498.4071796499907</c:v>
                </c:pt>
                <c:pt idx="95">
                  <c:v>1502.7951133888796</c:v>
                </c:pt>
                <c:pt idx="96">
                  <c:v>1510.9195694072732</c:v>
                </c:pt>
                <c:pt idx="97">
                  <c:v>1517.5516485591797</c:v>
                </c:pt>
                <c:pt idx="98">
                  <c:v>1523.9327752155536</c:v>
                </c:pt>
                <c:pt idx="99">
                  <c:v>1528.910034154939</c:v>
                </c:pt>
                <c:pt idx="100">
                  <c:v>1537.6324675548869</c:v>
                </c:pt>
                <c:pt idx="101">
                  <c:v>1543.9670293022434</c:v>
                </c:pt>
                <c:pt idx="102">
                  <c:v>1550.2293754598595</c:v>
                </c:pt>
                <c:pt idx="103">
                  <c:v>1556.1594989926468</c:v>
                </c:pt>
                <c:pt idx="104">
                  <c:v>1562.5981764177889</c:v>
                </c:pt>
                <c:pt idx="105">
                  <c:v>1566.785260070101</c:v>
                </c:pt>
                <c:pt idx="106">
                  <c:v>1575.1648834309237</c:v>
                </c:pt>
                <c:pt idx="107">
                  <c:v>1580.5817722627792</c:v>
                </c:pt>
                <c:pt idx="108">
                  <c:v>1586.1957782152865</c:v>
                </c:pt>
                <c:pt idx="109">
                  <c:v>1595.2587574486638</c:v>
                </c:pt>
                <c:pt idx="110">
                  <c:v>1599.9932009470822</c:v>
                </c:pt>
                <c:pt idx="111">
                  <c:v>1606.3503474867418</c:v>
                </c:pt>
                <c:pt idx="112">
                  <c:v>1614.6743042962553</c:v>
                </c:pt>
                <c:pt idx="113">
                  <c:v>1622.09994756641</c:v>
                </c:pt>
                <c:pt idx="114">
                  <c:v>1627.77330967424</c:v>
                </c:pt>
                <c:pt idx="115">
                  <c:v>1632.3702049370227</c:v>
                </c:pt>
                <c:pt idx="116">
                  <c:v>1637.169865401162</c:v>
                </c:pt>
                <c:pt idx="117">
                  <c:v>1644.9155940127127</c:v>
                </c:pt>
                <c:pt idx="118">
                  <c:v>1651.8619528369968</c:v>
                </c:pt>
                <c:pt idx="119">
                  <c:v>1660.5115256278943</c:v>
                </c:pt>
                <c:pt idx="120">
                  <c:v>1668.5664204317973</c:v>
                </c:pt>
                <c:pt idx="121">
                  <c:v>1676.6520961599233</c:v>
                </c:pt>
                <c:pt idx="122">
                  <c:v>1681.7016793130467</c:v>
                </c:pt>
                <c:pt idx="123">
                  <c:v>1690.1606487378633</c:v>
                </c:pt>
                <c:pt idx="124">
                  <c:v>1698.0195215455337</c:v>
                </c:pt>
                <c:pt idx="125">
                  <c:v>1702.6756414493393</c:v>
                </c:pt>
                <c:pt idx="126">
                  <c:v>1708.9566798675012</c:v>
                </c:pt>
                <c:pt idx="127">
                  <c:v>1713.4373210633707</c:v>
                </c:pt>
                <c:pt idx="128">
                  <c:v>1720.7124853753819</c:v>
                </c:pt>
                <c:pt idx="129">
                  <c:v>1728.6481956697949</c:v>
                </c:pt>
                <c:pt idx="130">
                  <c:v>1738.4578831668787</c:v>
                </c:pt>
                <c:pt idx="131">
                  <c:v>1743.2793250572258</c:v>
                </c:pt>
                <c:pt idx="132">
                  <c:v>1747.9049089342216</c:v>
                </c:pt>
                <c:pt idx="133">
                  <c:v>1756.5629161595793</c:v>
                </c:pt>
                <c:pt idx="134">
                  <c:v>1766.4991037255197</c:v>
                </c:pt>
                <c:pt idx="135">
                  <c:v>1776.6040753607233</c:v>
                </c:pt>
                <c:pt idx="136">
                  <c:v>1784.1962379857875</c:v>
                </c:pt>
                <c:pt idx="137">
                  <c:v>1789.1723494384401</c:v>
                </c:pt>
                <c:pt idx="138">
                  <c:v>1797.2755882552369</c:v>
                </c:pt>
                <c:pt idx="139">
                  <c:v>1803.9901402618234</c:v>
                </c:pt>
                <c:pt idx="140">
                  <c:v>1810.3645665276035</c:v>
                </c:pt>
                <c:pt idx="141">
                  <c:v>1819.0352109374194</c:v>
                </c:pt>
                <c:pt idx="142">
                  <c:v>1826.5616779709405</c:v>
                </c:pt>
                <c:pt idx="143">
                  <c:v>1832.2802983025265</c:v>
                </c:pt>
                <c:pt idx="144">
                  <c:v>1839.0748757394822</c:v>
                </c:pt>
                <c:pt idx="145">
                  <c:v>1844.6825026608451</c:v>
                </c:pt>
                <c:pt idx="146">
                  <c:v>1854.9817660498666</c:v>
                </c:pt>
                <c:pt idx="147">
                  <c:v>1861.7142689055481</c:v>
                </c:pt>
                <c:pt idx="148">
                  <c:v>1872.148125767038</c:v>
                </c:pt>
                <c:pt idx="149">
                  <c:v>1879.8313935002602</c:v>
                </c:pt>
                <c:pt idx="150">
                  <c:v>1885.0113375260676</c:v>
                </c:pt>
                <c:pt idx="151">
                  <c:v>1892.0557003338577</c:v>
                </c:pt>
                <c:pt idx="152">
                  <c:v>1900.0654912271348</c:v>
                </c:pt>
                <c:pt idx="153">
                  <c:v>1906.0149124514351</c:v>
                </c:pt>
                <c:pt idx="154">
                  <c:v>1914.0119655742917</c:v>
                </c:pt>
                <c:pt idx="155">
                  <c:v>1922.7921314590565</c:v>
                </c:pt>
                <c:pt idx="156">
                  <c:v>1931.5295652789441</c:v>
                </c:pt>
                <c:pt idx="157">
                  <c:v>1937.9530852427411</c:v>
                </c:pt>
                <c:pt idx="158">
                  <c:v>1946.8645822080478</c:v>
                </c:pt>
                <c:pt idx="159">
                  <c:v>1952.8066277637092</c:v>
                </c:pt>
                <c:pt idx="160">
                  <c:v>1960.2278318754115</c:v>
                </c:pt>
                <c:pt idx="161">
                  <c:v>1969.3930980463081</c:v>
                </c:pt>
                <c:pt idx="162">
                  <c:v>1978.0895587278619</c:v>
                </c:pt>
                <c:pt idx="163">
                  <c:v>1986.6764979181344</c:v>
                </c:pt>
                <c:pt idx="164">
                  <c:v>1995.5017961463097</c:v>
                </c:pt>
                <c:pt idx="165">
                  <c:v>2002.4133000647194</c:v>
                </c:pt>
                <c:pt idx="166">
                  <c:v>2008.3318689484599</c:v>
                </c:pt>
                <c:pt idx="167">
                  <c:v>2016.8584051568225</c:v>
                </c:pt>
                <c:pt idx="168">
                  <c:v>2022.5955281036149</c:v>
                </c:pt>
                <c:pt idx="169">
                  <c:v>2032.1651754920001</c:v>
                </c:pt>
                <c:pt idx="170">
                  <c:v>2040.2685452666221</c:v>
                </c:pt>
                <c:pt idx="171">
                  <c:v>2050.5387948256043</c:v>
                </c:pt>
                <c:pt idx="172">
                  <c:v>2055.8648622650167</c:v>
                </c:pt>
                <c:pt idx="173">
                  <c:v>2066.8801796277176</c:v>
                </c:pt>
                <c:pt idx="174">
                  <c:v>2073.45511520228</c:v>
                </c:pt>
                <c:pt idx="175">
                  <c:v>2084.0492978915086</c:v>
                </c:pt>
                <c:pt idx="176">
                  <c:v>2090.9486355048689</c:v>
                </c:pt>
                <c:pt idx="177">
                  <c:v>2096.3464954306387</c:v>
                </c:pt>
                <c:pt idx="178">
                  <c:v>2106.6361045519629</c:v>
                </c:pt>
                <c:pt idx="179">
                  <c:v>2115.7261194761713</c:v>
                </c:pt>
                <c:pt idx="180">
                  <c:v>2122.9100226380065</c:v>
                </c:pt>
                <c:pt idx="181">
                  <c:v>2131.5483463001929</c:v>
                </c:pt>
                <c:pt idx="182">
                  <c:v>2142.5099079147635</c:v>
                </c:pt>
                <c:pt idx="183">
                  <c:v>2152.0165624294555</c:v>
                </c:pt>
                <c:pt idx="184">
                  <c:v>2157.7273647690972</c:v>
                </c:pt>
                <c:pt idx="185">
                  <c:v>2164.4040773595761</c:v>
                </c:pt>
                <c:pt idx="186">
                  <c:v>2174.0653612478004</c:v>
                </c:pt>
                <c:pt idx="187">
                  <c:v>2186.2483351247747</c:v>
                </c:pt>
                <c:pt idx="188">
                  <c:v>2196.9328012626565</c:v>
                </c:pt>
                <c:pt idx="189">
                  <c:v>2202.7089458398077</c:v>
                </c:pt>
                <c:pt idx="190">
                  <c:v>2212.7957432917397</c:v>
                </c:pt>
                <c:pt idx="191">
                  <c:v>2219.0602162427617</c:v>
                </c:pt>
                <c:pt idx="192">
                  <c:v>2225.9185080401062</c:v>
                </c:pt>
                <c:pt idx="193">
                  <c:v>2235.0234946379405</c:v>
                </c:pt>
                <c:pt idx="194">
                  <c:v>2243.7359049015263</c:v>
                </c:pt>
                <c:pt idx="195">
                  <c:v>2254.2464657817204</c:v>
                </c:pt>
                <c:pt idx="196">
                  <c:v>2265.3754230029467</c:v>
                </c:pt>
                <c:pt idx="197">
                  <c:v>2272.9734271978505</c:v>
                </c:pt>
                <c:pt idx="198">
                  <c:v>2282.502262867873</c:v>
                </c:pt>
                <c:pt idx="199">
                  <c:v>2290.960567219096</c:v>
                </c:pt>
                <c:pt idx="200">
                  <c:v>2302.1494553332309</c:v>
                </c:pt>
                <c:pt idx="201">
                  <c:v>2308.1338451325541</c:v>
                </c:pt>
                <c:pt idx="202">
                  <c:v>2318.7218476344597</c:v>
                </c:pt>
                <c:pt idx="203">
                  <c:v>2324.855793770409</c:v>
                </c:pt>
                <c:pt idx="204">
                  <c:v>2337.6827944266306</c:v>
                </c:pt>
                <c:pt idx="205">
                  <c:v>2345.1126505819357</c:v>
                </c:pt>
                <c:pt idx="206">
                  <c:v>2355.3873199967566</c:v>
                </c:pt>
                <c:pt idx="207">
                  <c:v>2364.0945160472297</c:v>
                </c:pt>
                <c:pt idx="208">
                  <c:v>2371.7821184945565</c:v>
                </c:pt>
                <c:pt idx="209">
                  <c:v>2378.9330004140043</c:v>
                </c:pt>
                <c:pt idx="210">
                  <c:v>2388.9525452472435</c:v>
                </c:pt>
                <c:pt idx="211">
                  <c:v>2402.2825811120092</c:v>
                </c:pt>
                <c:pt idx="212">
                  <c:v>2413.6927809933841</c:v>
                </c:pt>
                <c:pt idx="213">
                  <c:v>2422.4500586920253</c:v>
                </c:pt>
                <c:pt idx="214">
                  <c:v>2430.5424656333407</c:v>
                </c:pt>
                <c:pt idx="215">
                  <c:v>2440.8663350360152</c:v>
                </c:pt>
                <c:pt idx="216">
                  <c:v>2449.5842870826109</c:v>
                </c:pt>
                <c:pt idx="217">
                  <c:v>2459.4001341096209</c:v>
                </c:pt>
                <c:pt idx="218">
                  <c:v>2470.313948450214</c:v>
                </c:pt>
                <c:pt idx="219">
                  <c:v>2482.3925277742046</c:v>
                </c:pt>
                <c:pt idx="220">
                  <c:v>2495.7798785465811</c:v>
                </c:pt>
                <c:pt idx="221">
                  <c:v>2509.5558564338826</c:v>
                </c:pt>
                <c:pt idx="222">
                  <c:v>2516.8388919478193</c:v>
                </c:pt>
                <c:pt idx="223">
                  <c:v>2530.9002766216049</c:v>
                </c:pt>
                <c:pt idx="224">
                  <c:v>2538.144669076351</c:v>
                </c:pt>
                <c:pt idx="225">
                  <c:v>2551.619818661788</c:v>
                </c:pt>
                <c:pt idx="226">
                  <c:v>2565.2756019168251</c:v>
                </c:pt>
                <c:pt idx="227">
                  <c:v>2577.7598159368763</c:v>
                </c:pt>
                <c:pt idx="228">
                  <c:v>2590.3432137044638</c:v>
                </c:pt>
                <c:pt idx="229">
                  <c:v>2601.7224030037023</c:v>
                </c:pt>
                <c:pt idx="230">
                  <c:v>2613.9910918139208</c:v>
                </c:pt>
                <c:pt idx="231">
                  <c:v>2626.9852894842052</c:v>
                </c:pt>
                <c:pt idx="232">
                  <c:v>2635.4345298779481</c:v>
                </c:pt>
                <c:pt idx="233">
                  <c:v>2646.5913186234911</c:v>
                </c:pt>
                <c:pt idx="234">
                  <c:v>2659.3475705343976</c:v>
                </c:pt>
                <c:pt idx="235">
                  <c:v>2668.6985473578875</c:v>
                </c:pt>
                <c:pt idx="236">
                  <c:v>2683.1632484070874</c:v>
                </c:pt>
                <c:pt idx="237">
                  <c:v>2690.5364024211608</c:v>
                </c:pt>
                <c:pt idx="238">
                  <c:v>2704.7555793648453</c:v>
                </c:pt>
                <c:pt idx="239">
                  <c:v>2713.6494737602679</c:v>
                </c:pt>
                <c:pt idx="240">
                  <c:v>2728.801190075289</c:v>
                </c:pt>
                <c:pt idx="241">
                  <c:v>2743.3967378215398</c:v>
                </c:pt>
                <c:pt idx="242">
                  <c:v>2752.3518547317121</c:v>
                </c:pt>
                <c:pt idx="243">
                  <c:v>2761.198593040996</c:v>
                </c:pt>
                <c:pt idx="244">
                  <c:v>2775.8370478878273</c:v>
                </c:pt>
                <c:pt idx="245">
                  <c:v>2790.8239081250254</c:v>
                </c:pt>
                <c:pt idx="246">
                  <c:v>2801.6467352099994</c:v>
                </c:pt>
                <c:pt idx="247">
                  <c:v>2817.3450693843456</c:v>
                </c:pt>
                <c:pt idx="248">
                  <c:v>2826.7834034994021</c:v>
                </c:pt>
                <c:pt idx="249">
                  <c:v>2836.9587008060707</c:v>
                </c:pt>
                <c:pt idx="250">
                  <c:v>2848.6265299329721</c:v>
                </c:pt>
                <c:pt idx="251">
                  <c:v>2859.3216059263109</c:v>
                </c:pt>
                <c:pt idx="252">
                  <c:v>2873.7203526156768</c:v>
                </c:pt>
                <c:pt idx="253">
                  <c:v>2886.3893996363217</c:v>
                </c:pt>
                <c:pt idx="254">
                  <c:v>2899.742829334491</c:v>
                </c:pt>
                <c:pt idx="255">
                  <c:v>2909.6231361144692</c:v>
                </c:pt>
                <c:pt idx="256">
                  <c:v>2922.2820242310022</c:v>
                </c:pt>
                <c:pt idx="257">
                  <c:v>2934.982335082947</c:v>
                </c:pt>
                <c:pt idx="258">
                  <c:v>2950.176654430838</c:v>
                </c:pt>
                <c:pt idx="259">
                  <c:v>2962.4290316309261</c:v>
                </c:pt>
                <c:pt idx="260">
                  <c:v>2977.9614239602688</c:v>
                </c:pt>
                <c:pt idx="261">
                  <c:v>2993.1512893516874</c:v>
                </c:pt>
                <c:pt idx="262">
                  <c:v>3006.6734185288192</c:v>
                </c:pt>
                <c:pt idx="263">
                  <c:v>3016.8069721764996</c:v>
                </c:pt>
                <c:pt idx="264">
                  <c:v>3029.6792493912026</c:v>
                </c:pt>
                <c:pt idx="265">
                  <c:v>3041.5912891693238</c:v>
                </c:pt>
                <c:pt idx="266">
                  <c:v>3055.4604358002193</c:v>
                </c:pt>
                <c:pt idx="267">
                  <c:v>3071.7100076432002</c:v>
                </c:pt>
                <c:pt idx="268">
                  <c:v>3080.772096682244</c:v>
                </c:pt>
                <c:pt idx="269">
                  <c:v>3090.2736348331559</c:v>
                </c:pt>
                <c:pt idx="270">
                  <c:v>3105.9225741368373</c:v>
                </c:pt>
                <c:pt idx="271">
                  <c:v>3118.4675750779465</c:v>
                </c:pt>
                <c:pt idx="272">
                  <c:v>3130.67049833599</c:v>
                </c:pt>
                <c:pt idx="273">
                  <c:v>3147.8482285125056</c:v>
                </c:pt>
                <c:pt idx="274">
                  <c:v>3159.8645288964003</c:v>
                </c:pt>
                <c:pt idx="275">
                  <c:v>3177.7642332789178</c:v>
                </c:pt>
                <c:pt idx="276">
                  <c:v>3195.6341121140067</c:v>
                </c:pt>
                <c:pt idx="277">
                  <c:v>3204.2436911429895</c:v>
                </c:pt>
                <c:pt idx="278">
                  <c:v>3217.4867783518853</c:v>
                </c:pt>
                <c:pt idx="279">
                  <c:v>3227.4842073078134</c:v>
                </c:pt>
                <c:pt idx="280">
                  <c:v>3244.8951379982705</c:v>
                </c:pt>
                <c:pt idx="281">
                  <c:v>3262.3610938927982</c:v>
                </c:pt>
                <c:pt idx="282">
                  <c:v>3273.5533136011773</c:v>
                </c:pt>
                <c:pt idx="283">
                  <c:v>3290.8906857340194</c:v>
                </c:pt>
                <c:pt idx="284">
                  <c:v>3300.770262878405</c:v>
                </c:pt>
                <c:pt idx="285">
                  <c:v>3310.0132705860547</c:v>
                </c:pt>
                <c:pt idx="286">
                  <c:v>3328.9548921362225</c:v>
                </c:pt>
                <c:pt idx="287">
                  <c:v>3343.7628622389097</c:v>
                </c:pt>
                <c:pt idx="288">
                  <c:v>3363.000106998431</c:v>
                </c:pt>
                <c:pt idx="289">
                  <c:v>3380.8994699298751</c:v>
                </c:pt>
                <c:pt idx="290">
                  <c:v>3399.616817058265</c:v>
                </c:pt>
                <c:pt idx="291">
                  <c:v>3417.6261847099304</c:v>
                </c:pt>
                <c:pt idx="292">
                  <c:v>3435.6463815471211</c:v>
                </c:pt>
                <c:pt idx="293">
                  <c:v>3454.2633582904864</c:v>
                </c:pt>
                <c:pt idx="294">
                  <c:v>3466.1820826778171</c:v>
                </c:pt>
                <c:pt idx="295">
                  <c:v>3477.8042994938041</c:v>
                </c:pt>
                <c:pt idx="296">
                  <c:v>3494.0228370600053</c:v>
                </c:pt>
                <c:pt idx="297">
                  <c:v>3507.3570378037803</c:v>
                </c:pt>
                <c:pt idx="298">
                  <c:v>3526.4739689940143</c:v>
                </c:pt>
                <c:pt idx="299">
                  <c:v>3541.8426412302933</c:v>
                </c:pt>
                <c:pt idx="300">
                  <c:v>3553.5288950866779</c:v>
                </c:pt>
                <c:pt idx="301">
                  <c:v>3572.5304816049747</c:v>
                </c:pt>
                <c:pt idx="302">
                  <c:v>3589.3148211657453</c:v>
                </c:pt>
                <c:pt idx="303">
                  <c:v>3601.9927422419073</c:v>
                </c:pt>
                <c:pt idx="304">
                  <c:v>3614.0774739616759</c:v>
                </c:pt>
                <c:pt idx="305">
                  <c:v>3627.6098611799816</c:v>
                </c:pt>
                <c:pt idx="306">
                  <c:v>3644.4754874422838</c:v>
                </c:pt>
                <c:pt idx="307">
                  <c:v>3657.4772468912943</c:v>
                </c:pt>
                <c:pt idx="308">
                  <c:v>3673.5795865942168</c:v>
                </c:pt>
                <c:pt idx="309">
                  <c:v>3693.8272635146536</c:v>
                </c:pt>
                <c:pt idx="310">
                  <c:v>3711.6021486626919</c:v>
                </c:pt>
                <c:pt idx="311">
                  <c:v>3726.5921909599356</c:v>
                </c:pt>
                <c:pt idx="312">
                  <c:v>3744.2417629672696</c:v>
                </c:pt>
                <c:pt idx="313">
                  <c:v>3758.1566888912184</c:v>
                </c:pt>
                <c:pt idx="314">
                  <c:v>3778.4461764439297</c:v>
                </c:pt>
                <c:pt idx="315">
                  <c:v>3793.0765389936632</c:v>
                </c:pt>
                <c:pt idx="316">
                  <c:v>3803.5513347844003</c:v>
                </c:pt>
                <c:pt idx="317">
                  <c:v>3824.498364476965</c:v>
                </c:pt>
                <c:pt idx="318">
                  <c:v>3846.0568172139497</c:v>
                </c:pt>
                <c:pt idx="319">
                  <c:v>3858.7398425831871</c:v>
                </c:pt>
                <c:pt idx="320">
                  <c:v>3869.0892328229229</c:v>
                </c:pt>
                <c:pt idx="321">
                  <c:v>3888.0988404731543</c:v>
                </c:pt>
                <c:pt idx="322">
                  <c:v>3907.6664510113342</c:v>
                </c:pt>
                <c:pt idx="323">
                  <c:v>3922.5011504777099</c:v>
                </c:pt>
                <c:pt idx="324">
                  <c:v>3944.2483077533329</c:v>
                </c:pt>
                <c:pt idx="325">
                  <c:v>3956.4712659649235</c:v>
                </c:pt>
                <c:pt idx="326">
                  <c:v>3978.1729510604528</c:v>
                </c:pt>
                <c:pt idx="327">
                  <c:v>4000.8612907774859</c:v>
                </c:pt>
                <c:pt idx="328">
                  <c:v>4022.8460473186387</c:v>
                </c:pt>
                <c:pt idx="329">
                  <c:v>4038.0876210858178</c:v>
                </c:pt>
                <c:pt idx="330">
                  <c:v>4056.4433154329831</c:v>
                </c:pt>
                <c:pt idx="331">
                  <c:v>4072.2311276709602</c:v>
                </c:pt>
                <c:pt idx="332">
                  <c:v>4094.8401018291584</c:v>
                </c:pt>
                <c:pt idx="333">
                  <c:v>4111.6383161767671</c:v>
                </c:pt>
                <c:pt idx="334">
                  <c:v>4133.3885440222111</c:v>
                </c:pt>
                <c:pt idx="335">
                  <c:v>4146.461151346467</c:v>
                </c:pt>
                <c:pt idx="336">
                  <c:v>4168.5394341837928</c:v>
                </c:pt>
                <c:pt idx="337">
                  <c:v>4186.3620324020585</c:v>
                </c:pt>
                <c:pt idx="338">
                  <c:v>4205.0997355373165</c:v>
                </c:pt>
                <c:pt idx="339">
                  <c:v>4223.1006983193392</c:v>
                </c:pt>
                <c:pt idx="340">
                  <c:v>4240.7313383024866</c:v>
                </c:pt>
                <c:pt idx="341">
                  <c:v>4261.051419276193</c:v>
                </c:pt>
                <c:pt idx="342">
                  <c:v>4272.8094353675933</c:v>
                </c:pt>
                <c:pt idx="343">
                  <c:v>4297.1467602785197</c:v>
                </c:pt>
                <c:pt idx="344">
                  <c:v>4311.8815417593614</c:v>
                </c:pt>
                <c:pt idx="345">
                  <c:v>4325.0596031912592</c:v>
                </c:pt>
                <c:pt idx="346">
                  <c:v>4349.8516182295452</c:v>
                </c:pt>
                <c:pt idx="347">
                  <c:v>4373.6914969309228</c:v>
                </c:pt>
                <c:pt idx="348">
                  <c:v>4393.0674003282656</c:v>
                </c:pt>
                <c:pt idx="349">
                  <c:v>4405.9372321648161</c:v>
                </c:pt>
                <c:pt idx="350">
                  <c:v>4425.6414720513321</c:v>
                </c:pt>
                <c:pt idx="351">
                  <c:v>4437.7190812606332</c:v>
                </c:pt>
                <c:pt idx="352">
                  <c:v>4461.4215301059276</c:v>
                </c:pt>
                <c:pt idx="353">
                  <c:v>4476.7080159784327</c:v>
                </c:pt>
                <c:pt idx="354">
                  <c:v>4502.446078961244</c:v>
                </c:pt>
                <c:pt idx="355">
                  <c:v>4525.6300762367273</c:v>
                </c:pt>
                <c:pt idx="356">
                  <c:v>4546.5929635527082</c:v>
                </c:pt>
                <c:pt idx="357">
                  <c:v>4569.7570342844983</c:v>
                </c:pt>
                <c:pt idx="358">
                  <c:v>4588.0808971556662</c:v>
                </c:pt>
                <c:pt idx="359">
                  <c:v>4606.2716167563904</c:v>
                </c:pt>
                <c:pt idx="360">
                  <c:v>4618.3141395503017</c:v>
                </c:pt>
                <c:pt idx="361">
                  <c:v>4644.4208884622494</c:v>
                </c:pt>
                <c:pt idx="362">
                  <c:v>4661.994550596407</c:v>
                </c:pt>
                <c:pt idx="363">
                  <c:v>4674.8784299126437</c:v>
                </c:pt>
                <c:pt idx="364">
                  <c:v>4700.7033051382132</c:v>
                </c:pt>
                <c:pt idx="365">
                  <c:v>4714.7746205037347</c:v>
                </c:pt>
                <c:pt idx="366">
                  <c:v>4740.7915771851794</c:v>
                </c:pt>
                <c:pt idx="367">
                  <c:v>4753.6176019592112</c:v>
                </c:pt>
                <c:pt idx="368">
                  <c:v>4771.7423221665731</c:v>
                </c:pt>
                <c:pt idx="369">
                  <c:v>4787.0572069220252</c:v>
                </c:pt>
                <c:pt idx="370">
                  <c:v>4803.0985553168557</c:v>
                </c:pt>
                <c:pt idx="371">
                  <c:v>4825.8310207143631</c:v>
                </c:pt>
                <c:pt idx="372">
                  <c:v>4845.5566313678337</c:v>
                </c:pt>
                <c:pt idx="373">
                  <c:v>4864.9813047021998</c:v>
                </c:pt>
                <c:pt idx="374">
                  <c:v>4888.709950186505</c:v>
                </c:pt>
                <c:pt idx="375">
                  <c:v>4907.3495466484983</c:v>
                </c:pt>
                <c:pt idx="376">
                  <c:v>4930.6792135532678</c:v>
                </c:pt>
                <c:pt idx="377">
                  <c:v>4948.7995516264546</c:v>
                </c:pt>
                <c:pt idx="378">
                  <c:v>4963.2788505309754</c:v>
                </c:pt>
                <c:pt idx="379">
                  <c:v>4981.9959905027772</c:v>
                </c:pt>
                <c:pt idx="380">
                  <c:v>5002.4640953649732</c:v>
                </c:pt>
                <c:pt idx="381">
                  <c:v>5024.3831435170641</c:v>
                </c:pt>
                <c:pt idx="382">
                  <c:v>5038.8266592227474</c:v>
                </c:pt>
                <c:pt idx="383">
                  <c:v>5060.9327816133273</c:v>
                </c:pt>
                <c:pt idx="384">
                  <c:v>5075.5321905551245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5-4D1D-820A-CA04D8018554}"/>
            </c:ext>
          </c:extLst>
        </c:ser>
        <c:ser>
          <c:idx val="2"/>
          <c:order val="2"/>
          <c:tx>
            <c:strRef>
              <c:f>'idx data'!$Q$2</c:f>
              <c:strCache>
                <c:ptCount val="1"/>
                <c:pt idx="0">
                  <c:v>MSCI idx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'idx data'!$A$3:$A$387</c:f>
              <c:numCache>
                <c:formatCode>General</c:formatCode>
                <c:ptCount val="3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</c:numCache>
            </c:numRef>
          </c:cat>
          <c:val>
            <c:numRef>
              <c:f>'idx data'!$Q$3:$Q$387</c:f>
              <c:numCache>
                <c:formatCode>General</c:formatCode>
                <c:ptCount val="385"/>
                <c:pt idx="0">
                  <c:v>1000</c:v>
                </c:pt>
                <c:pt idx="1">
                  <c:v>1004.6500102956409</c:v>
                </c:pt>
                <c:pt idx="2">
                  <c:v>1009.2975103317037</c:v>
                </c:pt>
                <c:pt idx="3">
                  <c:v>1014.1009066123628</c:v>
                </c:pt>
                <c:pt idx="4">
                  <c:v>1018.7129386096171</c:v>
                </c:pt>
                <c:pt idx="5">
                  <c:v>1023.1057240761371</c:v>
                </c:pt>
                <c:pt idx="6">
                  <c:v>1027.7372125220102</c:v>
                </c:pt>
                <c:pt idx="7">
                  <c:v>1032.3225441683155</c:v>
                </c:pt>
                <c:pt idx="8">
                  <c:v>1036.704175810687</c:v>
                </c:pt>
                <c:pt idx="9">
                  <c:v>1041.1091994458909</c:v>
                </c:pt>
                <c:pt idx="10">
                  <c:v>1045.4092175602241</c:v>
                </c:pt>
                <c:pt idx="11">
                  <c:v>1049.5265911522802</c:v>
                </c:pt>
                <c:pt idx="12">
                  <c:v>1053.3337133388866</c:v>
                </c:pt>
                <c:pt idx="13">
                  <c:v>1056.9349978820633</c:v>
                </c:pt>
                <c:pt idx="14">
                  <c:v>1060.346519210133</c:v>
                </c:pt>
                <c:pt idx="15">
                  <c:v>1063.6810226469358</c:v>
                </c:pt>
                <c:pt idx="16">
                  <c:v>1066.9325735923635</c:v>
                </c:pt>
                <c:pt idx="17">
                  <c:v>1070.4012016902655</c:v>
                </c:pt>
                <c:pt idx="18">
                  <c:v>1074.0316523411907</c:v>
                </c:pt>
                <c:pt idx="19">
                  <c:v>1077.4144259388322</c:v>
                </c:pt>
                <c:pt idx="20">
                  <c:v>1080.9712075282687</c:v>
                </c:pt>
                <c:pt idx="21">
                  <c:v>1084.6413866880607</c:v>
                </c:pt>
                <c:pt idx="22">
                  <c:v>1088.4603850018057</c:v>
                </c:pt>
                <c:pt idx="23">
                  <c:v>1092.2140735724884</c:v>
                </c:pt>
                <c:pt idx="24">
                  <c:v>1096.0634996642841</c:v>
                </c:pt>
                <c:pt idx="25">
                  <c:v>1100.1816400953194</c:v>
                </c:pt>
                <c:pt idx="26">
                  <c:v>1104.3564167559789</c:v>
                </c:pt>
                <c:pt idx="27">
                  <c:v>1108.6783093632937</c:v>
                </c:pt>
                <c:pt idx="28">
                  <c:v>1113.0875299038846</c:v>
                </c:pt>
                <c:pt idx="29">
                  <c:v>1117.2425146006251</c:v>
                </c:pt>
                <c:pt idx="30">
                  <c:v>1121.3217697203711</c:v>
                </c:pt>
                <c:pt idx="31">
                  <c:v>1125.0056384689149</c:v>
                </c:pt>
                <c:pt idx="32">
                  <c:v>1129.0671381400441</c:v>
                </c:pt>
                <c:pt idx="33">
                  <c:v>1132.9897184716499</c:v>
                </c:pt>
                <c:pt idx="34">
                  <c:v>1136.598764936994</c:v>
                </c:pt>
                <c:pt idx="35">
                  <c:v>1140.0803048955199</c:v>
                </c:pt>
                <c:pt idx="36">
                  <c:v>1143.8661243314305</c:v>
                </c:pt>
                <c:pt idx="37">
                  <c:v>1148.0120474929763</c:v>
                </c:pt>
                <c:pt idx="38">
                  <c:v>1151.7802219484543</c:v>
                </c:pt>
                <c:pt idx="39">
                  <c:v>1155.2695680123425</c:v>
                </c:pt>
                <c:pt idx="40">
                  <c:v>1159.0525375750076</c:v>
                </c:pt>
                <c:pt idx="41">
                  <c:v>1162.3929434126089</c:v>
                </c:pt>
                <c:pt idx="42">
                  <c:v>1165.6989415262276</c:v>
                </c:pt>
                <c:pt idx="43">
                  <c:v>1169.0008845395625</c:v>
                </c:pt>
                <c:pt idx="44">
                  <c:v>1171.9720978770408</c:v>
                </c:pt>
                <c:pt idx="45">
                  <c:v>1174.8427663022348</c:v>
                </c:pt>
                <c:pt idx="46">
                  <c:v>1177.9372550783276</c:v>
                </c:pt>
                <c:pt idx="47">
                  <c:v>1181.1902399132387</c:v>
                </c:pt>
                <c:pt idx="48">
                  <c:v>1184.1222250844542</c:v>
                </c:pt>
                <c:pt idx="49">
                  <c:v>1187.3519815830662</c:v>
                </c:pt>
                <c:pt idx="50">
                  <c:v>1190.3528159822365</c:v>
                </c:pt>
                <c:pt idx="51">
                  <c:v>1193.0567906344043</c:v>
                </c:pt>
                <c:pt idx="52">
                  <c:v>1195.7004466413682</c:v>
                </c:pt>
                <c:pt idx="53">
                  <c:v>1198.3733968126342</c:v>
                </c:pt>
                <c:pt idx="54">
                  <c:v>1200.6306183779404</c:v>
                </c:pt>
                <c:pt idx="55">
                  <c:v>1203.0586410418721</c:v>
                </c:pt>
                <c:pt idx="56">
                  <c:v>1205.9325986085471</c:v>
                </c:pt>
                <c:pt idx="57">
                  <c:v>1208.4886919119372</c:v>
                </c:pt>
                <c:pt idx="58">
                  <c:v>1210.8671826487762</c:v>
                </c:pt>
                <c:pt idx="59">
                  <c:v>1213.0608348097317</c:v>
                </c:pt>
                <c:pt idx="60">
                  <c:v>1215.68678087424</c:v>
                </c:pt>
                <c:pt idx="61">
                  <c:v>1218.2680595477964</c:v>
                </c:pt>
                <c:pt idx="62">
                  <c:v>1220.7111620636258</c:v>
                </c:pt>
                <c:pt idx="63">
                  <c:v>1222.7387618644545</c:v>
                </c:pt>
                <c:pt idx="64">
                  <c:v>1224.5374992842371</c:v>
                </c:pt>
                <c:pt idx="65">
                  <c:v>1225.8564013090015</c:v>
                </c:pt>
                <c:pt idx="66">
                  <c:v>1226.7825380207939</c:v>
                </c:pt>
                <c:pt idx="67">
                  <c:v>1227.2507846900007</c:v>
                </c:pt>
                <c:pt idx="68">
                  <c:v>1227.3840671966134</c:v>
                </c:pt>
                <c:pt idx="69">
                  <c:v>1227.1091174533581</c:v>
                </c:pt>
                <c:pt idx="70">
                  <c:v>1226.4535687762118</c:v>
                </c:pt>
                <c:pt idx="71">
                  <c:v>1226.3074998399043</c:v>
                </c:pt>
                <c:pt idx="72">
                  <c:v>1225.8674839005735</c:v>
                </c:pt>
                <c:pt idx="73">
                  <c:v>1225.5472629885573</c:v>
                </c:pt>
                <c:pt idx="74">
                  <c:v>1225.0295313595216</c:v>
                </c:pt>
                <c:pt idx="75">
                  <c:v>1224.6504588255627</c:v>
                </c:pt>
                <c:pt idx="76">
                  <c:v>1224.2787071477114</c:v>
                </c:pt>
                <c:pt idx="77">
                  <c:v>1224.1274512405271</c:v>
                </c:pt>
                <c:pt idx="78">
                  <c:v>1223.6359243600739</c:v>
                </c:pt>
                <c:pt idx="79">
                  <c:v>1222.7012871688105</c:v>
                </c:pt>
                <c:pt idx="80">
                  <c:v>1221.3637635049286</c:v>
                </c:pt>
                <c:pt idx="81">
                  <c:v>1220.4370222862065</c:v>
                </c:pt>
                <c:pt idx="82">
                  <c:v>1219.8183508514169</c:v>
                </c:pt>
                <c:pt idx="83">
                  <c:v>1219.2383806413191</c:v>
                </c:pt>
                <c:pt idx="84">
                  <c:v>1218.224695396689</c:v>
                </c:pt>
                <c:pt idx="85">
                  <c:v>1217.1623471575081</c:v>
                </c:pt>
                <c:pt idx="86">
                  <c:v>1216.5111161391098</c:v>
                </c:pt>
                <c:pt idx="87">
                  <c:v>1215.4136498273565</c:v>
                </c:pt>
                <c:pt idx="88">
                  <c:v>1214.3465911626956</c:v>
                </c:pt>
                <c:pt idx="89">
                  <c:v>1212.9331387517548</c:v>
                </c:pt>
                <c:pt idx="90">
                  <c:v>1211.5423058521255</c:v>
                </c:pt>
                <c:pt idx="91">
                  <c:v>1209.8697087494884</c:v>
                </c:pt>
                <c:pt idx="92">
                  <c:v>1208.5593908295959</c:v>
                </c:pt>
                <c:pt idx="93">
                  <c:v>1207.4578149122488</c:v>
                </c:pt>
                <c:pt idx="94">
                  <c:v>1206.5855810485129</c:v>
                </c:pt>
                <c:pt idx="95">
                  <c:v>1205.5830329445557</c:v>
                </c:pt>
                <c:pt idx="96">
                  <c:v>1205.0121669270604</c:v>
                </c:pt>
                <c:pt idx="97">
                  <c:v>1204.4501811514672</c:v>
                </c:pt>
                <c:pt idx="98">
                  <c:v>1204.2223190704281</c:v>
                </c:pt>
                <c:pt idx="99">
                  <c:v>1204.4803169199811</c:v>
                </c:pt>
                <c:pt idx="100">
                  <c:v>1205.1193686690922</c:v>
                </c:pt>
                <c:pt idx="101">
                  <c:v>1205.294854526257</c:v>
                </c:pt>
                <c:pt idx="102">
                  <c:v>1205.1049968657203</c:v>
                </c:pt>
                <c:pt idx="103">
                  <c:v>1204.4987158382833</c:v>
                </c:pt>
                <c:pt idx="104">
                  <c:v>1203.6521809490234</c:v>
                </c:pt>
                <c:pt idx="105">
                  <c:v>1203.2978131598679</c:v>
                </c:pt>
                <c:pt idx="106">
                  <c:v>1202.6632352432553</c:v>
                </c:pt>
                <c:pt idx="107">
                  <c:v>1201.9411917814627</c:v>
                </c:pt>
                <c:pt idx="108">
                  <c:v>1200.9440922074903</c:v>
                </c:pt>
                <c:pt idx="109">
                  <c:v>1199.5966662699286</c:v>
                </c:pt>
                <c:pt idx="110">
                  <c:v>1198.5062306382947</c:v>
                </c:pt>
                <c:pt idx="111">
                  <c:v>1197.3774207401302</c:v>
                </c:pt>
                <c:pt idx="112">
                  <c:v>1196.6847184608939</c:v>
                </c:pt>
                <c:pt idx="113">
                  <c:v>1196.3213602225301</c:v>
                </c:pt>
                <c:pt idx="114">
                  <c:v>1195.9037465911379</c:v>
                </c:pt>
                <c:pt idx="115">
                  <c:v>1195.8007873994288</c:v>
                </c:pt>
                <c:pt idx="116">
                  <c:v>1195.5320171101396</c:v>
                </c:pt>
                <c:pt idx="117">
                  <c:v>1194.9148081533026</c:v>
                </c:pt>
                <c:pt idx="118">
                  <c:v>1194.45107059726</c:v>
                </c:pt>
                <c:pt idx="119">
                  <c:v>1193.8158821309112</c:v>
                </c:pt>
                <c:pt idx="120">
                  <c:v>1193.030374422864</c:v>
                </c:pt>
                <c:pt idx="121">
                  <c:v>1191.9343326182743</c:v>
                </c:pt>
                <c:pt idx="122">
                  <c:v>1191.0934343365338</c:v>
                </c:pt>
                <c:pt idx="123">
                  <c:v>1190.3253492553829</c:v>
                </c:pt>
                <c:pt idx="124">
                  <c:v>1189.831141735664</c:v>
                </c:pt>
                <c:pt idx="125">
                  <c:v>1188.9673026949192</c:v>
                </c:pt>
                <c:pt idx="126">
                  <c:v>1188.2102484253357</c:v>
                </c:pt>
                <c:pt idx="127">
                  <c:v>1187.0645328284108</c:v>
                </c:pt>
                <c:pt idx="128">
                  <c:v>1186.392675294054</c:v>
                </c:pt>
                <c:pt idx="129">
                  <c:v>1185.578996454168</c:v>
                </c:pt>
                <c:pt idx="130">
                  <c:v>1185.0626716364593</c:v>
                </c:pt>
                <c:pt idx="131">
                  <c:v>1184.3774647990028</c:v>
                </c:pt>
                <c:pt idx="132">
                  <c:v>1183.6006594906883</c:v>
                </c:pt>
                <c:pt idx="133">
                  <c:v>1182.6638960377909</c:v>
                </c:pt>
                <c:pt idx="134">
                  <c:v>1182.0835926965872</c:v>
                </c:pt>
                <c:pt idx="135">
                  <c:v>1181.1066052699657</c:v>
                </c:pt>
                <c:pt idx="136">
                  <c:v>1180.4525952872723</c:v>
                </c:pt>
                <c:pt idx="137">
                  <c:v>1179.9801325515514</c:v>
                </c:pt>
                <c:pt idx="138">
                  <c:v>1179.7168520987627</c:v>
                </c:pt>
                <c:pt idx="139">
                  <c:v>1179.1601630855801</c:v>
                </c:pt>
                <c:pt idx="140">
                  <c:v>1178.2132360475036</c:v>
                </c:pt>
                <c:pt idx="141">
                  <c:v>1177.0951075330818</c:v>
                </c:pt>
                <c:pt idx="142">
                  <c:v>1176.2783261628988</c:v>
                </c:pt>
                <c:pt idx="143">
                  <c:v>1175.8553659533322</c:v>
                </c:pt>
                <c:pt idx="144">
                  <c:v>1175.9098683348143</c:v>
                </c:pt>
                <c:pt idx="145">
                  <c:v>1176.0797939319293</c:v>
                </c:pt>
                <c:pt idx="146">
                  <c:v>1176.1756787378574</c:v>
                </c:pt>
                <c:pt idx="147">
                  <c:v>1176.0491656231063</c:v>
                </c:pt>
                <c:pt idx="148">
                  <c:v>1175.930924018058</c:v>
                </c:pt>
                <c:pt idx="149">
                  <c:v>1175.5744919659976</c:v>
                </c:pt>
                <c:pt idx="150">
                  <c:v>1175.0699151958988</c:v>
                </c:pt>
                <c:pt idx="151">
                  <c:v>1174.3361092071691</c:v>
                </c:pt>
                <c:pt idx="152">
                  <c:v>1174.0037675080987</c:v>
                </c:pt>
                <c:pt idx="153">
                  <c:v>1174.0510221734253</c:v>
                </c:pt>
                <c:pt idx="154">
                  <c:v>1173.740904463428</c:v>
                </c:pt>
                <c:pt idx="155">
                  <c:v>1173.2941492652533</c:v>
                </c:pt>
                <c:pt idx="156">
                  <c:v>1172.4678411642903</c:v>
                </c:pt>
                <c:pt idx="157">
                  <c:v>1171.4101983388903</c:v>
                </c:pt>
                <c:pt idx="158">
                  <c:v>1169.8906925165084</c:v>
                </c:pt>
                <c:pt idx="159">
                  <c:v>1168.3662241786451</c:v>
                </c:pt>
                <c:pt idx="160">
                  <c:v>1166.6513443370225</c:v>
                </c:pt>
                <c:pt idx="161">
                  <c:v>1165.254223322082</c:v>
                </c:pt>
                <c:pt idx="162">
                  <c:v>1163.7296287617594</c:v>
                </c:pt>
                <c:pt idx="163">
                  <c:v>1162.6006762737106</c:v>
                </c:pt>
                <c:pt idx="164">
                  <c:v>1161.5799061966547</c:v>
                </c:pt>
                <c:pt idx="165">
                  <c:v>1160.4135404569645</c:v>
                </c:pt>
                <c:pt idx="166">
                  <c:v>1159.213487167189</c:v>
                </c:pt>
                <c:pt idx="167">
                  <c:v>1157.814992426838</c:v>
                </c:pt>
                <c:pt idx="168">
                  <c:v>1156.0900350628729</c:v>
                </c:pt>
                <c:pt idx="169">
                  <c:v>1154.2895486587092</c:v>
                </c:pt>
                <c:pt idx="170">
                  <c:v>1152.6769031662261</c:v>
                </c:pt>
                <c:pt idx="171">
                  <c:v>1151.0001029298799</c:v>
                </c:pt>
                <c:pt idx="172">
                  <c:v>1149.4993015837006</c:v>
                </c:pt>
                <c:pt idx="173">
                  <c:v>1147.5571430413788</c:v>
                </c:pt>
                <c:pt idx="174">
                  <c:v>1145.5703730296507</c:v>
                </c:pt>
                <c:pt idx="175">
                  <c:v>1143.3499674508917</c:v>
                </c:pt>
                <c:pt idx="176">
                  <c:v>1140.8346716987676</c:v>
                </c:pt>
                <c:pt idx="177">
                  <c:v>1138.7338690350289</c:v>
                </c:pt>
                <c:pt idx="178">
                  <c:v>1137.0213326290257</c:v>
                </c:pt>
                <c:pt idx="179">
                  <c:v>1135.034043742789</c:v>
                </c:pt>
                <c:pt idx="180">
                  <c:v>1133.1732500510122</c:v>
                </c:pt>
                <c:pt idx="181">
                  <c:v>1131.0358693954283</c:v>
                </c:pt>
                <c:pt idx="182">
                  <c:v>1129.1694993089316</c:v>
                </c:pt>
                <c:pt idx="183">
                  <c:v>1127.6388370781278</c:v>
                </c:pt>
                <c:pt idx="184">
                  <c:v>1126.5206324161654</c:v>
                </c:pt>
                <c:pt idx="185">
                  <c:v>1125.0878642240493</c:v>
                </c:pt>
                <c:pt idx="186">
                  <c:v>1123.7651280913155</c:v>
                </c:pt>
                <c:pt idx="187">
                  <c:v>1122.7716815558474</c:v>
                </c:pt>
                <c:pt idx="188">
                  <c:v>1121.3599685134391</c:v>
                </c:pt>
                <c:pt idx="189">
                  <c:v>1120.143724085618</c:v>
                </c:pt>
                <c:pt idx="190">
                  <c:v>1118.6199906665213</c:v>
                </c:pt>
                <c:pt idx="191">
                  <c:v>1116.921238244277</c:v>
                </c:pt>
                <c:pt idx="192">
                  <c:v>1114.9654099452864</c:v>
                </c:pt>
                <c:pt idx="193">
                  <c:v>1112.966059267826</c:v>
                </c:pt>
                <c:pt idx="194">
                  <c:v>1110.6722502772107</c:v>
                </c:pt>
                <c:pt idx="195">
                  <c:v>1108.3042190728393</c:v>
                </c:pt>
                <c:pt idx="196">
                  <c:v>1105.5076359249895</c:v>
                </c:pt>
                <c:pt idx="197">
                  <c:v>1102.44492603667</c:v>
                </c:pt>
                <c:pt idx="198">
                  <c:v>1099.8034379678447</c:v>
                </c:pt>
                <c:pt idx="199">
                  <c:v>1097.0539719678723</c:v>
                </c:pt>
                <c:pt idx="200">
                  <c:v>1094.1300416276729</c:v>
                </c:pt>
                <c:pt idx="201">
                  <c:v>1091.2725141233589</c:v>
                </c:pt>
                <c:pt idx="202">
                  <c:v>1088.1913988485164</c:v>
                </c:pt>
                <c:pt idx="203">
                  <c:v>1085.3722594335379</c:v>
                </c:pt>
                <c:pt idx="204">
                  <c:v>1082.6832215502059</c:v>
                </c:pt>
                <c:pt idx="205">
                  <c:v>1079.8848574337449</c:v>
                </c:pt>
                <c:pt idx="206">
                  <c:v>1077.2726983169114</c:v>
                </c:pt>
                <c:pt idx="207">
                  <c:v>1074.7846768376107</c:v>
                </c:pt>
                <c:pt idx="208">
                  <c:v>1072.0580589882684</c:v>
                </c:pt>
                <c:pt idx="209">
                  <c:v>1069.1418101128315</c:v>
                </c:pt>
                <c:pt idx="210">
                  <c:v>1066.0820408269008</c:v>
                </c:pt>
                <c:pt idx="211">
                  <c:v>1063.2641920441954</c:v>
                </c:pt>
                <c:pt idx="212">
                  <c:v>1060.5302372722274</c:v>
                </c:pt>
                <c:pt idx="213">
                  <c:v>1057.6520355971813</c:v>
                </c:pt>
                <c:pt idx="214">
                  <c:v>1054.6147806702995</c:v>
                </c:pt>
                <c:pt idx="215">
                  <c:v>1051.2566430812847</c:v>
                </c:pt>
                <c:pt idx="216">
                  <c:v>1048.0591356440916</c:v>
                </c:pt>
                <c:pt idx="217">
                  <c:v>1045.2023085700118</c:v>
                </c:pt>
                <c:pt idx="218">
                  <c:v>1042.197313957302</c:v>
                </c:pt>
                <c:pt idx="219">
                  <c:v>1039.1729707309623</c:v>
                </c:pt>
                <c:pt idx="220">
                  <c:v>1036.2625115823903</c:v>
                </c:pt>
                <c:pt idx="221">
                  <c:v>1033.14002865782</c:v>
                </c:pt>
                <c:pt idx="222">
                  <c:v>1030.2470659369926</c:v>
                </c:pt>
                <c:pt idx="223">
                  <c:v>1027.1567213066382</c:v>
                </c:pt>
                <c:pt idx="224">
                  <c:v>1024.440788432225</c:v>
                </c:pt>
                <c:pt idx="225">
                  <c:v>1021.4602066700592</c:v>
                </c:pt>
                <c:pt idx="226">
                  <c:v>1018.2469153659019</c:v>
                </c:pt>
                <c:pt idx="227">
                  <c:v>1015.2328037704345</c:v>
                </c:pt>
                <c:pt idx="228">
                  <c:v>1012.1263030234594</c:v>
                </c:pt>
                <c:pt idx="229">
                  <c:v>1008.7709197838383</c:v>
                </c:pt>
                <c:pt idx="230">
                  <c:v>1005.5342514480038</c:v>
                </c:pt>
                <c:pt idx="231">
                  <c:v>1002.4101841598375</c:v>
                </c:pt>
                <c:pt idx="232">
                  <c:v>999.25167513933491</c:v>
                </c:pt>
                <c:pt idx="233">
                  <c:v>996.4409791630826</c:v>
                </c:pt>
                <c:pt idx="234">
                  <c:v>994.00169713425009</c:v>
                </c:pt>
                <c:pt idx="235">
                  <c:v>991.72075591980342</c:v>
                </c:pt>
                <c:pt idx="236">
                  <c:v>989.10688204659414</c:v>
                </c:pt>
                <c:pt idx="237">
                  <c:v>986.24725306788343</c:v>
                </c:pt>
                <c:pt idx="238">
                  <c:v>983.37984232665178</c:v>
                </c:pt>
                <c:pt idx="239">
                  <c:v>980.71748112828948</c:v>
                </c:pt>
                <c:pt idx="240">
                  <c:v>978.18568567093666</c:v>
                </c:pt>
                <c:pt idx="241">
                  <c:v>975.63384002256828</c:v>
                </c:pt>
                <c:pt idx="242">
                  <c:v>973.44445774940925</c:v>
                </c:pt>
                <c:pt idx="243">
                  <c:v>970.97737952788191</c:v>
                </c:pt>
                <c:pt idx="244">
                  <c:v>968.258658671175</c:v>
                </c:pt>
                <c:pt idx="245">
                  <c:v>965.23857802574378</c:v>
                </c:pt>
                <c:pt idx="246">
                  <c:v>962.23966148108229</c:v>
                </c:pt>
                <c:pt idx="247">
                  <c:v>959.2495479023911</c:v>
                </c:pt>
                <c:pt idx="248">
                  <c:v>955.87496668661595</c:v>
                </c:pt>
                <c:pt idx="249">
                  <c:v>952.21905091417261</c:v>
                </c:pt>
                <c:pt idx="250">
                  <c:v>948.36641377191143</c:v>
                </c:pt>
                <c:pt idx="251">
                  <c:v>944.24110084294648</c:v>
                </c:pt>
                <c:pt idx="252">
                  <c:v>940.49689658878458</c:v>
                </c:pt>
                <c:pt idx="253">
                  <c:v>936.4755814419849</c:v>
                </c:pt>
                <c:pt idx="254">
                  <c:v>932.74502645924053</c:v>
                </c:pt>
                <c:pt idx="255">
                  <c:v>928.68978452607564</c:v>
                </c:pt>
                <c:pt idx="256">
                  <c:v>924.99485255306774</c:v>
                </c:pt>
                <c:pt idx="257">
                  <c:v>921.09075885524499</c:v>
                </c:pt>
                <c:pt idx="258">
                  <c:v>917.39834746276335</c:v>
                </c:pt>
                <c:pt idx="259">
                  <c:v>913.37114114331428</c:v>
                </c:pt>
                <c:pt idx="260">
                  <c:v>909.24508975932645</c:v>
                </c:pt>
                <c:pt idx="261">
                  <c:v>905.14170095369684</c:v>
                </c:pt>
                <c:pt idx="262">
                  <c:v>900.82146619415403</c:v>
                </c:pt>
                <c:pt idx="263">
                  <c:v>896.72319527852324</c:v>
                </c:pt>
                <c:pt idx="264">
                  <c:v>892.91019229796132</c:v>
                </c:pt>
                <c:pt idx="265">
                  <c:v>889.42452859602008</c:v>
                </c:pt>
                <c:pt idx="266">
                  <c:v>885.8103477343559</c:v>
                </c:pt>
                <c:pt idx="267">
                  <c:v>882.30574488247009</c:v>
                </c:pt>
                <c:pt idx="268">
                  <c:v>878.46858273634257</c:v>
                </c:pt>
                <c:pt idx="269">
                  <c:v>874.68629734879732</c:v>
                </c:pt>
                <c:pt idx="270">
                  <c:v>870.77517031000923</c:v>
                </c:pt>
                <c:pt idx="271">
                  <c:v>866.90787559918613</c:v>
                </c:pt>
                <c:pt idx="272">
                  <c:v>863.19562647420094</c:v>
                </c:pt>
                <c:pt idx="273">
                  <c:v>859.13921481226942</c:v>
                </c:pt>
                <c:pt idx="274">
                  <c:v>855.18586134724899</c:v>
                </c:pt>
                <c:pt idx="275">
                  <c:v>851.21941573603897</c:v>
                </c:pt>
                <c:pt idx="276">
                  <c:v>847.34299024537438</c:v>
                </c:pt>
                <c:pt idx="277">
                  <c:v>843.33243010612762</c:v>
                </c:pt>
                <c:pt idx="278">
                  <c:v>839.48507030121505</c:v>
                </c:pt>
                <c:pt idx="279">
                  <c:v>835.59492133643789</c:v>
                </c:pt>
                <c:pt idx="280">
                  <c:v>831.80433277361112</c:v>
                </c:pt>
                <c:pt idx="281">
                  <c:v>828.05907827988551</c:v>
                </c:pt>
                <c:pt idx="282">
                  <c:v>824.13207840750158</c:v>
                </c:pt>
                <c:pt idx="283">
                  <c:v>820.44711606102157</c:v>
                </c:pt>
                <c:pt idx="284">
                  <c:v>816.97744352979566</c:v>
                </c:pt>
                <c:pt idx="285">
                  <c:v>813.40160972566014</c:v>
                </c:pt>
                <c:pt idx="286">
                  <c:v>810.1286161982166</c:v>
                </c:pt>
                <c:pt idx="287">
                  <c:v>806.95742129675205</c:v>
                </c:pt>
                <c:pt idx="288">
                  <c:v>803.86368238783768</c:v>
                </c:pt>
                <c:pt idx="289">
                  <c:v>800.92648407190723</c:v>
                </c:pt>
                <c:pt idx="290">
                  <c:v>797.84141096766848</c:v>
                </c:pt>
                <c:pt idx="291">
                  <c:v>795.03418651947391</c:v>
                </c:pt>
                <c:pt idx="292">
                  <c:v>792.00063058867818</c:v>
                </c:pt>
                <c:pt idx="293">
                  <c:v>789.2308459603089</c:v>
                </c:pt>
                <c:pt idx="294">
                  <c:v>786.80479150206156</c:v>
                </c:pt>
                <c:pt idx="295">
                  <c:v>784.09104407835571</c:v>
                </c:pt>
                <c:pt idx="296">
                  <c:v>781.11873451275699</c:v>
                </c:pt>
                <c:pt idx="297">
                  <c:v>777.91943565987685</c:v>
                </c:pt>
                <c:pt idx="298">
                  <c:v>774.96960052286124</c:v>
                </c:pt>
                <c:pt idx="299">
                  <c:v>771.71053896930255</c:v>
                </c:pt>
                <c:pt idx="300">
                  <c:v>768.59432162216137</c:v>
                </c:pt>
                <c:pt idx="301">
                  <c:v>765.73719068811999</c:v>
                </c:pt>
                <c:pt idx="302">
                  <c:v>762.7244115499351</c:v>
                </c:pt>
                <c:pt idx="303">
                  <c:v>759.43674604062699</c:v>
                </c:pt>
                <c:pt idx="304">
                  <c:v>756.06039119684146</c:v>
                </c:pt>
                <c:pt idx="305">
                  <c:v>752.70407650364552</c:v>
                </c:pt>
                <c:pt idx="306">
                  <c:v>749.40502886109653</c:v>
                </c:pt>
                <c:pt idx="307">
                  <c:v>745.88874559595877</c:v>
                </c:pt>
                <c:pt idx="308">
                  <c:v>742.43541275028031</c:v>
                </c:pt>
                <c:pt idx="309">
                  <c:v>739.24011631886276</c:v>
                </c:pt>
                <c:pt idx="310">
                  <c:v>735.86169718952476</c:v>
                </c:pt>
                <c:pt idx="311">
                  <c:v>732.19298543274704</c:v>
                </c:pt>
                <c:pt idx="312">
                  <c:v>728.76869662259378</c:v>
                </c:pt>
                <c:pt idx="313">
                  <c:v>725.63503955267697</c:v>
                </c:pt>
                <c:pt idx="314">
                  <c:v>722.45322879942398</c:v>
                </c:pt>
                <c:pt idx="315">
                  <c:v>719.2124401114155</c:v>
                </c:pt>
                <c:pt idx="316">
                  <c:v>715.95274923643785</c:v>
                </c:pt>
                <c:pt idx="317">
                  <c:v>712.40819019117021</c:v>
                </c:pt>
                <c:pt idx="318">
                  <c:v>708.86517682537772</c:v>
                </c:pt>
                <c:pt idx="319">
                  <c:v>705.05547030510058</c:v>
                </c:pt>
                <c:pt idx="320">
                  <c:v>701.51196469422007</c:v>
                </c:pt>
                <c:pt idx="321">
                  <c:v>698.2652068778591</c:v>
                </c:pt>
                <c:pt idx="322">
                  <c:v>695.2061767783789</c:v>
                </c:pt>
                <c:pt idx="323">
                  <c:v>691.88285728800702</c:v>
                </c:pt>
                <c:pt idx="324">
                  <c:v>688.37675233252241</c:v>
                </c:pt>
                <c:pt idx="325">
                  <c:v>684.65295193046541</c:v>
                </c:pt>
                <c:pt idx="326">
                  <c:v>681.24523241071051</c:v>
                </c:pt>
                <c:pt idx="327">
                  <c:v>677.63981945177898</c:v>
                </c:pt>
                <c:pt idx="328">
                  <c:v>673.77922690415778</c:v>
                </c:pt>
                <c:pt idx="329">
                  <c:v>669.67624037905239</c:v>
                </c:pt>
                <c:pt idx="330">
                  <c:v>665.41541643211849</c:v>
                </c:pt>
                <c:pt idx="331">
                  <c:v>660.98569196654262</c:v>
                </c:pt>
                <c:pt idx="332">
                  <c:v>656.54173205068491</c:v>
                </c:pt>
                <c:pt idx="333">
                  <c:v>652.06036507763952</c:v>
                </c:pt>
                <c:pt idx="334">
                  <c:v>647.40756135836773</c:v>
                </c:pt>
                <c:pt idx="335">
                  <c:v>643.05792874001781</c:v>
                </c:pt>
                <c:pt idx="336">
                  <c:v>638.56972491457736</c:v>
                </c:pt>
                <c:pt idx="337">
                  <c:v>634.39074104420615</c:v>
                </c:pt>
                <c:pt idx="338">
                  <c:v>630.24076919048935</c:v>
                </c:pt>
                <c:pt idx="339">
                  <c:v>625.93801287559245</c:v>
                </c:pt>
                <c:pt idx="340">
                  <c:v>621.5365524955223</c:v>
                </c:pt>
                <c:pt idx="341">
                  <c:v>617.28853070693253</c:v>
                </c:pt>
                <c:pt idx="342">
                  <c:v>612.8686427510811</c:v>
                </c:pt>
                <c:pt idx="343">
                  <c:v>608.52231293383272</c:v>
                </c:pt>
                <c:pt idx="344">
                  <c:v>604.40572317093688</c:v>
                </c:pt>
                <c:pt idx="345">
                  <c:v>600.21314599989023</c:v>
                </c:pt>
                <c:pt idx="346">
                  <c:v>596.2431110078993</c:v>
                </c:pt>
                <c:pt idx="347">
                  <c:v>592.21483357945124</c:v>
                </c:pt>
                <c:pt idx="348">
                  <c:v>588.31816245993366</c:v>
                </c:pt>
                <c:pt idx="349">
                  <c:v>584.27365472126928</c:v>
                </c:pt>
                <c:pt idx="350">
                  <c:v>580.11078070774624</c:v>
                </c:pt>
                <c:pt idx="351">
                  <c:v>576.04725380196965</c:v>
                </c:pt>
                <c:pt idx="352">
                  <c:v>572.1497041588143</c:v>
                </c:pt>
                <c:pt idx="353">
                  <c:v>568.47527520201322</c:v>
                </c:pt>
                <c:pt idx="354">
                  <c:v>564.60912078211118</c:v>
                </c:pt>
                <c:pt idx="355">
                  <c:v>560.95188728873552</c:v>
                </c:pt>
                <c:pt idx="356">
                  <c:v>557.33864375237533</c:v>
                </c:pt>
                <c:pt idx="357">
                  <c:v>553.93971495212463</c:v>
                </c:pt>
                <c:pt idx="358">
                  <c:v>550.47330783681787</c:v>
                </c:pt>
                <c:pt idx="359">
                  <c:v>547.10672937554546</c:v>
                </c:pt>
                <c:pt idx="360">
                  <c:v>543.56585857419248</c:v>
                </c:pt>
                <c:pt idx="361">
                  <c:v>540.27940050756388</c:v>
                </c:pt>
                <c:pt idx="362">
                  <c:v>537.10028173097828</c:v>
                </c:pt>
                <c:pt idx="363">
                  <c:v>533.80073966252667</c:v>
                </c:pt>
                <c:pt idx="364">
                  <c:v>530.72231050997379</c:v>
                </c:pt>
                <c:pt idx="365">
                  <c:v>527.59464835278629</c:v>
                </c:pt>
                <c:pt idx="366">
                  <c:v>524.28050519195597</c:v>
                </c:pt>
                <c:pt idx="367">
                  <c:v>520.78132791808775</c:v>
                </c:pt>
                <c:pt idx="368">
                  <c:v>517.10805954728471</c:v>
                </c:pt>
                <c:pt idx="369">
                  <c:v>513.28548238170322</c:v>
                </c:pt>
                <c:pt idx="370">
                  <c:v>509.40361466389396</c:v>
                </c:pt>
                <c:pt idx="371">
                  <c:v>505.37786287685185</c:v>
                </c:pt>
                <c:pt idx="372">
                  <c:v>501.18954920134888</c:v>
                </c:pt>
                <c:pt idx="373">
                  <c:v>497.08481965825064</c:v>
                </c:pt>
                <c:pt idx="374">
                  <c:v>492.97295992201231</c:v>
                </c:pt>
                <c:pt idx="375">
                  <c:v>488.93070504513798</c:v>
                </c:pt>
                <c:pt idx="376">
                  <c:v>484.86988989571842</c:v>
                </c:pt>
                <c:pt idx="377">
                  <c:v>480.79482965832239</c:v>
                </c:pt>
                <c:pt idx="378">
                  <c:v>476.74670574485356</c:v>
                </c:pt>
                <c:pt idx="379">
                  <c:v>472.93512245642745</c:v>
                </c:pt>
                <c:pt idx="380">
                  <c:v>469.35194586429543</c:v>
                </c:pt>
                <c:pt idx="381">
                  <c:v>465.71344867154119</c:v>
                </c:pt>
                <c:pt idx="382">
                  <c:v>462.13933874752144</c:v>
                </c:pt>
                <c:pt idx="383">
                  <c:v>458.77859474694515</c:v>
                </c:pt>
                <c:pt idx="384">
                  <c:v>455.46620026899558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D5-4D1D-820A-CA04D8018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293472"/>
        <c:axId val="539291176"/>
      </c:lineChart>
      <c:catAx>
        <c:axId val="53929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291176"/>
        <c:crosses val="autoZero"/>
        <c:auto val="1"/>
        <c:lblAlgn val="ctr"/>
        <c:lblOffset val="100"/>
        <c:noMultiLvlLbl val="0"/>
      </c:catAx>
      <c:valAx>
        <c:axId val="539291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29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Yield Curve</c:v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'idx data'!$E$1:$N$1</c:f>
              <c:numCache>
                <c:formatCode>General</c:formatCode>
                <c:ptCount val="10"/>
                <c:pt idx="0">
                  <c:v>0.25</c:v>
                </c:pt>
                <c:pt idx="1">
                  <c:v>0.5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20</c:v>
                </c:pt>
                <c:pt idx="9">
                  <c:v>30</c:v>
                </c:pt>
              </c:numCache>
            </c:numRef>
          </c:xVal>
          <c:yVal>
            <c:numRef>
              <c:f>'idx data'!$D$3:$N$3</c:f>
              <c:numCache>
                <c:formatCode>General</c:formatCode>
                <c:ptCount val="11"/>
                <c:pt idx="0">
                  <c:v>8.199999999999999E-3</c:v>
                </c:pt>
                <c:pt idx="1">
                  <c:v>9.7999999999999997E-3</c:v>
                </c:pt>
                <c:pt idx="2">
                  <c:v>1.0700000000000001E-2</c:v>
                </c:pt>
                <c:pt idx="3">
                  <c:v>1.1599999999999999E-2</c:v>
                </c:pt>
                <c:pt idx="4">
                  <c:v>1.2800000000000001E-2</c:v>
                </c:pt>
                <c:pt idx="5">
                  <c:v>1.4499999999999999E-2</c:v>
                </c:pt>
                <c:pt idx="6">
                  <c:v>1.7600000000000001E-2</c:v>
                </c:pt>
                <c:pt idx="7">
                  <c:v>2.0199999999999999E-2</c:v>
                </c:pt>
                <c:pt idx="8">
                  <c:v>2.2099999999999998E-2</c:v>
                </c:pt>
                <c:pt idx="9">
                  <c:v>2.6000000000000002E-2</c:v>
                </c:pt>
                <c:pt idx="10">
                  <c:v>2.87E-2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A9-44E1-A1BB-C2791E782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541936"/>
        <c:axId val="479538328"/>
      </c:scatterChart>
      <c:valAx>
        <c:axId val="47954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38328"/>
        <c:crosses val="autoZero"/>
        <c:crossBetween val="midCat"/>
      </c:valAx>
      <c:valAx>
        <c:axId val="47953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4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rgbClr val="FFC000"/>
      </a:solidFill>
      <a:prstDash val="dash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Yield Curve in</a:t>
            </a:r>
            <a:r>
              <a:rPr lang="en-US" baseline="0"/>
              <a:t> Proj Year 1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Yield Curve</c:v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'idx data'!$E$1:$N$1</c:f>
              <c:numCache>
                <c:formatCode>General</c:formatCode>
                <c:ptCount val="10"/>
                <c:pt idx="0">
                  <c:v>0.25</c:v>
                </c:pt>
                <c:pt idx="1">
                  <c:v>0.5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20</c:v>
                </c:pt>
                <c:pt idx="9">
                  <c:v>30</c:v>
                </c:pt>
              </c:numCache>
            </c:numRef>
          </c:xVal>
          <c:yVal>
            <c:numRef>
              <c:f>'idx data'!$D$63:$N$63</c:f>
              <c:numCache>
                <c:formatCode>General</c:formatCode>
                <c:ptCount val="11"/>
                <c:pt idx="0">
                  <c:v>8.0420000000000005E-3</c:v>
                </c:pt>
                <c:pt idx="1">
                  <c:v>1.0475999999999999E-2</c:v>
                </c:pt>
                <c:pt idx="2">
                  <c:v>1.0645999999999999E-2</c:v>
                </c:pt>
                <c:pt idx="3">
                  <c:v>1.0676E-2</c:v>
                </c:pt>
                <c:pt idx="4">
                  <c:v>1.3073E-2</c:v>
                </c:pt>
                <c:pt idx="5">
                  <c:v>1.4978999999999999E-2</c:v>
                </c:pt>
                <c:pt idx="6">
                  <c:v>1.7684999999999999E-2</c:v>
                </c:pt>
                <c:pt idx="7">
                  <c:v>2.0576000000000001E-2</c:v>
                </c:pt>
                <c:pt idx="8">
                  <c:v>2.206E-2</c:v>
                </c:pt>
                <c:pt idx="9">
                  <c:v>2.6332000000000001E-2</c:v>
                </c:pt>
                <c:pt idx="10">
                  <c:v>2.8160999999999999E-2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A9-44E1-A1BB-C2791E782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541936"/>
        <c:axId val="479538328"/>
      </c:scatterChart>
      <c:valAx>
        <c:axId val="47954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38328"/>
        <c:crosses val="autoZero"/>
        <c:crossBetween val="midCat"/>
      </c:valAx>
      <c:valAx>
        <c:axId val="47953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4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rgbClr val="FFC000"/>
      </a:solidFill>
      <a:prstDash val="dash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Yield</a:t>
            </a:r>
            <a:r>
              <a:rPr lang="en-US" baseline="0"/>
              <a:t> Curve in Proj Year 20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Yield Curve</c:v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'idx data'!$E$1:$N$1</c:f>
              <c:numCache>
                <c:formatCode>General</c:formatCode>
                <c:ptCount val="10"/>
                <c:pt idx="0">
                  <c:v>0.25</c:v>
                </c:pt>
                <c:pt idx="1">
                  <c:v>0.5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20</c:v>
                </c:pt>
                <c:pt idx="9">
                  <c:v>30</c:v>
                </c:pt>
              </c:numCache>
            </c:numRef>
          </c:xVal>
          <c:yVal>
            <c:numRef>
              <c:f>'idx data'!$D$243:$N$243</c:f>
              <c:numCache>
                <c:formatCode>General</c:formatCode>
                <c:ptCount val="11"/>
                <c:pt idx="0">
                  <c:v>7.2709999999999997E-3</c:v>
                </c:pt>
                <c:pt idx="1">
                  <c:v>1.1122999999999999E-2</c:v>
                </c:pt>
                <c:pt idx="2">
                  <c:v>1.0265E-2</c:v>
                </c:pt>
                <c:pt idx="3">
                  <c:v>1.01E-2</c:v>
                </c:pt>
                <c:pt idx="4">
                  <c:v>1.3398E-2</c:v>
                </c:pt>
                <c:pt idx="5">
                  <c:v>1.4862999999999999E-2</c:v>
                </c:pt>
                <c:pt idx="6">
                  <c:v>1.8398999999999999E-2</c:v>
                </c:pt>
                <c:pt idx="7">
                  <c:v>1.9640000000000001E-2</c:v>
                </c:pt>
                <c:pt idx="8">
                  <c:v>2.1448999999999999E-2</c:v>
                </c:pt>
                <c:pt idx="9">
                  <c:v>2.4804E-2</c:v>
                </c:pt>
                <c:pt idx="10">
                  <c:v>2.7644999999999999E-2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A9-44E1-A1BB-C2791E782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541936"/>
        <c:axId val="479538328"/>
      </c:scatterChart>
      <c:valAx>
        <c:axId val="47954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38328"/>
        <c:crosses val="autoZero"/>
        <c:crossBetween val="midCat"/>
      </c:valAx>
      <c:valAx>
        <c:axId val="47953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4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rgbClr val="FFC000"/>
      </a:solidFill>
      <a:prstDash val="dash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468085</xdr:colOff>
      <xdr:row>22</xdr:row>
      <xdr:rowOff>112938</xdr:rowOff>
    </xdr:from>
    <xdr:to>
      <xdr:col>13</xdr:col>
      <xdr:colOff>468919</xdr:colOff>
      <xdr:row>49</xdr:row>
      <xdr:rowOff>56288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76E77968-4FD3-439D-BFEF-14BCED4EDA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385522</xdr:colOff>
      <xdr:row>2</xdr:row>
      <xdr:rowOff>126066</xdr:rowOff>
    </xdr:from>
    <xdr:to>
      <xdr:col>47</xdr:col>
      <xdr:colOff>0</xdr:colOff>
      <xdr:row>24</xdr:row>
      <xdr:rowOff>77799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77AEAA-179B-4989-8C53-A3F4DFDD30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227198</xdr:colOff>
      <xdr:row>60</xdr:row>
      <xdr:rowOff>133350</xdr:rowOff>
    </xdr:from>
    <xdr:to>
      <xdr:col>41</xdr:col>
      <xdr:colOff>355214</xdr:colOff>
      <xdr:row>89</xdr:row>
      <xdr:rowOff>150114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FFBDD34-09B7-4DC7-A732-D8B5495F51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561975</xdr:colOff>
      <xdr:row>25</xdr:row>
      <xdr:rowOff>47625</xdr:rowOff>
    </xdr:from>
    <xdr:to>
      <xdr:col>35</xdr:col>
      <xdr:colOff>257175</xdr:colOff>
      <xdr:row>39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AA8B6F8-D182-4C72-AF37-84162F82C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585787</xdr:colOff>
      <xdr:row>25</xdr:row>
      <xdr:rowOff>47625</xdr:rowOff>
    </xdr:from>
    <xdr:to>
      <xdr:col>43</xdr:col>
      <xdr:colOff>280987</xdr:colOff>
      <xdr:row>39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08F6D12-CDA4-4185-BE89-44A121DB1E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0</xdr:colOff>
      <xdr:row>25</xdr:row>
      <xdr:rowOff>47625</xdr:rowOff>
    </xdr:from>
    <xdr:to>
      <xdr:col>51</xdr:col>
      <xdr:colOff>304800</xdr:colOff>
      <xdr:row>39</xdr:row>
      <xdr:rowOff>123825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5ABE59-259B-4210-AF46-F6078799BD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409575</xdr:colOff>
      <xdr:row>21</xdr:row>
      <xdr:rowOff>114300</xdr:rowOff>
    </xdr:from>
    <xdr:to>
      <xdr:col>36</xdr:col>
      <xdr:colOff>171452</xdr:colOff>
      <xdr:row>25</xdr:row>
      <xdr:rowOff>47625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7F69DDF-59DC-4CA5-B959-07C291150811}"/>
            </a:ext>
          </a:extLst>
        </xdr:cNvPr>
        <xdr:cNvCxnSpPr>
          <a:endCxn id="5" idx="0"/>
        </xdr:cNvCxnSpPr>
      </xdr:nvCxnSpPr>
      <xdr:spPr>
        <a:xfrm flipH="1">
          <a:off x="19307175" y="4114800"/>
          <a:ext cx="2809877" cy="695325"/>
        </a:xfrm>
        <a:prstGeom prst="line">
          <a:avLst/>
        </a:prstGeom>
        <a:ln w="19050">
          <a:solidFill>
            <a:srgbClr val="FFC000"/>
          </a:solidFill>
          <a:prstDash val="dash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466726</xdr:colOff>
      <xdr:row>21</xdr:row>
      <xdr:rowOff>104775</xdr:rowOff>
    </xdr:from>
    <xdr:to>
      <xdr:col>39</xdr:col>
      <xdr:colOff>433387</xdr:colOff>
      <xdr:row>25</xdr:row>
      <xdr:rowOff>47625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1A5F0C89-F876-4F8B-B3CE-8477C54E3925}"/>
            </a:ext>
          </a:extLst>
        </xdr:cNvPr>
        <xdr:cNvCxnSpPr>
          <a:endCxn id="6" idx="0"/>
        </xdr:cNvCxnSpPr>
      </xdr:nvCxnSpPr>
      <xdr:spPr>
        <a:xfrm>
          <a:off x="23021926" y="4105275"/>
          <a:ext cx="1185861" cy="704850"/>
        </a:xfrm>
        <a:prstGeom prst="line">
          <a:avLst/>
        </a:prstGeom>
        <a:ln w="19050">
          <a:solidFill>
            <a:srgbClr val="FFC000"/>
          </a:solidFill>
          <a:prstDash val="dash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171450</xdr:colOff>
      <xdr:row>21</xdr:row>
      <xdr:rowOff>123825</xdr:rowOff>
    </xdr:from>
    <xdr:to>
      <xdr:col>47</xdr:col>
      <xdr:colOff>457200</xdr:colOff>
      <xdr:row>25</xdr:row>
      <xdr:rowOff>47625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8DEB444D-0824-481E-BD87-9EA1BE6BEA92}"/>
            </a:ext>
          </a:extLst>
        </xdr:cNvPr>
        <xdr:cNvCxnSpPr>
          <a:endCxn id="7" idx="0"/>
        </xdr:cNvCxnSpPr>
      </xdr:nvCxnSpPr>
      <xdr:spPr>
        <a:xfrm>
          <a:off x="25774650" y="4124325"/>
          <a:ext cx="3333750" cy="685800"/>
        </a:xfrm>
        <a:prstGeom prst="line">
          <a:avLst/>
        </a:prstGeom>
        <a:ln w="19050">
          <a:solidFill>
            <a:srgbClr val="FFC000"/>
          </a:solidFill>
          <a:prstDash val="dash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X17"/>
  <sheetViews>
    <sheetView workbookViewId="0">
      <selection activeCell="C28" sqref="C28"/>
    </sheetView>
  </sheetViews>
  <sheetFormatPr defaultRowHeight="15" x14ac:dyDescent="0.25"/>
  <cols>
    <col min="3" max="3" width="26.5703125" customWidth="1"/>
  </cols>
  <sheetData>
    <row r="2" spans="2:24" ht="20.25" thickBot="1" x14ac:dyDescent="0.35">
      <c r="B2" s="1" t="s">
        <v>2</v>
      </c>
    </row>
    <row r="3" spans="2:24" ht="18.75" thickTop="1" thickBot="1" x14ac:dyDescent="0.35">
      <c r="B3" s="2" t="s">
        <v>0</v>
      </c>
      <c r="C3" s="2" t="s">
        <v>1</v>
      </c>
      <c r="D3" s="2">
        <v>2016</v>
      </c>
      <c r="E3" s="2">
        <v>2017</v>
      </c>
      <c r="F3" s="2">
        <v>2018</v>
      </c>
      <c r="G3" s="2">
        <v>2019</v>
      </c>
      <c r="H3" s="2">
        <v>2020</v>
      </c>
      <c r="I3" s="2">
        <v>2021</v>
      </c>
      <c r="J3" s="2">
        <v>2022</v>
      </c>
      <c r="K3" s="2">
        <v>2023</v>
      </c>
      <c r="L3" s="2">
        <v>2024</v>
      </c>
      <c r="M3" s="2">
        <v>2025</v>
      </c>
      <c r="N3" s="2">
        <v>2026</v>
      </c>
      <c r="O3" s="2">
        <v>2027</v>
      </c>
      <c r="P3" s="2">
        <v>2028</v>
      </c>
      <c r="Q3" s="2">
        <v>2029</v>
      </c>
      <c r="R3" s="2">
        <v>2030</v>
      </c>
      <c r="S3" s="2">
        <v>2031</v>
      </c>
      <c r="T3" s="2">
        <v>2032</v>
      </c>
      <c r="U3" s="2">
        <v>2033</v>
      </c>
      <c r="V3" s="2">
        <v>2034</v>
      </c>
      <c r="W3" s="2">
        <v>2035</v>
      </c>
      <c r="X3" s="2">
        <v>2036</v>
      </c>
    </row>
    <row r="4" spans="2:24" ht="15.75" thickTop="1" x14ac:dyDescent="0.25">
      <c r="B4" t="s">
        <v>3</v>
      </c>
      <c r="C4" t="s">
        <v>5</v>
      </c>
      <c r="D4">
        <f ca="1">50+10*RAND()</f>
        <v>50.043950963704255</v>
      </c>
      <c r="E4">
        <f ca="1">D4+2*RAND()-1+RAND()</f>
        <v>50.75870743349769</v>
      </c>
      <c r="F4">
        <f t="shared" ref="F4:X4" ca="1" si="0">E4+2*RAND()-1+RAND()</f>
        <v>50.811817597119379</v>
      </c>
      <c r="G4">
        <f t="shared" ca="1" si="0"/>
        <v>50.571516144574886</v>
      </c>
      <c r="H4">
        <f t="shared" ca="1" si="0"/>
        <v>51.443342058348392</v>
      </c>
      <c r="I4">
        <f t="shared" ca="1" si="0"/>
        <v>50.959709143426508</v>
      </c>
      <c r="J4">
        <f t="shared" ca="1" si="0"/>
        <v>51.139738765697402</v>
      </c>
      <c r="K4">
        <f t="shared" ca="1" si="0"/>
        <v>52.772828302736876</v>
      </c>
      <c r="L4">
        <f t="shared" ca="1" si="0"/>
        <v>53.968308707527584</v>
      </c>
      <c r="M4">
        <f t="shared" ca="1" si="0"/>
        <v>54.546649811649388</v>
      </c>
      <c r="N4">
        <f t="shared" ca="1" si="0"/>
        <v>56.149712945761323</v>
      </c>
      <c r="O4">
        <f t="shared" ca="1" si="0"/>
        <v>56.54620824873048</v>
      </c>
      <c r="P4">
        <f t="shared" ca="1" si="0"/>
        <v>57.111039067886935</v>
      </c>
      <c r="Q4">
        <f t="shared" ca="1" si="0"/>
        <v>58.755576141100505</v>
      </c>
      <c r="R4">
        <f t="shared" ca="1" si="0"/>
        <v>60.351586723297189</v>
      </c>
      <c r="S4">
        <f t="shared" ca="1" si="0"/>
        <v>61.38214116478111</v>
      </c>
      <c r="T4">
        <f t="shared" ca="1" si="0"/>
        <v>61.324480272390836</v>
      </c>
      <c r="U4">
        <f t="shared" ca="1" si="0"/>
        <v>61.217451245384915</v>
      </c>
      <c r="V4">
        <f t="shared" ca="1" si="0"/>
        <v>60.798472527859246</v>
      </c>
      <c r="W4">
        <f t="shared" ca="1" si="0"/>
        <v>62.148965138603501</v>
      </c>
      <c r="X4">
        <f t="shared" ca="1" si="0"/>
        <v>63.357060181180238</v>
      </c>
    </row>
    <row r="5" spans="2:24" x14ac:dyDescent="0.25">
      <c r="B5" t="s">
        <v>4</v>
      </c>
      <c r="C5" t="s">
        <v>6</v>
      </c>
      <c r="D5">
        <f ca="1">D4</f>
        <v>50.043950963704255</v>
      </c>
      <c r="E5">
        <f ca="1">D5+2*RAND()-1+RAND()+1</f>
        <v>52.607386514276598</v>
      </c>
      <c r="F5">
        <f t="shared" ref="F5:X5" ca="1" si="1">E5+2*RAND()-1+RAND()+1</f>
        <v>54.663287802730743</v>
      </c>
      <c r="G5">
        <f t="shared" ca="1" si="1"/>
        <v>56.27912725019484</v>
      </c>
      <c r="H5">
        <f t="shared" ca="1" si="1"/>
        <v>59.046923729719545</v>
      </c>
      <c r="I5">
        <f t="shared" ca="1" si="1"/>
        <v>59.886492878281153</v>
      </c>
      <c r="J5">
        <f t="shared" ca="1" si="1"/>
        <v>61.360825248554086</v>
      </c>
      <c r="K5">
        <f t="shared" ca="1" si="1"/>
        <v>63.20503240273397</v>
      </c>
      <c r="L5">
        <f t="shared" ca="1" si="1"/>
        <v>65.442116575487617</v>
      </c>
      <c r="M5">
        <f t="shared" ca="1" si="1"/>
        <v>66.200897901358488</v>
      </c>
      <c r="N5">
        <f t="shared" ca="1" si="1"/>
        <v>67.432613881827422</v>
      </c>
      <c r="O5">
        <f t="shared" ca="1" si="1"/>
        <v>69.040185225490191</v>
      </c>
      <c r="P5">
        <f t="shared" ca="1" si="1"/>
        <v>70.789351489365799</v>
      </c>
      <c r="Q5">
        <f t="shared" ca="1" si="1"/>
        <v>72.771560934702734</v>
      </c>
      <c r="R5">
        <f t="shared" ca="1" si="1"/>
        <v>74.009592705431984</v>
      </c>
      <c r="S5">
        <f t="shared" ca="1" si="1"/>
        <v>75.944932819344217</v>
      </c>
      <c r="T5">
        <f t="shared" ca="1" si="1"/>
        <v>77.616513464799567</v>
      </c>
      <c r="U5">
        <f t="shared" ca="1" si="1"/>
        <v>79.410433606126759</v>
      </c>
      <c r="V5">
        <f t="shared" ca="1" si="1"/>
        <v>79.819712760812706</v>
      </c>
      <c r="W5">
        <f t="shared" ca="1" si="1"/>
        <v>80.949793776498481</v>
      </c>
      <c r="X5">
        <f t="shared" ca="1" si="1"/>
        <v>82.827347835230853</v>
      </c>
    </row>
    <row r="8" spans="2:24" ht="20.25" thickBot="1" x14ac:dyDescent="0.35">
      <c r="B8" s="1" t="s">
        <v>7</v>
      </c>
    </row>
    <row r="9" spans="2:24" ht="18.75" thickTop="1" thickBot="1" x14ac:dyDescent="0.35">
      <c r="B9" s="2" t="s">
        <v>0</v>
      </c>
      <c r="C9" s="2" t="s">
        <v>1</v>
      </c>
      <c r="D9" s="2">
        <v>2016</v>
      </c>
      <c r="E9" s="2">
        <v>2017</v>
      </c>
      <c r="F9" s="2">
        <v>2018</v>
      </c>
      <c r="G9" s="2">
        <v>2019</v>
      </c>
      <c r="H9" s="2">
        <v>2020</v>
      </c>
      <c r="I9" s="2">
        <v>2021</v>
      </c>
      <c r="J9" s="2">
        <v>2022</v>
      </c>
      <c r="K9" s="2">
        <v>2023</v>
      </c>
      <c r="L9" s="2">
        <v>2024</v>
      </c>
      <c r="M9" s="2">
        <v>2025</v>
      </c>
      <c r="N9" s="2">
        <v>2026</v>
      </c>
      <c r="O9" s="2">
        <v>2027</v>
      </c>
      <c r="P9" s="2">
        <v>2028</v>
      </c>
      <c r="Q9" s="2">
        <v>2029</v>
      </c>
      <c r="R9" s="2">
        <v>2030</v>
      </c>
      <c r="S9" s="2">
        <v>2031</v>
      </c>
      <c r="T9" s="2">
        <v>2032</v>
      </c>
      <c r="U9" s="2">
        <v>2033</v>
      </c>
      <c r="V9" s="2">
        <v>2034</v>
      </c>
      <c r="W9" s="2">
        <v>2035</v>
      </c>
      <c r="X9" s="2">
        <v>2036</v>
      </c>
    </row>
    <row r="10" spans="2:24" ht="15.75" thickTop="1" x14ac:dyDescent="0.25">
      <c r="B10" t="s">
        <v>3</v>
      </c>
      <c r="C10" t="s">
        <v>5</v>
      </c>
      <c r="D10">
        <v>0</v>
      </c>
      <c r="E10">
        <f ca="1">E4-D4</f>
        <v>0.71475646979343566</v>
      </c>
      <c r="F10">
        <f t="shared" ref="F10:X10" ca="1" si="2">F4-E4</f>
        <v>5.3110163621688855E-2</v>
      </c>
      <c r="G10">
        <f t="shared" ca="1" si="2"/>
        <v>-0.24030145254449309</v>
      </c>
      <c r="H10">
        <f t="shared" ca="1" si="2"/>
        <v>0.87182591377350604</v>
      </c>
      <c r="I10">
        <f t="shared" ca="1" si="2"/>
        <v>-0.48363291492188409</v>
      </c>
      <c r="J10">
        <f t="shared" ca="1" si="2"/>
        <v>0.1800296222708937</v>
      </c>
      <c r="K10">
        <f t="shared" ca="1" si="2"/>
        <v>1.6330895370394742</v>
      </c>
      <c r="L10">
        <f t="shared" ca="1" si="2"/>
        <v>1.1954804047907075</v>
      </c>
      <c r="M10">
        <f t="shared" ca="1" si="2"/>
        <v>0.57834110412180451</v>
      </c>
      <c r="N10">
        <f t="shared" ca="1" si="2"/>
        <v>1.6030631341119346</v>
      </c>
      <c r="O10">
        <f t="shared" ca="1" si="2"/>
        <v>0.39649530296915714</v>
      </c>
      <c r="P10">
        <f t="shared" ca="1" si="2"/>
        <v>0.56483081915645528</v>
      </c>
      <c r="Q10">
        <f t="shared" ca="1" si="2"/>
        <v>1.64453707321357</v>
      </c>
      <c r="R10">
        <f t="shared" ca="1" si="2"/>
        <v>1.5960105821966835</v>
      </c>
      <c r="S10">
        <f t="shared" ca="1" si="2"/>
        <v>1.0305544414839218</v>
      </c>
      <c r="T10">
        <f t="shared" ca="1" si="2"/>
        <v>-5.7660892390273943E-2</v>
      </c>
      <c r="U10">
        <f t="shared" ca="1" si="2"/>
        <v>-0.10702902700592176</v>
      </c>
      <c r="V10">
        <f t="shared" ca="1" si="2"/>
        <v>-0.41897871752566829</v>
      </c>
      <c r="W10">
        <f t="shared" ca="1" si="2"/>
        <v>1.3504926107442543</v>
      </c>
      <c r="X10">
        <f t="shared" ca="1" si="2"/>
        <v>1.2080950425767369</v>
      </c>
    </row>
    <row r="11" spans="2:24" x14ac:dyDescent="0.25">
      <c r="B11" t="s">
        <v>4</v>
      </c>
      <c r="C11" t="s">
        <v>6</v>
      </c>
      <c r="D11">
        <f>D10</f>
        <v>0</v>
      </c>
      <c r="E11">
        <f t="shared" ref="E11:X11" ca="1" si="3">E5-D5</f>
        <v>2.5634355505723434</v>
      </c>
      <c r="F11">
        <f t="shared" ca="1" si="3"/>
        <v>2.0559012884541445</v>
      </c>
      <c r="G11">
        <f t="shared" ca="1" si="3"/>
        <v>1.6158394474640971</v>
      </c>
      <c r="H11">
        <f t="shared" ca="1" si="3"/>
        <v>2.767796479524705</v>
      </c>
      <c r="I11">
        <f t="shared" ca="1" si="3"/>
        <v>0.83956914856160836</v>
      </c>
      <c r="J11">
        <f t="shared" ca="1" si="3"/>
        <v>1.4743323702729327</v>
      </c>
      <c r="K11">
        <f t="shared" ca="1" si="3"/>
        <v>1.8442071541798839</v>
      </c>
      <c r="L11">
        <f t="shared" ca="1" si="3"/>
        <v>2.2370841727536472</v>
      </c>
      <c r="M11">
        <f t="shared" ca="1" si="3"/>
        <v>0.75878132587087066</v>
      </c>
      <c r="N11">
        <f t="shared" ca="1" si="3"/>
        <v>1.2317159804689339</v>
      </c>
      <c r="O11">
        <f t="shared" ca="1" si="3"/>
        <v>1.6075713436627694</v>
      </c>
      <c r="P11">
        <f t="shared" ca="1" si="3"/>
        <v>1.7491662638756083</v>
      </c>
      <c r="Q11">
        <f t="shared" ca="1" si="3"/>
        <v>1.9822094453369346</v>
      </c>
      <c r="R11">
        <f t="shared" ca="1" si="3"/>
        <v>1.2380317707292505</v>
      </c>
      <c r="S11">
        <f t="shared" ca="1" si="3"/>
        <v>1.9353401139122326</v>
      </c>
      <c r="T11">
        <f t="shared" ca="1" si="3"/>
        <v>1.6715806454553501</v>
      </c>
      <c r="U11">
        <f t="shared" ca="1" si="3"/>
        <v>1.7939201413271917</v>
      </c>
      <c r="V11">
        <f t="shared" ca="1" si="3"/>
        <v>0.40927915468594733</v>
      </c>
      <c r="W11">
        <f t="shared" ca="1" si="3"/>
        <v>1.130081015685775</v>
      </c>
      <c r="X11">
        <f t="shared" ca="1" si="3"/>
        <v>1.8775540587323718</v>
      </c>
    </row>
    <row r="14" spans="2:24" ht="20.25" thickBot="1" x14ac:dyDescent="0.35">
      <c r="B14" s="1" t="s">
        <v>8</v>
      </c>
    </row>
    <row r="15" spans="2:24" ht="18.75" thickTop="1" thickBot="1" x14ac:dyDescent="0.35">
      <c r="B15" s="2" t="s">
        <v>0</v>
      </c>
      <c r="C15" s="2" t="s">
        <v>1</v>
      </c>
      <c r="D15" s="2">
        <v>2016</v>
      </c>
      <c r="E15" s="2">
        <v>2017</v>
      </c>
      <c r="F15" s="2">
        <v>2018</v>
      </c>
      <c r="G15" s="2">
        <v>2019</v>
      </c>
      <c r="H15" s="2">
        <v>2020</v>
      </c>
      <c r="I15" s="2">
        <v>2021</v>
      </c>
      <c r="J15" s="2">
        <v>2022</v>
      </c>
      <c r="K15" s="2">
        <v>2023</v>
      </c>
      <c r="L15" s="2">
        <v>2024</v>
      </c>
      <c r="M15" s="2">
        <v>2025</v>
      </c>
      <c r="N15" s="2">
        <v>2026</v>
      </c>
      <c r="O15" s="2">
        <v>2027</v>
      </c>
      <c r="P15" s="2">
        <v>2028</v>
      </c>
      <c r="Q15" s="2">
        <v>2029</v>
      </c>
      <c r="R15" s="2">
        <v>2030</v>
      </c>
      <c r="S15" s="2">
        <v>2031</v>
      </c>
      <c r="T15" s="2">
        <v>2032</v>
      </c>
      <c r="U15" s="2">
        <v>2033</v>
      </c>
      <c r="V15" s="2">
        <v>2034</v>
      </c>
      <c r="W15" s="2">
        <v>2035</v>
      </c>
      <c r="X15" s="2">
        <v>2036</v>
      </c>
    </row>
    <row r="16" spans="2:24" ht="15.75" thickTop="1" x14ac:dyDescent="0.25">
      <c r="B16" t="s">
        <v>3</v>
      </c>
      <c r="C16" t="s">
        <v>5</v>
      </c>
      <c r="D16" s="3">
        <v>5.89</v>
      </c>
      <c r="E16" s="3">
        <f ca="1">D16+(-E10/2+E10*RAND())/10</f>
        <v>5.9123169876363226</v>
      </c>
      <c r="F16" s="3">
        <f t="shared" ref="F16:X16" ca="1" si="4">E16+(-F10/2+F10*RAND())/10</f>
        <v>5.9126750394143839</v>
      </c>
      <c r="G16" s="3">
        <f t="shared" ca="1" si="4"/>
        <v>5.9042676161774263</v>
      </c>
      <c r="H16" s="3">
        <f t="shared" ca="1" si="4"/>
        <v>5.9454095808912912</v>
      </c>
      <c r="I16" s="3">
        <f t="shared" ca="1" si="4"/>
        <v>5.9418480901104429</v>
      </c>
      <c r="J16" s="3">
        <f t="shared" ca="1" si="4"/>
        <v>5.940482854679848</v>
      </c>
      <c r="K16" s="3">
        <f t="shared" ca="1" si="4"/>
        <v>6.0164766024491794</v>
      </c>
      <c r="L16" s="3">
        <f t="shared" ca="1" si="4"/>
        <v>6.0445104957853486</v>
      </c>
      <c r="M16" s="3">
        <f t="shared" ca="1" si="4"/>
        <v>6.0165476266028826</v>
      </c>
      <c r="N16" s="3">
        <f t="shared" ca="1" si="4"/>
        <v>6.05119245010476</v>
      </c>
      <c r="O16" s="3">
        <f t="shared" ca="1" si="4"/>
        <v>6.055787054016764</v>
      </c>
      <c r="P16" s="3">
        <f t="shared" ca="1" si="4"/>
        <v>6.0730821184429331</v>
      </c>
      <c r="Q16" s="3">
        <f t="shared" ca="1" si="4"/>
        <v>6.106163158134696</v>
      </c>
      <c r="R16" s="3">
        <f t="shared" ca="1" si="4"/>
        <v>6.0399906227696381</v>
      </c>
      <c r="S16" s="3">
        <f t="shared" ca="1" si="4"/>
        <v>6.052516168954277</v>
      </c>
      <c r="T16" s="3">
        <f t="shared" ca="1" si="4"/>
        <v>6.0509857492300627</v>
      </c>
      <c r="U16" s="3">
        <f t="shared" ca="1" si="4"/>
        <v>6.050272543395887</v>
      </c>
      <c r="V16" s="3">
        <f t="shared" ca="1" si="4"/>
        <v>6.0364732107541093</v>
      </c>
      <c r="W16" s="3">
        <f t="shared" ca="1" si="4"/>
        <v>6.0816920508730998</v>
      </c>
      <c r="X16" s="3">
        <f t="shared" ca="1" si="4"/>
        <v>6.0522317482701684</v>
      </c>
    </row>
    <row r="17" spans="2:24" x14ac:dyDescent="0.25">
      <c r="B17" t="s">
        <v>4</v>
      </c>
      <c r="C17" t="s">
        <v>6</v>
      </c>
      <c r="D17" s="3">
        <f>D16</f>
        <v>5.89</v>
      </c>
      <c r="E17" s="3">
        <f t="shared" ref="E17:X17" ca="1" si="5">D17+(-E11/2+E11*RAND())/10</f>
        <v>5.9716731485781036</v>
      </c>
      <c r="F17" s="3">
        <f t="shared" ca="1" si="5"/>
        <v>6.0347085672025118</v>
      </c>
      <c r="G17" s="3">
        <f t="shared" ca="1" si="5"/>
        <v>5.9925936441678207</v>
      </c>
      <c r="H17" s="3">
        <f t="shared" ca="1" si="5"/>
        <v>6.0278143928384731</v>
      </c>
      <c r="I17" s="3">
        <f t="shared" ca="1" si="5"/>
        <v>6.0652537351885032</v>
      </c>
      <c r="J17" s="3">
        <f t="shared" ca="1" si="5"/>
        <v>6.0019529632862891</v>
      </c>
      <c r="K17" s="3">
        <f t="shared" ca="1" si="5"/>
        <v>6.0550256348688425</v>
      </c>
      <c r="L17" s="3">
        <f t="shared" ca="1" si="5"/>
        <v>5.9974331537018228</v>
      </c>
      <c r="M17" s="3">
        <f t="shared" ca="1" si="5"/>
        <v>6.0319714070680082</v>
      </c>
      <c r="N17" s="3">
        <f t="shared" ca="1" si="5"/>
        <v>5.9733366378497355</v>
      </c>
      <c r="O17" s="3">
        <f t="shared" ca="1" si="5"/>
        <v>5.9086702687956558</v>
      </c>
      <c r="P17" s="3">
        <f t="shared" ca="1" si="5"/>
        <v>5.8816983155744857</v>
      </c>
      <c r="Q17" s="3">
        <f t="shared" ca="1" si="5"/>
        <v>5.8456630363408619</v>
      </c>
      <c r="R17" s="3">
        <f t="shared" ca="1" si="5"/>
        <v>5.8868235771589044</v>
      </c>
      <c r="S17" s="3">
        <f t="shared" ca="1" si="5"/>
        <v>5.7996148279432083</v>
      </c>
      <c r="T17" s="3">
        <f t="shared" ca="1" si="5"/>
        <v>5.7875735389958241</v>
      </c>
      <c r="U17" s="3">
        <f t="shared" ca="1" si="5"/>
        <v>5.8317534221607437</v>
      </c>
      <c r="V17" s="3">
        <f t="shared" ca="1" si="5"/>
        <v>5.8155046951940186</v>
      </c>
      <c r="W17" s="3">
        <f t="shared" ca="1" si="5"/>
        <v>5.7904133668429267</v>
      </c>
      <c r="X17" s="3">
        <f t="shared" ca="1" si="5"/>
        <v>5.8732362999269725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X17"/>
  <sheetViews>
    <sheetView zoomScale="70" zoomScaleNormal="70" workbookViewId="0">
      <selection activeCell="E26" sqref="E26"/>
    </sheetView>
  </sheetViews>
  <sheetFormatPr defaultRowHeight="15" x14ac:dyDescent="0.25"/>
  <cols>
    <col min="3" max="3" width="26.5703125" customWidth="1"/>
  </cols>
  <sheetData>
    <row r="2" spans="2:24" ht="20.25" thickBot="1" x14ac:dyDescent="0.35">
      <c r="B2" s="1" t="s">
        <v>2</v>
      </c>
    </row>
    <row r="3" spans="2:24" ht="18.75" thickTop="1" thickBot="1" x14ac:dyDescent="0.35">
      <c r="B3" s="2" t="s">
        <v>0</v>
      </c>
      <c r="C3" s="2" t="s">
        <v>1</v>
      </c>
      <c r="D3" s="2">
        <v>2016</v>
      </c>
      <c r="E3" s="2">
        <v>2017</v>
      </c>
      <c r="F3" s="2">
        <v>2018</v>
      </c>
      <c r="G3" s="2">
        <v>2019</v>
      </c>
      <c r="H3" s="2">
        <v>2020</v>
      </c>
      <c r="I3" s="2">
        <v>2021</v>
      </c>
      <c r="J3" s="2">
        <v>2022</v>
      </c>
      <c r="K3" s="2">
        <v>2023</v>
      </c>
      <c r="L3" s="2">
        <v>2024</v>
      </c>
      <c r="M3" s="2">
        <v>2025</v>
      </c>
      <c r="N3" s="2">
        <v>2026</v>
      </c>
      <c r="O3" s="2">
        <v>2027</v>
      </c>
      <c r="P3" s="2">
        <v>2028</v>
      </c>
      <c r="Q3" s="2">
        <v>2029</v>
      </c>
      <c r="R3" s="2">
        <v>2030</v>
      </c>
      <c r="S3" s="2">
        <v>2031</v>
      </c>
      <c r="T3" s="2">
        <v>2032</v>
      </c>
      <c r="U3" s="2">
        <v>2033</v>
      </c>
      <c r="V3" s="2">
        <v>2034</v>
      </c>
      <c r="W3" s="2">
        <v>2035</v>
      </c>
      <c r="X3" s="2">
        <v>2036</v>
      </c>
    </row>
    <row r="4" spans="2:24" ht="15.75" thickTop="1" x14ac:dyDescent="0.25">
      <c r="B4" t="s">
        <v>3</v>
      </c>
      <c r="C4" t="s">
        <v>5</v>
      </c>
      <c r="D4">
        <v>52.851423517838661</v>
      </c>
      <c r="E4">
        <v>53.185161938696638</v>
      </c>
      <c r="F4">
        <v>54.979540139011625</v>
      </c>
      <c r="G4">
        <v>55.004629456105789</v>
      </c>
      <c r="H4">
        <v>54.743610547298516</v>
      </c>
      <c r="I4">
        <v>55.434933523555053</v>
      </c>
      <c r="J4">
        <v>55.965520084131235</v>
      </c>
      <c r="K4">
        <v>56.848501170260427</v>
      </c>
      <c r="L4">
        <v>57.846787354889095</v>
      </c>
      <c r="M4">
        <v>58.519958890451157</v>
      </c>
      <c r="N4">
        <v>59.658362945318906</v>
      </c>
      <c r="O4">
        <v>59.146696656466837</v>
      </c>
      <c r="P4">
        <v>59.722121929930559</v>
      </c>
      <c r="Q4">
        <v>59.565485131080983</v>
      </c>
      <c r="R4">
        <v>61.378126024942659</v>
      </c>
      <c r="S4">
        <v>60.70630690684483</v>
      </c>
      <c r="T4">
        <v>61.46209286521897</v>
      </c>
      <c r="U4">
        <v>61.872946934347596</v>
      </c>
      <c r="V4">
        <v>62.534150113431323</v>
      </c>
      <c r="W4">
        <v>63.994346512418915</v>
      </c>
      <c r="X4">
        <v>64.708724695140447</v>
      </c>
    </row>
    <row r="5" spans="2:24" x14ac:dyDescent="0.25">
      <c r="B5" t="s">
        <v>4</v>
      </c>
      <c r="C5" t="s">
        <v>6</v>
      </c>
      <c r="D5">
        <v>52.851423517838661</v>
      </c>
      <c r="E5">
        <v>54.075894669486452</v>
      </c>
      <c r="F5">
        <v>55.323808850999235</v>
      </c>
      <c r="G5">
        <v>56.51219722087091</v>
      </c>
      <c r="H5">
        <v>58.390224270945794</v>
      </c>
      <c r="I5">
        <v>61.171170841893833</v>
      </c>
      <c r="J5">
        <v>63.515568219217457</v>
      </c>
      <c r="K5">
        <v>65.657626572351134</v>
      </c>
      <c r="L5">
        <v>68.443445648582554</v>
      </c>
      <c r="M5">
        <v>69.797278727221411</v>
      </c>
      <c r="N5">
        <v>70.704161512929502</v>
      </c>
      <c r="O5">
        <v>72.530247131941323</v>
      </c>
      <c r="P5">
        <v>73.694862519257072</v>
      </c>
      <c r="Q5">
        <v>74.653521162554014</v>
      </c>
      <c r="R5">
        <v>76.178477721417821</v>
      </c>
      <c r="S5">
        <v>76.944729161103396</v>
      </c>
      <c r="T5">
        <v>77.224041863067299</v>
      </c>
      <c r="U5">
        <v>79.794469988930913</v>
      </c>
      <c r="V5">
        <v>82.593666387907462</v>
      </c>
      <c r="W5">
        <v>84.545498788492608</v>
      </c>
      <c r="X5">
        <v>84.764434061474986</v>
      </c>
    </row>
    <row r="8" spans="2:24" ht="20.25" thickBot="1" x14ac:dyDescent="0.35">
      <c r="B8" s="1" t="s">
        <v>9</v>
      </c>
    </row>
    <row r="9" spans="2:24" ht="18.75" thickTop="1" thickBot="1" x14ac:dyDescent="0.35">
      <c r="B9" s="2" t="s">
        <v>0</v>
      </c>
      <c r="C9" s="2" t="s">
        <v>1</v>
      </c>
      <c r="D9" s="2">
        <v>2016</v>
      </c>
      <c r="E9" s="2">
        <v>2017</v>
      </c>
      <c r="F9" s="2">
        <v>2018</v>
      </c>
      <c r="G9" s="2">
        <v>2019</v>
      </c>
      <c r="H9" s="2">
        <v>2020</v>
      </c>
      <c r="I9" s="2">
        <v>2021</v>
      </c>
      <c r="J9" s="2">
        <v>2022</v>
      </c>
      <c r="K9" s="2">
        <v>2023</v>
      </c>
      <c r="L9" s="2">
        <v>2024</v>
      </c>
      <c r="M9" s="2">
        <v>2025</v>
      </c>
      <c r="N9" s="2">
        <v>2026</v>
      </c>
      <c r="O9" s="2">
        <v>2027</v>
      </c>
      <c r="P9" s="2">
        <v>2028</v>
      </c>
      <c r="Q9" s="2">
        <v>2029</v>
      </c>
      <c r="R9" s="2">
        <v>2030</v>
      </c>
      <c r="S9" s="2">
        <v>2031</v>
      </c>
      <c r="T9" s="2">
        <v>2032</v>
      </c>
      <c r="U9" s="2">
        <v>2033</v>
      </c>
      <c r="V9" s="2">
        <v>2034</v>
      </c>
      <c r="W9" s="2">
        <v>2035</v>
      </c>
      <c r="X9" s="2">
        <v>2036</v>
      </c>
    </row>
    <row r="10" spans="2:24" ht="15.75" thickTop="1" x14ac:dyDescent="0.25">
      <c r="B10" t="s">
        <v>3</v>
      </c>
      <c r="C10" t="s">
        <v>5</v>
      </c>
      <c r="D10">
        <v>0</v>
      </c>
      <c r="E10">
        <v>0.33373842085797634</v>
      </c>
      <c r="F10">
        <v>1.7943782003149877</v>
      </c>
      <c r="G10">
        <v>2.5089317094163732E-2</v>
      </c>
      <c r="H10">
        <v>-0.26101890880727296</v>
      </c>
      <c r="I10">
        <v>0.69132297625653649</v>
      </c>
      <c r="J10">
        <v>0.53058656057618236</v>
      </c>
      <c r="K10">
        <v>0.88298108612919179</v>
      </c>
      <c r="L10">
        <v>0.99828618462866814</v>
      </c>
      <c r="M10">
        <v>0.67317153556206222</v>
      </c>
      <c r="N10">
        <v>1.138404054867749</v>
      </c>
      <c r="O10">
        <v>-0.51166628885206933</v>
      </c>
      <c r="P10">
        <v>0.57542527346372196</v>
      </c>
      <c r="Q10">
        <v>-0.1566367988495756</v>
      </c>
      <c r="R10">
        <v>1.8126408938616763</v>
      </c>
      <c r="S10">
        <v>-0.67181911809782946</v>
      </c>
      <c r="T10">
        <v>0.75578595837414042</v>
      </c>
      <c r="U10">
        <v>0.4108540691286251</v>
      </c>
      <c r="V10">
        <v>0.66120317908372783</v>
      </c>
      <c r="W10">
        <v>1.4601963989875912</v>
      </c>
      <c r="X10">
        <v>0.71437818272153208</v>
      </c>
    </row>
    <row r="11" spans="2:24" x14ac:dyDescent="0.25">
      <c r="B11" t="s">
        <v>4</v>
      </c>
      <c r="C11" t="s">
        <v>6</v>
      </c>
      <c r="D11">
        <v>0</v>
      </c>
      <c r="E11">
        <v>1.2244711516477906</v>
      </c>
      <c r="F11">
        <v>1.2479141815127832</v>
      </c>
      <c r="G11">
        <v>1.1883883698716744</v>
      </c>
      <c r="H11">
        <v>1.8780270500748841</v>
      </c>
      <c r="I11">
        <v>2.7809465709480392</v>
      </c>
      <c r="J11">
        <v>2.3443973773236237</v>
      </c>
      <c r="K11">
        <v>2.1420583531336774</v>
      </c>
      <c r="L11">
        <v>2.7858190762314194</v>
      </c>
      <c r="M11">
        <v>1.353833078638857</v>
      </c>
      <c r="N11">
        <v>0.90688278570809189</v>
      </c>
      <c r="O11">
        <v>1.8260856190118204</v>
      </c>
      <c r="P11">
        <v>1.1646153873157488</v>
      </c>
      <c r="Q11">
        <v>0.95865864329694261</v>
      </c>
      <c r="R11">
        <v>1.5249565588638063</v>
      </c>
      <c r="S11">
        <v>0.76625143968557552</v>
      </c>
      <c r="T11">
        <v>0.27931270196390301</v>
      </c>
      <c r="U11">
        <v>2.5704281258636144</v>
      </c>
      <c r="V11">
        <v>2.799196398976548</v>
      </c>
      <c r="W11">
        <v>1.9518324005851468</v>
      </c>
      <c r="X11">
        <v>0.21893527298237814</v>
      </c>
    </row>
    <row r="14" spans="2:24" ht="20.25" thickBot="1" x14ac:dyDescent="0.35">
      <c r="B14" s="1" t="s">
        <v>10</v>
      </c>
    </row>
    <row r="15" spans="2:24" ht="18.75" thickTop="1" thickBot="1" x14ac:dyDescent="0.35">
      <c r="B15" s="2" t="s">
        <v>0</v>
      </c>
      <c r="C15" s="2" t="s">
        <v>1</v>
      </c>
      <c r="D15" s="2">
        <v>2016</v>
      </c>
      <c r="E15" s="2">
        <v>2017</v>
      </c>
      <c r="F15" s="2">
        <v>2018</v>
      </c>
      <c r="G15" s="2">
        <v>2019</v>
      </c>
      <c r="H15" s="2">
        <v>2020</v>
      </c>
      <c r="I15" s="2">
        <v>2021</v>
      </c>
      <c r="J15" s="2">
        <v>2022</v>
      </c>
      <c r="K15" s="2">
        <v>2023</v>
      </c>
      <c r="L15" s="2">
        <v>2024</v>
      </c>
      <c r="M15" s="2">
        <v>2025</v>
      </c>
      <c r="N15" s="2">
        <v>2026</v>
      </c>
      <c r="O15" s="2">
        <v>2027</v>
      </c>
      <c r="P15" s="2">
        <v>2028</v>
      </c>
      <c r="Q15" s="2">
        <v>2029</v>
      </c>
      <c r="R15" s="2">
        <v>2030</v>
      </c>
      <c r="S15" s="2">
        <v>2031</v>
      </c>
      <c r="T15" s="2">
        <v>2032</v>
      </c>
      <c r="U15" s="2">
        <v>2033</v>
      </c>
      <c r="V15" s="2">
        <v>2034</v>
      </c>
      <c r="W15" s="2">
        <v>2035</v>
      </c>
      <c r="X15" s="2">
        <v>2036</v>
      </c>
    </row>
    <row r="16" spans="2:24" ht="15.75" thickTop="1" x14ac:dyDescent="0.25">
      <c r="B16" t="s">
        <v>3</v>
      </c>
      <c r="C16" t="s">
        <v>5</v>
      </c>
      <c r="D16" s="3">
        <v>5.89</v>
      </c>
      <c r="E16" s="3">
        <v>5.8946806405755972</v>
      </c>
      <c r="F16" s="3">
        <v>5.8220464547809057</v>
      </c>
      <c r="G16" s="3">
        <v>5.8208332143048818</v>
      </c>
      <c r="H16" s="3">
        <v>5.8150299148083482</v>
      </c>
      <c r="I16" s="3">
        <v>5.8092904577061413</v>
      </c>
      <c r="J16" s="3">
        <v>5.8094189663949338</v>
      </c>
      <c r="K16" s="3">
        <v>5.7949490869674367</v>
      </c>
      <c r="L16" s="3">
        <v>5.7949376212552277</v>
      </c>
      <c r="M16" s="3">
        <v>5.8166987992561276</v>
      </c>
      <c r="N16" s="3">
        <v>5.8096285695673959</v>
      </c>
      <c r="O16" s="3">
        <v>5.7972093914352048</v>
      </c>
      <c r="P16" s="3">
        <v>5.8225478120641174</v>
      </c>
      <c r="Q16" s="3">
        <v>5.8196039321171682</v>
      </c>
      <c r="R16" s="3">
        <v>5.8778473205881578</v>
      </c>
      <c r="S16" s="3">
        <v>5.8821055428246982</v>
      </c>
      <c r="T16" s="3">
        <v>5.8614913213261159</v>
      </c>
      <c r="U16" s="3">
        <v>5.8601983203598067</v>
      </c>
      <c r="V16" s="3">
        <v>5.8461238583407402</v>
      </c>
      <c r="W16" s="3">
        <v>5.8875562067102214</v>
      </c>
      <c r="X16" s="3">
        <v>5.8564757228381978</v>
      </c>
    </row>
    <row r="17" spans="2:24" x14ac:dyDescent="0.25">
      <c r="B17" t="s">
        <v>4</v>
      </c>
      <c r="C17" t="s">
        <v>6</v>
      </c>
      <c r="D17" s="3">
        <v>5.89</v>
      </c>
      <c r="E17" s="3">
        <v>5.8900586964437114</v>
      </c>
      <c r="F17" s="3">
        <v>5.8423647099348877</v>
      </c>
      <c r="G17" s="3">
        <v>5.8949348649360571</v>
      </c>
      <c r="H17" s="3">
        <v>5.8764055713559529</v>
      </c>
      <c r="I17" s="3">
        <v>5.7838493340995019</v>
      </c>
      <c r="J17" s="3">
        <v>5.8764947122640514</v>
      </c>
      <c r="K17" s="3">
        <v>5.8045281442211385</v>
      </c>
      <c r="L17" s="3">
        <v>5.6895049541732599</v>
      </c>
      <c r="M17" s="3">
        <v>5.6650794651115453</v>
      </c>
      <c r="N17" s="3">
        <v>5.672955386536322</v>
      </c>
      <c r="O17" s="3">
        <v>5.7487234794432709</v>
      </c>
      <c r="P17" s="3">
        <v>5.7275949409472329</v>
      </c>
      <c r="Q17" s="3">
        <v>5.7520294572104316</v>
      </c>
      <c r="R17" s="3">
        <v>5.7041941435711232</v>
      </c>
      <c r="S17" s="3">
        <v>5.7202135581210047</v>
      </c>
      <c r="T17" s="3">
        <v>5.7295900298025888</v>
      </c>
      <c r="U17" s="3">
        <v>5.8402027594748809</v>
      </c>
      <c r="V17" s="3">
        <v>5.8884655268176047</v>
      </c>
      <c r="W17" s="3">
        <v>5.9077479258661016</v>
      </c>
      <c r="X17" s="3">
        <v>5.9051865361880962</v>
      </c>
    </row>
  </sheetData>
  <dataConsolidate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U387"/>
  <sheetViews>
    <sheetView zoomScale="85" zoomScaleNormal="85" workbookViewId="0"/>
  </sheetViews>
  <sheetFormatPr defaultRowHeight="15" x14ac:dyDescent="0.25"/>
  <cols>
    <col min="5" max="5" width="12.5703125" bestFit="1" customWidth="1"/>
    <col min="16" max="18" width="9.140625" style="8"/>
    <col min="19" max="19" width="12.42578125" bestFit="1" customWidth="1"/>
    <col min="21" max="21" width="11.7109375" bestFit="1" customWidth="1"/>
  </cols>
  <sheetData>
    <row r="2" spans="2:21" x14ac:dyDescent="0.25">
      <c r="B2" t="s">
        <v>11</v>
      </c>
      <c r="C2" t="s">
        <v>12</v>
      </c>
      <c r="D2" t="s">
        <v>13</v>
      </c>
      <c r="E2" s="4" t="s">
        <v>14</v>
      </c>
      <c r="F2" s="4" t="s">
        <v>15</v>
      </c>
      <c r="G2" s="4" t="s">
        <v>16</v>
      </c>
      <c r="H2" s="4" t="s">
        <v>17</v>
      </c>
      <c r="I2" s="4" t="s">
        <v>18</v>
      </c>
      <c r="J2" s="4" t="s">
        <v>19</v>
      </c>
      <c r="K2" s="4" t="s">
        <v>20</v>
      </c>
      <c r="L2" s="4" t="s">
        <v>21</v>
      </c>
      <c r="M2" s="4" t="s">
        <v>22</v>
      </c>
      <c r="N2" s="4" t="s">
        <v>23</v>
      </c>
      <c r="O2" s="4" t="s">
        <v>24</v>
      </c>
      <c r="P2" s="7" t="s">
        <v>28</v>
      </c>
      <c r="Q2" s="7" t="s">
        <v>29</v>
      </c>
      <c r="R2" s="7" t="s">
        <v>30</v>
      </c>
      <c r="S2" s="4" t="s">
        <v>25</v>
      </c>
      <c r="T2" s="4" t="s">
        <v>27</v>
      </c>
      <c r="U2" s="4" t="s">
        <v>26</v>
      </c>
    </row>
    <row r="3" spans="2:21" x14ac:dyDescent="0.25">
      <c r="B3">
        <v>0</v>
      </c>
      <c r="C3">
        <v>0</v>
      </c>
      <c r="D3">
        <v>12</v>
      </c>
      <c r="E3" s="5">
        <v>8.199999999999999E-3</v>
      </c>
      <c r="F3" s="5">
        <v>9.7999999999999997E-3</v>
      </c>
      <c r="G3" s="5">
        <v>1.0700000000000001E-2</v>
      </c>
      <c r="H3" s="5">
        <v>1.1599999999999999E-2</v>
      </c>
      <c r="I3" s="5">
        <v>1.2800000000000001E-2</v>
      </c>
      <c r="J3" s="5">
        <v>1.4499999999999999E-2</v>
      </c>
      <c r="K3" s="5">
        <v>1.7600000000000001E-2</v>
      </c>
      <c r="L3" s="5">
        <v>2.0199999999999999E-2</v>
      </c>
      <c r="M3" s="5">
        <v>2.2099999999999998E-2</v>
      </c>
      <c r="N3" s="5">
        <v>2.6000000000000002E-2</v>
      </c>
      <c r="O3" s="5">
        <v>2.87E-2</v>
      </c>
      <c r="P3" s="8">
        <v>1000</v>
      </c>
      <c r="Q3" s="8">
        <v>1000</v>
      </c>
      <c r="R3" s="8">
        <v>1000</v>
      </c>
      <c r="S3" s="5">
        <v>0.09</v>
      </c>
      <c r="T3">
        <f ca="1">M3+RAND()*4/100+0.01</f>
        <v>4.2271751738215103E-2</v>
      </c>
      <c r="U3">
        <f>0.06</f>
        <v>0.06</v>
      </c>
    </row>
    <row r="4" spans="2:21" x14ac:dyDescent="0.25">
      <c r="B4">
        <f>B3+1</f>
        <v>1</v>
      </c>
      <c r="C4">
        <f>C3+1</f>
        <v>1</v>
      </c>
      <c r="D4">
        <v>1</v>
      </c>
      <c r="E4" s="5">
        <f ca="1">ROUND(E3+(RAND()*2-1+0.01)/10^4,6)</f>
        <v>8.2909999999999998E-3</v>
      </c>
      <c r="F4" s="5">
        <f t="shared" ref="F4:O4" ca="1" si="0">ROUND(F3+(RAND()*2-1+0.01)/10^4,6)</f>
        <v>9.7990000000000004E-3</v>
      </c>
      <c r="G4" s="5">
        <f t="shared" ca="1" si="0"/>
        <v>1.0714E-2</v>
      </c>
      <c r="H4" s="5">
        <f t="shared" ca="1" si="0"/>
        <v>1.1594E-2</v>
      </c>
      <c r="I4" s="5">
        <f t="shared" ca="1" si="0"/>
        <v>1.2822E-2</v>
      </c>
      <c r="J4" s="5">
        <f t="shared" ca="1" si="0"/>
        <v>1.4581999999999999E-2</v>
      </c>
      <c r="K4" s="5">
        <f t="shared" ca="1" si="0"/>
        <v>1.7517999999999999E-2</v>
      </c>
      <c r="L4" s="5">
        <f t="shared" ca="1" si="0"/>
        <v>2.0230000000000001E-2</v>
      </c>
      <c r="M4" s="5">
        <f t="shared" ca="1" si="0"/>
        <v>2.2117999999999999E-2</v>
      </c>
      <c r="N4" s="5">
        <f t="shared" ca="1" si="0"/>
        <v>2.5914E-2</v>
      </c>
      <c r="O4" s="5">
        <f t="shared" ca="1" si="0"/>
        <v>2.8763E-2</v>
      </c>
      <c r="P4" s="8">
        <f ca="1">P3*(1+S4)^(1/12)</f>
        <v>996.68966502960461</v>
      </c>
      <c r="Q4" s="8">
        <f ca="1">Q3*(1+T4)^(1/12)</f>
        <v>1002.8156350817729</v>
      </c>
      <c r="R4" s="8">
        <f ca="1">R3*(1+U4)^(1/12)</f>
        <v>1004.9229088744147</v>
      </c>
      <c r="S4" s="5">
        <f ca="1">RAND()*10/100-5/100+S3/10</f>
        <v>-3.9008692208203563E-2</v>
      </c>
      <c r="T4">
        <f ca="1">M4+RAND()*4/100+0.01</f>
        <v>3.4315797887721197E-2</v>
      </c>
      <c r="U4" s="5">
        <f ca="1">RAND()*1/100-0.5/100+U3</f>
        <v>6.0700959133410823E-2</v>
      </c>
    </row>
    <row r="5" spans="2:21" x14ac:dyDescent="0.25">
      <c r="B5">
        <f t="shared" ref="B5:B68" si="1">B4+1</f>
        <v>2</v>
      </c>
      <c r="C5">
        <f>C4</f>
        <v>1</v>
      </c>
      <c r="D5">
        <v>2</v>
      </c>
      <c r="E5" s="5">
        <f t="shared" ref="E5:E68" ca="1" si="2">ROUND(E4+(RAND()*2-1+0.01)/10^4,6)</f>
        <v>8.2869999999999992E-3</v>
      </c>
      <c r="F5" s="5">
        <f t="shared" ref="F5:F68" ca="1" si="3">ROUND(F4+(RAND()*2-1+0.01)/10^4,6)</f>
        <v>9.7730000000000004E-3</v>
      </c>
      <c r="G5" s="5">
        <f t="shared" ref="G5:G68" ca="1" si="4">ROUND(G4+(RAND()*2-1+0.01)/10^4,6)</f>
        <v>1.0735E-2</v>
      </c>
      <c r="H5" s="5">
        <f t="shared" ref="H5:H68" ca="1" si="5">ROUND(H4+(RAND()*2-1+0.01)/10^4,6)</f>
        <v>1.1514E-2</v>
      </c>
      <c r="I5" s="5">
        <f t="shared" ref="I5:I68" ca="1" si="6">ROUND(I4+(RAND()*2-1+0.01)/10^4,6)</f>
        <v>1.278E-2</v>
      </c>
      <c r="J5" s="5">
        <f t="shared" ref="J5:J68" ca="1" si="7">ROUND(J4+(RAND()*2-1+0.01)/10^4,6)</f>
        <v>1.4663000000000001E-2</v>
      </c>
      <c r="K5" s="5">
        <f t="shared" ref="K5:K68" ca="1" si="8">ROUND(K4+(RAND()*2-1+0.01)/10^4,6)</f>
        <v>1.7513000000000001E-2</v>
      </c>
      <c r="L5" s="5">
        <f t="shared" ref="L5:L68" ca="1" si="9">ROUND(L4+(RAND()*2-1+0.01)/10^4,6)</f>
        <v>2.0268999999999999E-2</v>
      </c>
      <c r="M5" s="5">
        <f t="shared" ref="M5:M68" ca="1" si="10">ROUND(M4+(RAND()*2-1+0.01)/10^4,6)</f>
        <v>2.2034000000000002E-2</v>
      </c>
      <c r="N5" s="5">
        <f t="shared" ref="N5:N68" ca="1" si="11">ROUND(N4+(RAND()*2-1+0.01)/10^4,6)</f>
        <v>2.5954000000000001E-2</v>
      </c>
      <c r="O5" s="5">
        <f t="shared" ref="O5:O68" ca="1" si="12">ROUND(O4+(RAND()*2-1+0.01)/10^4,6)</f>
        <v>2.8721E-2</v>
      </c>
      <c r="P5" s="8">
        <f t="shared" ref="P5:P68" ca="1" si="13">P4*(1+S5)^(1/12)</f>
        <v>997.76361870709934</v>
      </c>
      <c r="Q5" s="8">
        <f t="shared" ref="Q5:Q68" ca="1" si="14">Q4*(1+T5)^(1/12)</f>
        <v>1005.7233555898544</v>
      </c>
      <c r="R5" s="8">
        <f t="shared" ref="R5:R68" ca="1" si="15">R4*(1+U5)^(1/12)</f>
        <v>1009.6181566764516</v>
      </c>
      <c r="S5" s="5">
        <f t="shared" ref="S5:S68" ca="1" si="16">RAND()*10/100-5/100+S4/10</f>
        <v>1.3007152828430367E-2</v>
      </c>
      <c r="T5">
        <f t="shared" ref="T5:T68" ca="1" si="17">M5+RAND()*4/100+0.01</f>
        <v>3.535496546265697E-2</v>
      </c>
      <c r="U5" s="5">
        <f t="shared" ref="U5:U68" ca="1" si="18">RAND()*1/100-0.5/100+U4</f>
        <v>5.753041028956167E-2</v>
      </c>
    </row>
    <row r="6" spans="2:21" x14ac:dyDescent="0.25">
      <c r="B6">
        <f t="shared" si="1"/>
        <v>3</v>
      </c>
      <c r="C6">
        <f t="shared" ref="C6:C15" si="19">C5</f>
        <v>1</v>
      </c>
      <c r="D6">
        <v>3</v>
      </c>
      <c r="E6" s="5">
        <f t="shared" ca="1" si="2"/>
        <v>8.3739999999999995E-3</v>
      </c>
      <c r="F6" s="5">
        <f t="shared" ca="1" si="3"/>
        <v>9.7940000000000006E-3</v>
      </c>
      <c r="G6" s="5">
        <f t="shared" ca="1" si="4"/>
        <v>1.0822999999999999E-2</v>
      </c>
      <c r="H6" s="5">
        <f t="shared" ca="1" si="5"/>
        <v>1.1533E-2</v>
      </c>
      <c r="I6" s="5">
        <f t="shared" ca="1" si="6"/>
        <v>1.2697999999999999E-2</v>
      </c>
      <c r="J6" s="5">
        <f t="shared" ca="1" si="7"/>
        <v>1.4607E-2</v>
      </c>
      <c r="K6" s="5">
        <f t="shared" ca="1" si="8"/>
        <v>1.7559000000000002E-2</v>
      </c>
      <c r="L6" s="5">
        <f t="shared" ca="1" si="9"/>
        <v>2.0247000000000001E-2</v>
      </c>
      <c r="M6" s="5">
        <f t="shared" ca="1" si="10"/>
        <v>2.2023000000000001E-2</v>
      </c>
      <c r="N6" s="5">
        <f t="shared" ca="1" si="11"/>
        <v>2.5995999999999998E-2</v>
      </c>
      <c r="O6" s="5">
        <f t="shared" ca="1" si="12"/>
        <v>2.8798000000000001E-2</v>
      </c>
      <c r="P6" s="8">
        <f t="shared" ca="1" si="13"/>
        <v>1001.7455632313862</v>
      </c>
      <c r="Q6" s="8">
        <f t="shared" ca="1" si="14"/>
        <v>1009.5814297688665</v>
      </c>
      <c r="R6" s="8">
        <f t="shared" ca="1" si="15"/>
        <v>1014.517555967602</v>
      </c>
      <c r="S6" s="5">
        <f t="shared" ca="1" si="16"/>
        <v>4.8955730408244885E-2</v>
      </c>
      <c r="T6">
        <f t="shared" ca="1" si="17"/>
        <v>4.701719493904747E-2</v>
      </c>
      <c r="U6" s="5">
        <f t="shared" ca="1" si="18"/>
        <v>5.9812347791754213E-2</v>
      </c>
    </row>
    <row r="7" spans="2:21" x14ac:dyDescent="0.25">
      <c r="B7">
        <f t="shared" si="1"/>
        <v>4</v>
      </c>
      <c r="C7">
        <f t="shared" si="19"/>
        <v>1</v>
      </c>
      <c r="D7">
        <f>D6+1</f>
        <v>4</v>
      </c>
      <c r="E7" s="5">
        <f t="shared" ca="1" si="2"/>
        <v>8.3909999999999992E-3</v>
      </c>
      <c r="F7" s="5">
        <f t="shared" ca="1" si="3"/>
        <v>9.7459999999999995E-3</v>
      </c>
      <c r="G7" s="5">
        <f t="shared" ca="1" si="4"/>
        <v>1.0895E-2</v>
      </c>
      <c r="H7" s="5">
        <f t="shared" ca="1" si="5"/>
        <v>1.1520000000000001E-2</v>
      </c>
      <c r="I7" s="5">
        <f t="shared" ca="1" si="6"/>
        <v>1.2652E-2</v>
      </c>
      <c r="J7" s="5">
        <f t="shared" ca="1" si="7"/>
        <v>1.4644000000000001E-2</v>
      </c>
      <c r="K7" s="5">
        <f t="shared" ca="1" si="8"/>
        <v>1.7597999999999999E-2</v>
      </c>
      <c r="L7" s="5">
        <f t="shared" ca="1" si="9"/>
        <v>2.0163E-2</v>
      </c>
      <c r="M7" s="5">
        <f t="shared" ca="1" si="10"/>
        <v>2.1985000000000001E-2</v>
      </c>
      <c r="N7" s="5">
        <f t="shared" ca="1" si="11"/>
        <v>2.5897E-2</v>
      </c>
      <c r="O7" s="5">
        <f t="shared" ca="1" si="12"/>
        <v>2.8808E-2</v>
      </c>
      <c r="P7" s="8">
        <f t="shared" ca="1" si="13"/>
        <v>1000.67689406033</v>
      </c>
      <c r="Q7" s="8">
        <f t="shared" ca="1" si="14"/>
        <v>1012.3002563433673</v>
      </c>
      <c r="R7" s="8">
        <f t="shared" ca="1" si="15"/>
        <v>1019.0602912884837</v>
      </c>
      <c r="S7" s="5">
        <f t="shared" ca="1" si="16"/>
        <v>-1.2726837275378636E-2</v>
      </c>
      <c r="T7">
        <f t="shared" ca="1" si="17"/>
        <v>3.2799262437639594E-2</v>
      </c>
      <c r="U7" s="5">
        <f t="shared" ca="1" si="18"/>
        <v>5.5076011451518331E-2</v>
      </c>
    </row>
    <row r="8" spans="2:21" x14ac:dyDescent="0.25">
      <c r="B8">
        <f t="shared" si="1"/>
        <v>5</v>
      </c>
      <c r="C8">
        <f t="shared" si="19"/>
        <v>1</v>
      </c>
      <c r="D8">
        <f t="shared" ref="D8:D15" si="20">D7+1</f>
        <v>5</v>
      </c>
      <c r="E8" s="5">
        <f t="shared" ca="1" si="2"/>
        <v>8.4569999999999992E-3</v>
      </c>
      <c r="F8" s="5">
        <f t="shared" ca="1" si="3"/>
        <v>9.7350000000000006E-3</v>
      </c>
      <c r="G8" s="5">
        <f t="shared" ca="1" si="4"/>
        <v>1.0944000000000001E-2</v>
      </c>
      <c r="H8" s="5">
        <f t="shared" ca="1" si="5"/>
        <v>1.1495E-2</v>
      </c>
      <c r="I8" s="5">
        <f t="shared" ca="1" si="6"/>
        <v>1.2619E-2</v>
      </c>
      <c r="J8" s="5">
        <f t="shared" ca="1" si="7"/>
        <v>1.4574999999999999E-2</v>
      </c>
      <c r="K8" s="5">
        <f t="shared" ca="1" si="8"/>
        <v>1.7548000000000001E-2</v>
      </c>
      <c r="L8" s="5">
        <f t="shared" ca="1" si="9"/>
        <v>2.0195000000000001E-2</v>
      </c>
      <c r="M8" s="5">
        <f t="shared" ca="1" si="10"/>
        <v>2.1911E-2</v>
      </c>
      <c r="N8" s="5">
        <f t="shared" ca="1" si="11"/>
        <v>2.5923000000000002E-2</v>
      </c>
      <c r="O8" s="5">
        <f t="shared" ca="1" si="12"/>
        <v>2.8797E-2</v>
      </c>
      <c r="P8" s="8">
        <f t="shared" ca="1" si="13"/>
        <v>1000.738233430737</v>
      </c>
      <c r="Q8" s="8">
        <f t="shared" ca="1" si="14"/>
        <v>1017.0017782575914</v>
      </c>
      <c r="R8" s="8">
        <f t="shared" ca="1" si="15"/>
        <v>1023.7432336979989</v>
      </c>
      <c r="S8" s="5">
        <f t="shared" ca="1" si="16"/>
        <v>7.3582257989665187E-4</v>
      </c>
      <c r="T8">
        <f t="shared" ca="1" si="17"/>
        <v>5.7178654509018344E-2</v>
      </c>
      <c r="U8" s="5">
        <f t="shared" ca="1" si="18"/>
        <v>5.6559555186202759E-2</v>
      </c>
    </row>
    <row r="9" spans="2:21" x14ac:dyDescent="0.25">
      <c r="B9">
        <f t="shared" si="1"/>
        <v>6</v>
      </c>
      <c r="C9">
        <f t="shared" si="19"/>
        <v>1</v>
      </c>
      <c r="D9">
        <f t="shared" si="20"/>
        <v>6</v>
      </c>
      <c r="E9" s="5">
        <f t="shared" ca="1" si="2"/>
        <v>8.4580000000000002E-3</v>
      </c>
      <c r="F9" s="5">
        <f t="shared" ca="1" si="3"/>
        <v>9.7289999999999998E-3</v>
      </c>
      <c r="G9" s="5">
        <f t="shared" ca="1" si="4"/>
        <v>1.09E-2</v>
      </c>
      <c r="H9" s="5">
        <f t="shared" ca="1" si="5"/>
        <v>1.1495E-2</v>
      </c>
      <c r="I9" s="5">
        <f t="shared" ca="1" si="6"/>
        <v>1.2687E-2</v>
      </c>
      <c r="J9" s="5">
        <f t="shared" ca="1" si="7"/>
        <v>1.4489E-2</v>
      </c>
      <c r="K9" s="5">
        <f t="shared" ca="1" si="8"/>
        <v>1.7534000000000001E-2</v>
      </c>
      <c r="L9" s="5">
        <f t="shared" ca="1" si="9"/>
        <v>2.0183E-2</v>
      </c>
      <c r="M9" s="5">
        <f t="shared" ca="1" si="10"/>
        <v>2.1982000000000002E-2</v>
      </c>
      <c r="N9" s="5">
        <f t="shared" ca="1" si="11"/>
        <v>2.5964999999999998E-2</v>
      </c>
      <c r="O9" s="5">
        <f t="shared" ca="1" si="12"/>
        <v>2.8856E-2</v>
      </c>
      <c r="P9" s="8">
        <f t="shared" ca="1" si="13"/>
        <v>1002.3615286485514</v>
      </c>
      <c r="Q9" s="8">
        <f t="shared" ca="1" si="14"/>
        <v>1020.458357171227</v>
      </c>
      <c r="R9" s="8">
        <f t="shared" ca="1" si="15"/>
        <v>1028.4292733591869</v>
      </c>
      <c r="S9" s="5">
        <f t="shared" ca="1" si="16"/>
        <v>1.9639774451993931E-2</v>
      </c>
      <c r="T9">
        <f t="shared" ca="1" si="17"/>
        <v>4.1556643245196118E-2</v>
      </c>
      <c r="U9" s="5">
        <f t="shared" ca="1" si="18"/>
        <v>5.6332464470012888E-2</v>
      </c>
    </row>
    <row r="10" spans="2:21" x14ac:dyDescent="0.25">
      <c r="B10">
        <f t="shared" si="1"/>
        <v>7</v>
      </c>
      <c r="C10">
        <f t="shared" si="19"/>
        <v>1</v>
      </c>
      <c r="D10">
        <f t="shared" si="20"/>
        <v>7</v>
      </c>
      <c r="E10" s="5">
        <f t="shared" ca="1" si="2"/>
        <v>8.5430000000000002E-3</v>
      </c>
      <c r="F10" s="5">
        <f t="shared" ca="1" si="3"/>
        <v>9.7009999999999996E-3</v>
      </c>
      <c r="G10" s="5">
        <f t="shared" ca="1" si="4"/>
        <v>1.0923E-2</v>
      </c>
      <c r="H10" s="5">
        <f t="shared" ca="1" si="5"/>
        <v>1.1532000000000001E-2</v>
      </c>
      <c r="I10" s="5">
        <f t="shared" ca="1" si="6"/>
        <v>1.2588E-2</v>
      </c>
      <c r="J10" s="5">
        <f t="shared" ca="1" si="7"/>
        <v>1.4585000000000001E-2</v>
      </c>
      <c r="K10" s="5">
        <f t="shared" ca="1" si="8"/>
        <v>1.7564E-2</v>
      </c>
      <c r="L10" s="5">
        <f t="shared" ca="1" si="9"/>
        <v>2.0146000000000001E-2</v>
      </c>
      <c r="M10" s="5">
        <f t="shared" ca="1" si="10"/>
        <v>2.1940000000000001E-2</v>
      </c>
      <c r="N10" s="5">
        <f t="shared" ca="1" si="11"/>
        <v>2.5911E-2</v>
      </c>
      <c r="O10" s="5">
        <f t="shared" ca="1" si="12"/>
        <v>2.8802000000000001E-2</v>
      </c>
      <c r="P10" s="8">
        <f t="shared" ca="1" si="13"/>
        <v>1006.2141974248024</v>
      </c>
      <c r="Q10" s="8">
        <f t="shared" ca="1" si="14"/>
        <v>1025.2690033611564</v>
      </c>
      <c r="R10" s="8">
        <f t="shared" ca="1" si="15"/>
        <v>1033.4776868081099</v>
      </c>
      <c r="S10" s="5">
        <f t="shared" ca="1" si="16"/>
        <v>4.7110736232717228E-2</v>
      </c>
      <c r="T10">
        <f t="shared" ca="1" si="17"/>
        <v>5.8060475401522905E-2</v>
      </c>
      <c r="U10" s="5">
        <f t="shared" ca="1" si="18"/>
        <v>6.0523005886254658E-2</v>
      </c>
    </row>
    <row r="11" spans="2:21" x14ac:dyDescent="0.25">
      <c r="B11">
        <f t="shared" si="1"/>
        <v>8</v>
      </c>
      <c r="C11">
        <f t="shared" si="19"/>
        <v>1</v>
      </c>
      <c r="D11">
        <f t="shared" si="20"/>
        <v>8</v>
      </c>
      <c r="E11" s="5">
        <f t="shared" ca="1" si="2"/>
        <v>8.4899999999999993E-3</v>
      </c>
      <c r="F11" s="5">
        <f t="shared" ca="1" si="3"/>
        <v>9.639E-3</v>
      </c>
      <c r="G11" s="5">
        <f t="shared" ca="1" si="4"/>
        <v>1.0924E-2</v>
      </c>
      <c r="H11" s="5">
        <f t="shared" ca="1" si="5"/>
        <v>1.1532000000000001E-2</v>
      </c>
      <c r="I11" s="5">
        <f t="shared" ca="1" si="6"/>
        <v>1.2539E-2</v>
      </c>
      <c r="J11" s="5">
        <f t="shared" ca="1" si="7"/>
        <v>1.4532E-2</v>
      </c>
      <c r="K11" s="5">
        <f t="shared" ca="1" si="8"/>
        <v>1.7639999999999999E-2</v>
      </c>
      <c r="L11" s="5">
        <f t="shared" ca="1" si="9"/>
        <v>2.0167999999999998E-2</v>
      </c>
      <c r="M11" s="5">
        <f t="shared" ca="1" si="10"/>
        <v>2.2003999999999999E-2</v>
      </c>
      <c r="N11" s="5">
        <f t="shared" ca="1" si="11"/>
        <v>2.5850999999999999E-2</v>
      </c>
      <c r="O11" s="5">
        <f t="shared" ca="1" si="12"/>
        <v>2.8724E-2</v>
      </c>
      <c r="P11" s="8">
        <f t="shared" ca="1" si="13"/>
        <v>1007.7908492618361</v>
      </c>
      <c r="Q11" s="8">
        <f t="shared" ca="1" si="14"/>
        <v>1029.5547162815458</v>
      </c>
      <c r="R11" s="8">
        <f t="shared" ca="1" si="15"/>
        <v>1038.6129678177042</v>
      </c>
      <c r="S11" s="5">
        <f t="shared" ca="1" si="16"/>
        <v>1.8965870628651238E-2</v>
      </c>
      <c r="T11">
        <f t="shared" ca="1" si="17"/>
        <v>5.1330482444711299E-2</v>
      </c>
      <c r="U11" s="5">
        <f t="shared" ca="1" si="18"/>
        <v>6.1284045648152263E-2</v>
      </c>
    </row>
    <row r="12" spans="2:21" x14ac:dyDescent="0.25">
      <c r="B12">
        <f t="shared" si="1"/>
        <v>9</v>
      </c>
      <c r="C12">
        <f t="shared" si="19"/>
        <v>1</v>
      </c>
      <c r="D12">
        <f t="shared" si="20"/>
        <v>9</v>
      </c>
      <c r="E12" s="5">
        <f t="shared" ca="1" si="2"/>
        <v>8.5880000000000001E-3</v>
      </c>
      <c r="F12" s="5">
        <f t="shared" ca="1" si="3"/>
        <v>9.7400000000000004E-3</v>
      </c>
      <c r="G12" s="5">
        <f t="shared" ca="1" si="4"/>
        <v>1.0861000000000001E-2</v>
      </c>
      <c r="H12" s="5">
        <f t="shared" ca="1" si="5"/>
        <v>1.1509E-2</v>
      </c>
      <c r="I12" s="5">
        <f t="shared" ca="1" si="6"/>
        <v>1.2619999999999999E-2</v>
      </c>
      <c r="J12" s="5">
        <f t="shared" ca="1" si="7"/>
        <v>1.4519000000000001E-2</v>
      </c>
      <c r="K12" s="5">
        <f t="shared" ca="1" si="8"/>
        <v>1.7729000000000002E-2</v>
      </c>
      <c r="L12" s="5">
        <f t="shared" ca="1" si="9"/>
        <v>2.0104E-2</v>
      </c>
      <c r="M12" s="5">
        <f t="shared" ca="1" si="10"/>
        <v>2.2030000000000001E-2</v>
      </c>
      <c r="N12" s="5">
        <f t="shared" ca="1" si="11"/>
        <v>2.5905999999999998E-2</v>
      </c>
      <c r="O12" s="5">
        <f t="shared" ca="1" si="12"/>
        <v>2.8695999999999999E-2</v>
      </c>
      <c r="P12" s="8">
        <f t="shared" ca="1" si="13"/>
        <v>1008.8358990119754</v>
      </c>
      <c r="Q12" s="8">
        <f t="shared" ca="1" si="14"/>
        <v>1034.5855544773524</v>
      </c>
      <c r="R12" s="8">
        <f t="shared" ca="1" si="15"/>
        <v>1044.081721518008</v>
      </c>
      <c r="S12" s="5">
        <f t="shared" ca="1" si="16"/>
        <v>1.2514866650616855E-2</v>
      </c>
      <c r="T12">
        <f t="shared" ca="1" si="17"/>
        <v>6.0238898929981292E-2</v>
      </c>
      <c r="U12" s="5">
        <f t="shared" ca="1" si="18"/>
        <v>6.5047613841383828E-2</v>
      </c>
    </row>
    <row r="13" spans="2:21" x14ac:dyDescent="0.25">
      <c r="B13">
        <f t="shared" si="1"/>
        <v>10</v>
      </c>
      <c r="C13">
        <f t="shared" si="19"/>
        <v>1</v>
      </c>
      <c r="D13">
        <f t="shared" si="20"/>
        <v>10</v>
      </c>
      <c r="E13" s="5">
        <f t="shared" ca="1" si="2"/>
        <v>8.6809999999999995E-3</v>
      </c>
      <c r="F13" s="5">
        <f t="shared" ca="1" si="3"/>
        <v>9.7319999999999993E-3</v>
      </c>
      <c r="G13" s="5">
        <f t="shared" ca="1" si="4"/>
        <v>1.0812E-2</v>
      </c>
      <c r="H13" s="5">
        <f t="shared" ca="1" si="5"/>
        <v>1.1584000000000001E-2</v>
      </c>
      <c r="I13" s="5">
        <f t="shared" ca="1" si="6"/>
        <v>1.2612E-2</v>
      </c>
      <c r="J13" s="5">
        <f t="shared" ca="1" si="7"/>
        <v>1.4553E-2</v>
      </c>
      <c r="K13" s="5">
        <f t="shared" ca="1" si="8"/>
        <v>1.7809999999999999E-2</v>
      </c>
      <c r="L13" s="5">
        <f t="shared" ca="1" si="9"/>
        <v>2.0119999999999999E-2</v>
      </c>
      <c r="M13" s="5">
        <f t="shared" ca="1" si="10"/>
        <v>2.1992999999999999E-2</v>
      </c>
      <c r="N13" s="5">
        <f t="shared" ca="1" si="11"/>
        <v>2.5953E-2</v>
      </c>
      <c r="O13" s="5">
        <f t="shared" ca="1" si="12"/>
        <v>2.8728E-2</v>
      </c>
      <c r="P13" s="8">
        <f t="shared" ca="1" si="13"/>
        <v>1006.1022679072329</v>
      </c>
      <c r="Q13" s="8">
        <f t="shared" ca="1" si="14"/>
        <v>1037.3808720604111</v>
      </c>
      <c r="R13" s="8">
        <f t="shared" ca="1" si="15"/>
        <v>1049.6284767937295</v>
      </c>
      <c r="S13" s="5">
        <f t="shared" ca="1" si="16"/>
        <v>-3.2036014112901287E-2</v>
      </c>
      <c r="T13">
        <f t="shared" ca="1" si="17"/>
        <v>3.2908635288959917E-2</v>
      </c>
      <c r="U13" s="5">
        <f t="shared" ca="1" si="18"/>
        <v>6.564694477862236E-2</v>
      </c>
    </row>
    <row r="14" spans="2:21" x14ac:dyDescent="0.25">
      <c r="B14">
        <f t="shared" si="1"/>
        <v>11</v>
      </c>
      <c r="C14">
        <f t="shared" si="19"/>
        <v>1</v>
      </c>
      <c r="D14">
        <f t="shared" si="20"/>
        <v>11</v>
      </c>
      <c r="E14" s="5">
        <f t="shared" ca="1" si="2"/>
        <v>8.6040000000000005E-3</v>
      </c>
      <c r="F14" s="5">
        <f t="shared" ca="1" si="3"/>
        <v>9.6939999999999995E-3</v>
      </c>
      <c r="G14" s="5">
        <f t="shared" ca="1" si="4"/>
        <v>1.0776000000000001E-2</v>
      </c>
      <c r="H14" s="5">
        <f t="shared" ca="1" si="5"/>
        <v>1.1514999999999999E-2</v>
      </c>
      <c r="I14" s="5">
        <f t="shared" ca="1" si="6"/>
        <v>1.2670000000000001E-2</v>
      </c>
      <c r="J14" s="5">
        <f t="shared" ca="1" si="7"/>
        <v>1.4618000000000001E-2</v>
      </c>
      <c r="K14" s="5">
        <f t="shared" ca="1" si="8"/>
        <v>1.7797E-2</v>
      </c>
      <c r="L14" s="5">
        <f t="shared" ca="1" si="9"/>
        <v>2.0135E-2</v>
      </c>
      <c r="M14" s="5">
        <f t="shared" ca="1" si="10"/>
        <v>2.2067E-2</v>
      </c>
      <c r="N14" s="5">
        <f t="shared" ca="1" si="11"/>
        <v>2.5968000000000001E-2</v>
      </c>
      <c r="O14" s="5">
        <f t="shared" ca="1" si="12"/>
        <v>2.8687000000000001E-2</v>
      </c>
      <c r="P14" s="8">
        <f t="shared" ca="1" si="13"/>
        <v>1009.3354484783973</v>
      </c>
      <c r="Q14" s="8">
        <f t="shared" ca="1" si="14"/>
        <v>1041.5110878514702</v>
      </c>
      <c r="R14" s="8">
        <f t="shared" ca="1" si="15"/>
        <v>1055.4177580466433</v>
      </c>
      <c r="S14" s="5">
        <f t="shared" ca="1" si="16"/>
        <v>3.9251784498560607E-2</v>
      </c>
      <c r="T14">
        <f t="shared" ca="1" si="17"/>
        <v>4.8836861701417017E-2</v>
      </c>
      <c r="U14" s="5">
        <f t="shared" ca="1" si="18"/>
        <v>6.8231816578776014E-2</v>
      </c>
    </row>
    <row r="15" spans="2:21" x14ac:dyDescent="0.25">
      <c r="B15">
        <f t="shared" si="1"/>
        <v>12</v>
      </c>
      <c r="C15">
        <f t="shared" si="19"/>
        <v>1</v>
      </c>
      <c r="D15">
        <f t="shared" si="20"/>
        <v>12</v>
      </c>
      <c r="E15" s="5">
        <f t="shared" ca="1" si="2"/>
        <v>8.5609999999999992E-3</v>
      </c>
      <c r="F15" s="5">
        <f t="shared" ca="1" si="3"/>
        <v>9.6089999999999995E-3</v>
      </c>
      <c r="G15" s="5">
        <f t="shared" ca="1" si="4"/>
        <v>1.0782E-2</v>
      </c>
      <c r="H15" s="5">
        <f t="shared" ca="1" si="5"/>
        <v>1.1462999999999999E-2</v>
      </c>
      <c r="I15" s="5">
        <f t="shared" ca="1" si="6"/>
        <v>1.2747E-2</v>
      </c>
      <c r="J15" s="5">
        <f t="shared" ca="1" si="7"/>
        <v>1.4618000000000001E-2</v>
      </c>
      <c r="K15" s="5">
        <f t="shared" ca="1" si="8"/>
        <v>1.7881999999999999E-2</v>
      </c>
      <c r="L15" s="5">
        <f t="shared" ca="1" si="9"/>
        <v>2.0062E-2</v>
      </c>
      <c r="M15" s="5">
        <f t="shared" ca="1" si="10"/>
        <v>2.1985000000000001E-2</v>
      </c>
      <c r="N15" s="5">
        <f t="shared" ca="1" si="11"/>
        <v>2.6026000000000001E-2</v>
      </c>
      <c r="O15" s="5">
        <f t="shared" ca="1" si="12"/>
        <v>2.8698999999999999E-2</v>
      </c>
      <c r="P15" s="8">
        <f t="shared" ca="1" si="13"/>
        <v>1008.4665933127465</v>
      </c>
      <c r="Q15" s="8">
        <f t="shared" ca="1" si="14"/>
        <v>1044.5343074954842</v>
      </c>
      <c r="R15" s="8">
        <f t="shared" ca="1" si="15"/>
        <v>1060.8588908276899</v>
      </c>
      <c r="S15" s="5">
        <f t="shared" ca="1" si="16"/>
        <v>-1.0281061846995437E-2</v>
      </c>
      <c r="T15">
        <f t="shared" ca="1" si="17"/>
        <v>3.5394212170003478E-2</v>
      </c>
      <c r="U15" s="5">
        <f t="shared" ca="1" si="18"/>
        <v>6.3649840898101898E-2</v>
      </c>
    </row>
    <row r="16" spans="2:21" x14ac:dyDescent="0.25">
      <c r="B16">
        <f t="shared" si="1"/>
        <v>13</v>
      </c>
      <c r="C16">
        <f>C15+1</f>
        <v>2</v>
      </c>
      <c r="D16">
        <v>1</v>
      </c>
      <c r="E16" s="5">
        <f t="shared" ca="1" si="2"/>
        <v>8.5229999999999993E-3</v>
      </c>
      <c r="F16" s="5">
        <f t="shared" ca="1" si="3"/>
        <v>9.6839999999999999E-3</v>
      </c>
      <c r="G16" s="5">
        <f t="shared" ca="1" si="4"/>
        <v>1.0793000000000001E-2</v>
      </c>
      <c r="H16" s="5">
        <f t="shared" ca="1" si="5"/>
        <v>1.1369000000000001E-2</v>
      </c>
      <c r="I16" s="5">
        <f t="shared" ca="1" si="6"/>
        <v>1.2674E-2</v>
      </c>
      <c r="J16" s="5">
        <f t="shared" ca="1" si="7"/>
        <v>1.4702E-2</v>
      </c>
      <c r="K16" s="5">
        <f t="shared" ca="1" si="8"/>
        <v>1.7982999999999999E-2</v>
      </c>
      <c r="L16" s="5">
        <f t="shared" ca="1" si="9"/>
        <v>2.0045E-2</v>
      </c>
      <c r="M16" s="5">
        <f t="shared" ca="1" si="10"/>
        <v>2.2047000000000001E-2</v>
      </c>
      <c r="N16" s="5">
        <f t="shared" ca="1" si="11"/>
        <v>2.6098E-2</v>
      </c>
      <c r="O16" s="5">
        <f t="shared" ca="1" si="12"/>
        <v>2.8794E-2</v>
      </c>
      <c r="P16" s="8">
        <f t="shared" ca="1" si="13"/>
        <v>1004.7926345210801</v>
      </c>
      <c r="Q16" s="8">
        <f t="shared" ca="1" si="14"/>
        <v>1047.6698885618675</v>
      </c>
      <c r="R16" s="8">
        <f t="shared" ca="1" si="15"/>
        <v>1066.0030132301863</v>
      </c>
      <c r="S16" s="5">
        <f t="shared" ca="1" si="16"/>
        <v>-4.2851948698595335E-2</v>
      </c>
      <c r="T16">
        <f t="shared" ca="1" si="17"/>
        <v>3.6623467485156359E-2</v>
      </c>
      <c r="U16" s="5">
        <f t="shared" ca="1" si="18"/>
        <v>5.9765414100507362E-2</v>
      </c>
    </row>
    <row r="17" spans="2:21" x14ac:dyDescent="0.25">
      <c r="B17">
        <f t="shared" si="1"/>
        <v>14</v>
      </c>
      <c r="C17">
        <f>C16</f>
        <v>2</v>
      </c>
      <c r="D17">
        <v>2</v>
      </c>
      <c r="E17" s="5">
        <f t="shared" ca="1" si="2"/>
        <v>8.5950000000000002E-3</v>
      </c>
      <c r="F17" s="5">
        <f t="shared" ca="1" si="3"/>
        <v>9.7599999999999996E-3</v>
      </c>
      <c r="G17" s="5">
        <f t="shared" ca="1" si="4"/>
        <v>1.0878000000000001E-2</v>
      </c>
      <c r="H17" s="5">
        <f t="shared" ca="1" si="5"/>
        <v>1.1294999999999999E-2</v>
      </c>
      <c r="I17" s="5">
        <f t="shared" ca="1" si="6"/>
        <v>1.2645E-2</v>
      </c>
      <c r="J17" s="5">
        <f t="shared" ca="1" si="7"/>
        <v>1.4782999999999999E-2</v>
      </c>
      <c r="K17" s="5">
        <f t="shared" ca="1" si="8"/>
        <v>1.7936000000000001E-2</v>
      </c>
      <c r="L17" s="5">
        <f t="shared" ca="1" si="9"/>
        <v>2.0031E-2</v>
      </c>
      <c r="M17" s="5">
        <f t="shared" ca="1" si="10"/>
        <v>2.1988000000000001E-2</v>
      </c>
      <c r="N17" s="5">
        <f t="shared" ca="1" si="11"/>
        <v>2.6008E-2</v>
      </c>
      <c r="O17" s="5">
        <f t="shared" ca="1" si="12"/>
        <v>2.8881E-2</v>
      </c>
      <c r="P17" s="8">
        <f t="shared" ca="1" si="13"/>
        <v>1000.9874361524902</v>
      </c>
      <c r="Q17" s="8">
        <f t="shared" ca="1" si="14"/>
        <v>1051.8839313033004</v>
      </c>
      <c r="R17" s="8">
        <f t="shared" ca="1" si="15"/>
        <v>1070.9366804529718</v>
      </c>
      <c r="S17" s="5">
        <f t="shared" ca="1" si="16"/>
        <v>-4.4509874217840216E-2</v>
      </c>
      <c r="T17">
        <f t="shared" ca="1" si="17"/>
        <v>4.9349856211542212E-2</v>
      </c>
      <c r="U17" s="5">
        <f t="shared" ca="1" si="18"/>
        <v>5.6974080668132532E-2</v>
      </c>
    </row>
    <row r="18" spans="2:21" x14ac:dyDescent="0.25">
      <c r="B18">
        <f t="shared" si="1"/>
        <v>15</v>
      </c>
      <c r="C18">
        <f t="shared" ref="C18:C27" si="21">C17</f>
        <v>2</v>
      </c>
      <c r="D18">
        <v>3</v>
      </c>
      <c r="E18" s="5">
        <f t="shared" ca="1" si="2"/>
        <v>8.5520000000000006E-3</v>
      </c>
      <c r="F18" s="5">
        <f t="shared" ca="1" si="3"/>
        <v>9.8250000000000004E-3</v>
      </c>
      <c r="G18" s="5">
        <f t="shared" ca="1" si="4"/>
        <v>1.0959999999999999E-2</v>
      </c>
      <c r="H18" s="5">
        <f t="shared" ca="1" si="5"/>
        <v>1.1302E-2</v>
      </c>
      <c r="I18" s="5">
        <f t="shared" ca="1" si="6"/>
        <v>1.2642E-2</v>
      </c>
      <c r="J18" s="5">
        <f t="shared" ca="1" si="7"/>
        <v>1.4759E-2</v>
      </c>
      <c r="K18" s="5">
        <f t="shared" ca="1" si="8"/>
        <v>1.7939E-2</v>
      </c>
      <c r="L18" s="5">
        <f t="shared" ca="1" si="9"/>
        <v>1.9944E-2</v>
      </c>
      <c r="M18" s="5">
        <f t="shared" ca="1" si="10"/>
        <v>2.1946E-2</v>
      </c>
      <c r="N18" s="5">
        <f t="shared" ca="1" si="11"/>
        <v>2.5975999999999999E-2</v>
      </c>
      <c r="O18" s="5">
        <f t="shared" ca="1" si="12"/>
        <v>2.8957E-2</v>
      </c>
      <c r="P18" s="8">
        <f t="shared" ca="1" si="13"/>
        <v>997.36301003907272</v>
      </c>
      <c r="Q18" s="8">
        <f t="shared" ca="1" si="14"/>
        <v>1056.3532129313473</v>
      </c>
      <c r="R18" s="8">
        <f t="shared" ca="1" si="15"/>
        <v>1075.5490488868516</v>
      </c>
      <c r="S18" s="5">
        <f t="shared" ca="1" si="16"/>
        <v>-4.2595271192335811E-2</v>
      </c>
      <c r="T18">
        <f t="shared" ca="1" si="17"/>
        <v>5.2194532858653116E-2</v>
      </c>
      <c r="U18" s="5">
        <f t="shared" ca="1" si="18"/>
        <v>5.2924234205026371E-2</v>
      </c>
    </row>
    <row r="19" spans="2:21" x14ac:dyDescent="0.25">
      <c r="B19">
        <f t="shared" si="1"/>
        <v>16</v>
      </c>
      <c r="C19">
        <f t="shared" si="21"/>
        <v>2</v>
      </c>
      <c r="D19">
        <f>D18+1</f>
        <v>4</v>
      </c>
      <c r="E19" s="5">
        <f t="shared" ca="1" si="2"/>
        <v>8.4659999999999996E-3</v>
      </c>
      <c r="F19" s="5">
        <f t="shared" ca="1" si="3"/>
        <v>9.8189999999999996E-3</v>
      </c>
      <c r="G19" s="5">
        <f t="shared" ca="1" si="4"/>
        <v>1.1037E-2</v>
      </c>
      <c r="H19" s="5">
        <f t="shared" ca="1" si="5"/>
        <v>1.1268E-2</v>
      </c>
      <c r="I19" s="5">
        <f t="shared" ca="1" si="6"/>
        <v>1.2652E-2</v>
      </c>
      <c r="J19" s="5">
        <f t="shared" ca="1" si="7"/>
        <v>1.4725E-2</v>
      </c>
      <c r="K19" s="5">
        <f t="shared" ca="1" si="8"/>
        <v>1.7895000000000001E-2</v>
      </c>
      <c r="L19" s="5">
        <f t="shared" ca="1" si="9"/>
        <v>1.9902E-2</v>
      </c>
      <c r="M19" s="5">
        <f t="shared" ca="1" si="10"/>
        <v>2.1975000000000001E-2</v>
      </c>
      <c r="N19" s="5">
        <f t="shared" ca="1" si="11"/>
        <v>2.6046E-2</v>
      </c>
      <c r="O19" s="5">
        <f t="shared" ca="1" si="12"/>
        <v>2.8906999999999999E-2</v>
      </c>
      <c r="P19" s="8">
        <f t="shared" ca="1" si="13"/>
        <v>1000.3146643361443</v>
      </c>
      <c r="Q19" s="8">
        <f t="shared" ca="1" si="14"/>
        <v>1060.2538204322632</v>
      </c>
      <c r="R19" s="8">
        <f t="shared" ca="1" si="15"/>
        <v>1080.398007239952</v>
      </c>
      <c r="S19" s="5">
        <f t="shared" ca="1" si="16"/>
        <v>3.6097294872036972E-2</v>
      </c>
      <c r="T19">
        <f t="shared" ca="1" si="17"/>
        <v>4.5221324499516206E-2</v>
      </c>
      <c r="U19" s="5">
        <f t="shared" ca="1" si="18"/>
        <v>5.5462109480870811E-2</v>
      </c>
    </row>
    <row r="20" spans="2:21" x14ac:dyDescent="0.25">
      <c r="B20">
        <f t="shared" si="1"/>
        <v>17</v>
      </c>
      <c r="C20">
        <f t="shared" si="21"/>
        <v>2</v>
      </c>
      <c r="D20">
        <f t="shared" ref="D20:D27" si="22">D19+1</f>
        <v>5</v>
      </c>
      <c r="E20" s="5">
        <f t="shared" ca="1" si="2"/>
        <v>8.5660000000000007E-3</v>
      </c>
      <c r="F20" s="5">
        <f t="shared" ca="1" si="3"/>
        <v>9.8759999999999994E-3</v>
      </c>
      <c r="G20" s="5">
        <f t="shared" ca="1" si="4"/>
        <v>1.1044999999999999E-2</v>
      </c>
      <c r="H20" s="5">
        <f t="shared" ca="1" si="5"/>
        <v>1.1259E-2</v>
      </c>
      <c r="I20" s="5">
        <f t="shared" ca="1" si="6"/>
        <v>1.2643E-2</v>
      </c>
      <c r="J20" s="5">
        <f t="shared" ca="1" si="7"/>
        <v>1.4676E-2</v>
      </c>
      <c r="K20" s="5">
        <f t="shared" ca="1" si="8"/>
        <v>1.7878000000000002E-2</v>
      </c>
      <c r="L20" s="5">
        <f t="shared" ca="1" si="9"/>
        <v>1.9989E-2</v>
      </c>
      <c r="M20" s="5">
        <f t="shared" ca="1" si="10"/>
        <v>2.2034999999999999E-2</v>
      </c>
      <c r="N20" s="5">
        <f t="shared" ca="1" si="11"/>
        <v>2.6134999999999999E-2</v>
      </c>
      <c r="O20" s="5">
        <f t="shared" ca="1" si="12"/>
        <v>2.8823000000000001E-2</v>
      </c>
      <c r="P20" s="8">
        <f t="shared" ca="1" si="13"/>
        <v>1002.9198385062532</v>
      </c>
      <c r="Q20" s="8">
        <f t="shared" ca="1" si="14"/>
        <v>1064.6790437477614</v>
      </c>
      <c r="R20" s="8">
        <f t="shared" ca="1" si="15"/>
        <v>1085.3534054025176</v>
      </c>
      <c r="S20" s="5">
        <f t="shared" ca="1" si="16"/>
        <v>3.1703820894876472E-2</v>
      </c>
      <c r="T20">
        <f t="shared" ca="1" si="17"/>
        <v>5.1250748218132046E-2</v>
      </c>
      <c r="U20" s="5">
        <f t="shared" ca="1" si="18"/>
        <v>5.6449605053401006E-2</v>
      </c>
    </row>
    <row r="21" spans="2:21" x14ac:dyDescent="0.25">
      <c r="B21">
        <f t="shared" si="1"/>
        <v>18</v>
      </c>
      <c r="C21">
        <f t="shared" si="21"/>
        <v>2</v>
      </c>
      <c r="D21">
        <f t="shared" si="22"/>
        <v>6</v>
      </c>
      <c r="E21" s="5">
        <f t="shared" ca="1" si="2"/>
        <v>8.4690000000000008E-3</v>
      </c>
      <c r="F21" s="5">
        <f t="shared" ca="1" si="3"/>
        <v>9.8440000000000003E-3</v>
      </c>
      <c r="G21" s="5">
        <f t="shared" ca="1" si="4"/>
        <v>1.1051E-2</v>
      </c>
      <c r="H21" s="5">
        <f t="shared" ca="1" si="5"/>
        <v>1.1277000000000001E-2</v>
      </c>
      <c r="I21" s="5">
        <f t="shared" ca="1" si="6"/>
        <v>1.256E-2</v>
      </c>
      <c r="J21" s="5">
        <f t="shared" ca="1" si="7"/>
        <v>1.4704E-2</v>
      </c>
      <c r="K21" s="5">
        <f t="shared" ca="1" si="8"/>
        <v>1.7871000000000001E-2</v>
      </c>
      <c r="L21" s="5">
        <f t="shared" ca="1" si="9"/>
        <v>2.0086E-2</v>
      </c>
      <c r="M21" s="5">
        <f t="shared" ca="1" si="10"/>
        <v>2.2030000000000001E-2</v>
      </c>
      <c r="N21" s="5">
        <f t="shared" ca="1" si="11"/>
        <v>2.6098E-2</v>
      </c>
      <c r="O21" s="5">
        <f t="shared" ca="1" si="12"/>
        <v>2.8812000000000001E-2</v>
      </c>
      <c r="P21" s="8">
        <f t="shared" ca="1" si="13"/>
        <v>1005.3855051159284</v>
      </c>
      <c r="Q21" s="8">
        <f t="shared" ca="1" si="14"/>
        <v>1067.4906210570905</v>
      </c>
      <c r="R21" s="8">
        <f t="shared" ca="1" si="15"/>
        <v>1090.0050070576567</v>
      </c>
      <c r="S21" s="5">
        <f t="shared" ca="1" si="16"/>
        <v>2.9904060745336213E-2</v>
      </c>
      <c r="T21">
        <f t="shared" ca="1" si="17"/>
        <v>3.2153633682901514E-2</v>
      </c>
      <c r="U21" s="5">
        <f t="shared" ca="1" si="18"/>
        <v>5.2659311186413767E-2</v>
      </c>
    </row>
    <row r="22" spans="2:21" x14ac:dyDescent="0.25">
      <c r="B22">
        <f t="shared" si="1"/>
        <v>19</v>
      </c>
      <c r="C22">
        <f t="shared" si="21"/>
        <v>2</v>
      </c>
      <c r="D22">
        <f t="shared" si="22"/>
        <v>7</v>
      </c>
      <c r="E22" s="5">
        <f t="shared" ca="1" si="2"/>
        <v>8.4709999999999994E-3</v>
      </c>
      <c r="F22" s="5">
        <f t="shared" ca="1" si="3"/>
        <v>9.9399999999999992E-3</v>
      </c>
      <c r="G22" s="5">
        <f t="shared" ca="1" si="4"/>
        <v>1.1009E-2</v>
      </c>
      <c r="H22" s="5">
        <f t="shared" ca="1" si="5"/>
        <v>1.1363E-2</v>
      </c>
      <c r="I22" s="5">
        <f t="shared" ca="1" si="6"/>
        <v>1.2525E-2</v>
      </c>
      <c r="J22" s="5">
        <f t="shared" ca="1" si="7"/>
        <v>1.4685999999999999E-2</v>
      </c>
      <c r="K22" s="5">
        <f t="shared" ca="1" si="8"/>
        <v>1.7838E-2</v>
      </c>
      <c r="L22" s="5">
        <f t="shared" ca="1" si="9"/>
        <v>2.0086E-2</v>
      </c>
      <c r="M22" s="5">
        <f t="shared" ca="1" si="10"/>
        <v>2.1989999999999999E-2</v>
      </c>
      <c r="N22" s="5">
        <f t="shared" ca="1" si="11"/>
        <v>2.6078E-2</v>
      </c>
      <c r="O22" s="5">
        <f t="shared" ca="1" si="12"/>
        <v>2.8756E-2</v>
      </c>
      <c r="P22" s="8">
        <f t="shared" ca="1" si="13"/>
        <v>1006.832924445028</v>
      </c>
      <c r="Q22" s="8">
        <f t="shared" ca="1" si="14"/>
        <v>1071.1038279826555</v>
      </c>
      <c r="R22" s="8">
        <f t="shared" ca="1" si="15"/>
        <v>1094.5049697797506</v>
      </c>
      <c r="S22" s="5">
        <f t="shared" ca="1" si="16"/>
        <v>1.7413444717424443E-2</v>
      </c>
      <c r="T22">
        <f t="shared" ca="1" si="17"/>
        <v>4.13819380641045E-2</v>
      </c>
      <c r="U22" s="5">
        <f t="shared" ca="1" si="18"/>
        <v>5.0681147266460461E-2</v>
      </c>
    </row>
    <row r="23" spans="2:21" x14ac:dyDescent="0.25">
      <c r="B23">
        <f t="shared" si="1"/>
        <v>20</v>
      </c>
      <c r="C23">
        <f t="shared" si="21"/>
        <v>2</v>
      </c>
      <c r="D23">
        <f t="shared" si="22"/>
        <v>8</v>
      </c>
      <c r="E23" s="5">
        <f t="shared" ca="1" si="2"/>
        <v>8.5210000000000008E-3</v>
      </c>
      <c r="F23" s="5">
        <f t="shared" ca="1" si="3"/>
        <v>9.8700000000000003E-3</v>
      </c>
      <c r="G23" s="5">
        <f t="shared" ca="1" si="4"/>
        <v>1.0928999999999999E-2</v>
      </c>
      <c r="H23" s="5">
        <f t="shared" ca="1" si="5"/>
        <v>1.1264E-2</v>
      </c>
      <c r="I23" s="5">
        <f t="shared" ca="1" si="6"/>
        <v>1.2603E-2</v>
      </c>
      <c r="J23" s="5">
        <f t="shared" ca="1" si="7"/>
        <v>1.4681E-2</v>
      </c>
      <c r="K23" s="5">
        <f t="shared" ca="1" si="8"/>
        <v>1.7835E-2</v>
      </c>
      <c r="L23" s="5">
        <f t="shared" ca="1" si="9"/>
        <v>2.0081999999999999E-2</v>
      </c>
      <c r="M23" s="5">
        <f t="shared" ca="1" si="10"/>
        <v>2.2009000000000001E-2</v>
      </c>
      <c r="N23" s="5">
        <f t="shared" ca="1" si="11"/>
        <v>2.6072999999999999E-2</v>
      </c>
      <c r="O23" s="5">
        <f t="shared" ca="1" si="12"/>
        <v>2.8733999999999999E-2</v>
      </c>
      <c r="P23" s="8">
        <f t="shared" ca="1" si="13"/>
        <v>1003.5513678399624</v>
      </c>
      <c r="Q23" s="8">
        <f t="shared" ca="1" si="14"/>
        <v>1074.3199736475101</v>
      </c>
      <c r="R23" s="8">
        <f t="shared" ca="1" si="15"/>
        <v>1098.7402068800382</v>
      </c>
      <c r="S23" s="5">
        <f t="shared" ca="1" si="16"/>
        <v>-3.8417880879121277E-2</v>
      </c>
      <c r="T23">
        <f t="shared" ca="1" si="17"/>
        <v>3.6632796905040808E-2</v>
      </c>
      <c r="U23" s="5">
        <f t="shared" ca="1" si="18"/>
        <v>4.7435651405541457E-2</v>
      </c>
    </row>
    <row r="24" spans="2:21" x14ac:dyDescent="0.25">
      <c r="B24">
        <f t="shared" si="1"/>
        <v>21</v>
      </c>
      <c r="C24">
        <f t="shared" si="21"/>
        <v>2</v>
      </c>
      <c r="D24">
        <f t="shared" si="22"/>
        <v>9</v>
      </c>
      <c r="E24" s="5">
        <f t="shared" ca="1" si="2"/>
        <v>8.5819999999999994E-3</v>
      </c>
      <c r="F24" s="5">
        <f t="shared" ca="1" si="3"/>
        <v>9.7929999999999996E-3</v>
      </c>
      <c r="G24" s="5">
        <f t="shared" ca="1" si="4"/>
        <v>1.0911000000000001E-2</v>
      </c>
      <c r="H24" s="5">
        <f t="shared" ca="1" si="5"/>
        <v>1.1301E-2</v>
      </c>
      <c r="I24" s="5">
        <f t="shared" ca="1" si="6"/>
        <v>1.2531E-2</v>
      </c>
      <c r="J24" s="5">
        <f t="shared" ca="1" si="7"/>
        <v>1.4647E-2</v>
      </c>
      <c r="K24" s="5">
        <f t="shared" ca="1" si="8"/>
        <v>1.7815000000000001E-2</v>
      </c>
      <c r="L24" s="5">
        <f t="shared" ca="1" si="9"/>
        <v>2.0108999999999998E-2</v>
      </c>
      <c r="M24" s="5">
        <f t="shared" ca="1" si="10"/>
        <v>2.2001E-2</v>
      </c>
      <c r="N24" s="5">
        <f t="shared" ca="1" si="11"/>
        <v>2.6053E-2</v>
      </c>
      <c r="O24" s="5">
        <f t="shared" ca="1" si="12"/>
        <v>2.8680000000000001E-2</v>
      </c>
      <c r="P24" s="8">
        <f t="shared" ca="1" si="13"/>
        <v>1000.0578470567411</v>
      </c>
      <c r="Q24" s="8">
        <f t="shared" ca="1" si="14"/>
        <v>1078.902660272752</v>
      </c>
      <c r="R24" s="8">
        <f t="shared" ca="1" si="15"/>
        <v>1102.8161081325652</v>
      </c>
      <c r="S24" s="5">
        <f t="shared" ca="1" si="16"/>
        <v>-4.0983285234517185E-2</v>
      </c>
      <c r="T24">
        <f t="shared" ca="1" si="17"/>
        <v>5.2406121058602109E-2</v>
      </c>
      <c r="U24" s="5">
        <f t="shared" ca="1" si="18"/>
        <v>4.5434925512863433E-2</v>
      </c>
    </row>
    <row r="25" spans="2:21" x14ac:dyDescent="0.25">
      <c r="B25">
        <f t="shared" si="1"/>
        <v>22</v>
      </c>
      <c r="C25">
        <f t="shared" si="21"/>
        <v>2</v>
      </c>
      <c r="D25">
        <f t="shared" si="22"/>
        <v>10</v>
      </c>
      <c r="E25" s="5">
        <f t="shared" ca="1" si="2"/>
        <v>8.5649999999999997E-3</v>
      </c>
      <c r="F25" s="5">
        <f t="shared" ca="1" si="3"/>
        <v>9.8639999999999995E-3</v>
      </c>
      <c r="G25" s="5">
        <f t="shared" ca="1" si="4"/>
        <v>1.093E-2</v>
      </c>
      <c r="H25" s="5">
        <f t="shared" ca="1" si="5"/>
        <v>1.1299E-2</v>
      </c>
      <c r="I25" s="5">
        <f t="shared" ca="1" si="6"/>
        <v>1.2458E-2</v>
      </c>
      <c r="J25" s="5">
        <f t="shared" ca="1" si="7"/>
        <v>1.473E-2</v>
      </c>
      <c r="K25" s="5">
        <f t="shared" ca="1" si="8"/>
        <v>1.7777999999999999E-2</v>
      </c>
      <c r="L25" s="5">
        <f t="shared" ca="1" si="9"/>
        <v>2.0114E-2</v>
      </c>
      <c r="M25" s="5">
        <f t="shared" ca="1" si="10"/>
        <v>2.1940999999999999E-2</v>
      </c>
      <c r="N25" s="5">
        <f t="shared" ca="1" si="11"/>
        <v>2.6085000000000001E-2</v>
      </c>
      <c r="O25" s="5">
        <f t="shared" ca="1" si="12"/>
        <v>2.8733000000000002E-2</v>
      </c>
      <c r="P25" s="8">
        <f t="shared" ca="1" si="13"/>
        <v>998.16816472998585</v>
      </c>
      <c r="Q25" s="8">
        <f t="shared" ca="1" si="14"/>
        <v>1083.6229545119568</v>
      </c>
      <c r="R25" s="8">
        <f t="shared" ca="1" si="15"/>
        <v>1107.2376502175835</v>
      </c>
      <c r="S25" s="5">
        <f t="shared" ca="1" si="16"/>
        <v>-2.2440702138377795E-2</v>
      </c>
      <c r="T25">
        <f t="shared" ca="1" si="17"/>
        <v>5.3782996507423388E-2</v>
      </c>
      <c r="U25" s="5">
        <f t="shared" ca="1" si="18"/>
        <v>4.9187067320931817E-2</v>
      </c>
    </row>
    <row r="26" spans="2:21" x14ac:dyDescent="0.25">
      <c r="B26">
        <f t="shared" si="1"/>
        <v>23</v>
      </c>
      <c r="C26">
        <f t="shared" si="21"/>
        <v>2</v>
      </c>
      <c r="D26">
        <f t="shared" si="22"/>
        <v>11</v>
      </c>
      <c r="E26" s="5">
        <f t="shared" ca="1" si="2"/>
        <v>8.5019999999999991E-3</v>
      </c>
      <c r="F26" s="5">
        <f t="shared" ca="1" si="3"/>
        <v>9.9389999999999999E-3</v>
      </c>
      <c r="G26" s="5">
        <f t="shared" ca="1" si="4"/>
        <v>1.0888999999999999E-2</v>
      </c>
      <c r="H26" s="5">
        <f t="shared" ca="1" si="5"/>
        <v>1.1398999999999999E-2</v>
      </c>
      <c r="I26" s="5">
        <f t="shared" ca="1" si="6"/>
        <v>1.2486000000000001E-2</v>
      </c>
      <c r="J26" s="5">
        <f t="shared" ca="1" si="7"/>
        <v>1.4803999999999999E-2</v>
      </c>
      <c r="K26" s="5">
        <f t="shared" ca="1" si="8"/>
        <v>1.7763000000000001E-2</v>
      </c>
      <c r="L26" s="5">
        <f t="shared" ca="1" si="9"/>
        <v>2.0150999999999999E-2</v>
      </c>
      <c r="M26" s="5">
        <f t="shared" ca="1" si="10"/>
        <v>2.1939E-2</v>
      </c>
      <c r="N26" s="5">
        <f t="shared" ca="1" si="11"/>
        <v>2.6046E-2</v>
      </c>
      <c r="O26" s="5">
        <f t="shared" ca="1" si="12"/>
        <v>2.8792000000000002E-2</v>
      </c>
      <c r="P26" s="8">
        <f t="shared" ca="1" si="13"/>
        <v>1000.0395413063884</v>
      </c>
      <c r="Q26" s="8">
        <f t="shared" ca="1" si="14"/>
        <v>1089.0472691824898</v>
      </c>
      <c r="R26" s="8">
        <f t="shared" ca="1" si="15"/>
        <v>1111.4182810569309</v>
      </c>
      <c r="S26" s="5">
        <f t="shared" ca="1" si="16"/>
        <v>2.2731171399983919E-2</v>
      </c>
      <c r="T26">
        <f t="shared" ca="1" si="17"/>
        <v>6.175034356679928E-2</v>
      </c>
      <c r="U26" s="5">
        <f t="shared" ca="1" si="18"/>
        <v>4.6261613084092719E-2</v>
      </c>
    </row>
    <row r="27" spans="2:21" x14ac:dyDescent="0.25">
      <c r="B27">
        <f t="shared" si="1"/>
        <v>24</v>
      </c>
      <c r="C27">
        <f t="shared" si="21"/>
        <v>2</v>
      </c>
      <c r="D27">
        <f t="shared" si="22"/>
        <v>12</v>
      </c>
      <c r="E27" s="5">
        <f t="shared" ca="1" si="2"/>
        <v>8.4700000000000001E-3</v>
      </c>
      <c r="F27" s="5">
        <f t="shared" ca="1" si="3"/>
        <v>9.9349999999999994E-3</v>
      </c>
      <c r="G27" s="5">
        <f t="shared" ca="1" si="4"/>
        <v>1.0944000000000001E-2</v>
      </c>
      <c r="H27" s="5">
        <f t="shared" ca="1" si="5"/>
        <v>1.1447000000000001E-2</v>
      </c>
      <c r="I27" s="5">
        <f t="shared" ca="1" si="6"/>
        <v>1.2507000000000001E-2</v>
      </c>
      <c r="J27" s="5">
        <f t="shared" ca="1" si="7"/>
        <v>1.4735E-2</v>
      </c>
      <c r="K27" s="5">
        <f t="shared" ca="1" si="8"/>
        <v>1.7690999999999998E-2</v>
      </c>
      <c r="L27" s="5">
        <f t="shared" ca="1" si="9"/>
        <v>2.0208E-2</v>
      </c>
      <c r="M27" s="5">
        <f t="shared" ca="1" si="10"/>
        <v>2.2010999999999999E-2</v>
      </c>
      <c r="N27" s="5">
        <f t="shared" ca="1" si="11"/>
        <v>2.6086999999999999E-2</v>
      </c>
      <c r="O27" s="5">
        <f t="shared" ca="1" si="12"/>
        <v>2.8702999999999999E-2</v>
      </c>
      <c r="P27" s="8">
        <f t="shared" ca="1" si="13"/>
        <v>1003.8533740620516</v>
      </c>
      <c r="Q27" s="8">
        <f t="shared" ca="1" si="14"/>
        <v>1094.038021474882</v>
      </c>
      <c r="R27" s="8">
        <f t="shared" ca="1" si="15"/>
        <v>1115.9229836847737</v>
      </c>
      <c r="S27" s="5">
        <f t="shared" ca="1" si="16"/>
        <v>4.6736406772403136E-2</v>
      </c>
      <c r="T27">
        <f t="shared" ca="1" si="17"/>
        <v>5.6399582974134811E-2</v>
      </c>
      <c r="U27" s="5">
        <f t="shared" ca="1" si="18"/>
        <v>4.9736354486236166E-2</v>
      </c>
    </row>
    <row r="28" spans="2:21" x14ac:dyDescent="0.25">
      <c r="B28">
        <f t="shared" si="1"/>
        <v>25</v>
      </c>
      <c r="C28">
        <f>C27+1</f>
        <v>3</v>
      </c>
      <c r="D28">
        <v>1</v>
      </c>
      <c r="E28" s="5">
        <f t="shared" ca="1" si="2"/>
        <v>8.5570000000000004E-3</v>
      </c>
      <c r="F28" s="5">
        <f t="shared" ca="1" si="3"/>
        <v>9.9419999999999994E-3</v>
      </c>
      <c r="G28" s="5">
        <f t="shared" ca="1" si="4"/>
        <v>1.0880000000000001E-2</v>
      </c>
      <c r="H28" s="5">
        <f t="shared" ca="1" si="5"/>
        <v>1.1393E-2</v>
      </c>
      <c r="I28" s="5">
        <f t="shared" ca="1" si="6"/>
        <v>1.2508999999999999E-2</v>
      </c>
      <c r="J28" s="5">
        <f t="shared" ca="1" si="7"/>
        <v>1.4774000000000001E-2</v>
      </c>
      <c r="K28" s="5">
        <f t="shared" ca="1" si="8"/>
        <v>1.7725999999999999E-2</v>
      </c>
      <c r="L28" s="5">
        <f t="shared" ca="1" si="9"/>
        <v>2.0136999999999999E-2</v>
      </c>
      <c r="M28" s="5">
        <f t="shared" ca="1" si="10"/>
        <v>2.2012E-2</v>
      </c>
      <c r="N28" s="5">
        <f t="shared" ca="1" si="11"/>
        <v>2.6008E-2</v>
      </c>
      <c r="O28" s="5">
        <f t="shared" ca="1" si="12"/>
        <v>2.8617E-2</v>
      </c>
      <c r="P28" s="8">
        <f t="shared" ca="1" si="13"/>
        <v>1003.1608007593079</v>
      </c>
      <c r="Q28" s="8">
        <f t="shared" ca="1" si="14"/>
        <v>1100.0452398321122</v>
      </c>
      <c r="R28" s="8">
        <f t="shared" ca="1" si="15"/>
        <v>1120.3728570304293</v>
      </c>
      <c r="S28" s="5">
        <f t="shared" ca="1" si="16"/>
        <v>-8.2476349277025556E-3</v>
      </c>
      <c r="T28">
        <f t="shared" ca="1" si="17"/>
        <v>6.7917166021699366E-2</v>
      </c>
      <c r="U28" s="5">
        <f t="shared" ca="1" si="18"/>
        <v>4.8914950207153363E-2</v>
      </c>
    </row>
    <row r="29" spans="2:21" x14ac:dyDescent="0.25">
      <c r="B29">
        <f t="shared" si="1"/>
        <v>26</v>
      </c>
      <c r="C29">
        <f>C28</f>
        <v>3</v>
      </c>
      <c r="D29">
        <v>2</v>
      </c>
      <c r="E29" s="5">
        <f t="shared" ca="1" si="2"/>
        <v>8.5249999999999996E-3</v>
      </c>
      <c r="F29" s="5">
        <f t="shared" ca="1" si="3"/>
        <v>9.9559999999999996E-3</v>
      </c>
      <c r="G29" s="5">
        <f t="shared" ca="1" si="4"/>
        <v>1.0840000000000001E-2</v>
      </c>
      <c r="H29" s="5">
        <f t="shared" ca="1" si="5"/>
        <v>1.1421000000000001E-2</v>
      </c>
      <c r="I29" s="5">
        <f t="shared" ca="1" si="6"/>
        <v>1.2487E-2</v>
      </c>
      <c r="J29" s="5">
        <f t="shared" ca="1" si="7"/>
        <v>1.4744E-2</v>
      </c>
      <c r="K29" s="5">
        <f t="shared" ca="1" si="8"/>
        <v>1.7652999999999999E-2</v>
      </c>
      <c r="L29" s="5">
        <f t="shared" ca="1" si="9"/>
        <v>2.0212000000000001E-2</v>
      </c>
      <c r="M29" s="5">
        <f t="shared" ca="1" si="10"/>
        <v>2.1951999999999999E-2</v>
      </c>
      <c r="N29" s="5">
        <f t="shared" ca="1" si="11"/>
        <v>2.5957000000000001E-2</v>
      </c>
      <c r="O29" s="5">
        <f t="shared" ca="1" si="12"/>
        <v>2.8537E-2</v>
      </c>
      <c r="P29" s="8">
        <f t="shared" ca="1" si="13"/>
        <v>1002.8529469677707</v>
      </c>
      <c r="Q29" s="8">
        <f t="shared" ca="1" si="14"/>
        <v>1103.2958438983619</v>
      </c>
      <c r="R29" s="8">
        <f t="shared" ca="1" si="15"/>
        <v>1124.9300758878571</v>
      </c>
      <c r="S29" s="5">
        <f t="shared" ca="1" si="16"/>
        <v>-3.6763961443789946E-3</v>
      </c>
      <c r="T29">
        <f t="shared" ca="1" si="17"/>
        <v>3.6041694516774705E-2</v>
      </c>
      <c r="U29" s="5">
        <f t="shared" ca="1" si="18"/>
        <v>4.9918027296716051E-2</v>
      </c>
    </row>
    <row r="30" spans="2:21" x14ac:dyDescent="0.25">
      <c r="B30">
        <f t="shared" si="1"/>
        <v>27</v>
      </c>
      <c r="C30">
        <f t="shared" ref="C30:C39" si="23">C29</f>
        <v>3</v>
      </c>
      <c r="D30">
        <v>3</v>
      </c>
      <c r="E30" s="5">
        <f t="shared" ca="1" si="2"/>
        <v>8.6119999999999999E-3</v>
      </c>
      <c r="F30" s="5">
        <f t="shared" ca="1" si="3"/>
        <v>9.9010000000000001E-3</v>
      </c>
      <c r="G30" s="5">
        <f t="shared" ca="1" si="4"/>
        <v>1.0782E-2</v>
      </c>
      <c r="H30" s="5">
        <f t="shared" ca="1" si="5"/>
        <v>1.1435000000000001E-2</v>
      </c>
      <c r="I30" s="5">
        <f t="shared" ca="1" si="6"/>
        <v>1.2558E-2</v>
      </c>
      <c r="J30" s="5">
        <f t="shared" ca="1" si="7"/>
        <v>1.4663000000000001E-2</v>
      </c>
      <c r="K30" s="5">
        <f t="shared" ca="1" si="8"/>
        <v>1.7665E-2</v>
      </c>
      <c r="L30" s="5">
        <f t="shared" ca="1" si="9"/>
        <v>2.0138E-2</v>
      </c>
      <c r="M30" s="5">
        <f t="shared" ca="1" si="10"/>
        <v>2.2048999999999999E-2</v>
      </c>
      <c r="N30" s="5">
        <f t="shared" ca="1" si="11"/>
        <v>2.6058000000000001E-2</v>
      </c>
      <c r="O30" s="5">
        <f t="shared" ca="1" si="12"/>
        <v>2.8552999999999999E-2</v>
      </c>
      <c r="P30" s="8">
        <f t="shared" ca="1" si="13"/>
        <v>1006.5510030314712</v>
      </c>
      <c r="Q30" s="8">
        <f t="shared" ca="1" si="14"/>
        <v>1107.2044159900311</v>
      </c>
      <c r="R30" s="8">
        <f t="shared" ca="1" si="15"/>
        <v>1129.7883990382036</v>
      </c>
      <c r="S30" s="5">
        <f t="shared" ca="1" si="16"/>
        <v>4.5159014826161865E-2</v>
      </c>
      <c r="T30">
        <f t="shared" ca="1" si="17"/>
        <v>4.3349770255778991E-2</v>
      </c>
      <c r="U30" s="5">
        <f t="shared" ca="1" si="18"/>
        <v>5.307425150182736E-2</v>
      </c>
    </row>
    <row r="31" spans="2:21" x14ac:dyDescent="0.25">
      <c r="B31">
        <f t="shared" si="1"/>
        <v>28</v>
      </c>
      <c r="C31">
        <f t="shared" si="23"/>
        <v>3</v>
      </c>
      <c r="D31">
        <f>D30+1</f>
        <v>4</v>
      </c>
      <c r="E31" s="5">
        <f t="shared" ca="1" si="2"/>
        <v>8.6239999999999997E-3</v>
      </c>
      <c r="F31" s="5">
        <f t="shared" ca="1" si="3"/>
        <v>9.9869999999999994E-3</v>
      </c>
      <c r="G31" s="5">
        <f t="shared" ca="1" si="4"/>
        <v>1.0692999999999999E-2</v>
      </c>
      <c r="H31" s="5">
        <f t="shared" ca="1" si="5"/>
        <v>1.1462999999999999E-2</v>
      </c>
      <c r="I31" s="5">
        <f t="shared" ca="1" si="6"/>
        <v>1.2630000000000001E-2</v>
      </c>
      <c r="J31" s="5">
        <f t="shared" ca="1" si="7"/>
        <v>1.4751E-2</v>
      </c>
      <c r="K31" s="5">
        <f t="shared" ca="1" si="8"/>
        <v>1.7711999999999999E-2</v>
      </c>
      <c r="L31" s="5">
        <f t="shared" ca="1" si="9"/>
        <v>2.0062E-2</v>
      </c>
      <c r="M31" s="5">
        <f t="shared" ca="1" si="10"/>
        <v>2.2006000000000001E-2</v>
      </c>
      <c r="N31" s="5">
        <f t="shared" ca="1" si="11"/>
        <v>2.6058999999999999E-2</v>
      </c>
      <c r="O31" s="5">
        <f t="shared" ca="1" si="12"/>
        <v>2.8465000000000001E-2</v>
      </c>
      <c r="P31" s="8">
        <f t="shared" ca="1" si="13"/>
        <v>1009.8557358098461</v>
      </c>
      <c r="Q31" s="8">
        <f t="shared" ca="1" si="14"/>
        <v>1112.7306138164272</v>
      </c>
      <c r="R31" s="8">
        <f t="shared" ca="1" si="15"/>
        <v>1134.4993203196173</v>
      </c>
      <c r="S31" s="5">
        <f t="shared" ca="1" si="16"/>
        <v>4.0117987495242924E-2</v>
      </c>
      <c r="T31">
        <f t="shared" ca="1" si="17"/>
        <v>6.1565336194203318E-2</v>
      </c>
      <c r="U31" s="5">
        <f t="shared" ca="1" si="18"/>
        <v>5.1200475641682446E-2</v>
      </c>
    </row>
    <row r="32" spans="2:21" x14ac:dyDescent="0.25">
      <c r="B32">
        <f t="shared" si="1"/>
        <v>29</v>
      </c>
      <c r="C32">
        <f t="shared" si="23"/>
        <v>3</v>
      </c>
      <c r="D32">
        <f t="shared" ref="D32:D39" si="24">D31+1</f>
        <v>5</v>
      </c>
      <c r="E32" s="5">
        <f t="shared" ca="1" si="2"/>
        <v>8.5719999999999998E-3</v>
      </c>
      <c r="F32" s="5">
        <f t="shared" ca="1" si="3"/>
        <v>9.9579999999999998E-3</v>
      </c>
      <c r="G32" s="5">
        <f t="shared" ca="1" si="4"/>
        <v>1.0611000000000001E-2</v>
      </c>
      <c r="H32" s="5">
        <f t="shared" ca="1" si="5"/>
        <v>1.1537E-2</v>
      </c>
      <c r="I32" s="5">
        <f t="shared" ca="1" si="6"/>
        <v>1.257E-2</v>
      </c>
      <c r="J32" s="5">
        <f t="shared" ca="1" si="7"/>
        <v>1.469E-2</v>
      </c>
      <c r="K32" s="5">
        <f t="shared" ca="1" si="8"/>
        <v>1.7708000000000002E-2</v>
      </c>
      <c r="L32" s="5">
        <f t="shared" ca="1" si="9"/>
        <v>2.009E-2</v>
      </c>
      <c r="M32" s="5">
        <f t="shared" ca="1" si="10"/>
        <v>2.2076999999999999E-2</v>
      </c>
      <c r="N32" s="5">
        <f t="shared" ca="1" si="11"/>
        <v>2.6112E-2</v>
      </c>
      <c r="O32" s="5">
        <f t="shared" ca="1" si="12"/>
        <v>2.8544E-2</v>
      </c>
      <c r="P32" s="8">
        <f t="shared" ca="1" si="13"/>
        <v>1012.8954440812482</v>
      </c>
      <c r="Q32" s="8">
        <f t="shared" ca="1" si="14"/>
        <v>1116.0148891782521</v>
      </c>
      <c r="R32" s="8">
        <f t="shared" ca="1" si="15"/>
        <v>1138.911486742885</v>
      </c>
      <c r="S32" s="5">
        <f t="shared" ca="1" si="16"/>
        <v>3.6724529106106275E-2</v>
      </c>
      <c r="T32">
        <f t="shared" ca="1" si="17"/>
        <v>3.5999211154471182E-2</v>
      </c>
      <c r="U32" s="5">
        <f t="shared" ca="1" si="18"/>
        <v>4.7680347240501408E-2</v>
      </c>
    </row>
    <row r="33" spans="2:21" x14ac:dyDescent="0.25">
      <c r="B33">
        <f t="shared" si="1"/>
        <v>30</v>
      </c>
      <c r="C33">
        <f t="shared" si="23"/>
        <v>3</v>
      </c>
      <c r="D33">
        <f t="shared" si="24"/>
        <v>6</v>
      </c>
      <c r="E33" s="5">
        <f t="shared" ca="1" si="2"/>
        <v>8.6669999999999994E-3</v>
      </c>
      <c r="F33" s="5">
        <f t="shared" ca="1" si="3"/>
        <v>1.0042000000000001E-2</v>
      </c>
      <c r="G33" s="5">
        <f t="shared" ca="1" si="4"/>
        <v>1.0638999999999999E-2</v>
      </c>
      <c r="H33" s="5">
        <f t="shared" ca="1" si="5"/>
        <v>1.1616E-2</v>
      </c>
      <c r="I33" s="5">
        <f t="shared" ca="1" si="6"/>
        <v>1.2567E-2</v>
      </c>
      <c r="J33" s="5">
        <f t="shared" ca="1" si="7"/>
        <v>1.4692E-2</v>
      </c>
      <c r="K33" s="5">
        <f t="shared" ca="1" si="8"/>
        <v>1.7760000000000001E-2</v>
      </c>
      <c r="L33" s="5">
        <f t="shared" ca="1" si="9"/>
        <v>2.0163E-2</v>
      </c>
      <c r="M33" s="5">
        <f t="shared" ca="1" si="10"/>
        <v>2.2102E-2</v>
      </c>
      <c r="N33" s="5">
        <f t="shared" ca="1" si="11"/>
        <v>2.6154E-2</v>
      </c>
      <c r="O33" s="5">
        <f t="shared" ca="1" si="12"/>
        <v>2.8627E-2</v>
      </c>
      <c r="P33" s="8">
        <f t="shared" ca="1" si="13"/>
        <v>1016.378942055888</v>
      </c>
      <c r="Q33" s="8">
        <f t="shared" ca="1" si="14"/>
        <v>1121.447135507535</v>
      </c>
      <c r="R33" s="8">
        <f t="shared" ca="1" si="15"/>
        <v>1143.5300311781648</v>
      </c>
      <c r="S33" s="5">
        <f t="shared" ca="1" si="16"/>
        <v>4.2059433217644181E-2</v>
      </c>
      <c r="T33">
        <f t="shared" ca="1" si="17"/>
        <v>5.9999857362922605E-2</v>
      </c>
      <c r="U33" s="5">
        <f t="shared" ca="1" si="18"/>
        <v>4.9762889238085334E-2</v>
      </c>
    </row>
    <row r="34" spans="2:21" x14ac:dyDescent="0.25">
      <c r="B34">
        <f t="shared" si="1"/>
        <v>31</v>
      </c>
      <c r="C34">
        <f t="shared" si="23"/>
        <v>3</v>
      </c>
      <c r="D34">
        <f t="shared" si="24"/>
        <v>7</v>
      </c>
      <c r="E34" s="5">
        <f t="shared" ca="1" si="2"/>
        <v>8.711E-3</v>
      </c>
      <c r="F34" s="5">
        <f t="shared" ca="1" si="3"/>
        <v>1.0137999999999999E-2</v>
      </c>
      <c r="G34" s="5">
        <f t="shared" ca="1" si="4"/>
        <v>1.0707E-2</v>
      </c>
      <c r="H34" s="5">
        <f t="shared" ca="1" si="5"/>
        <v>1.1709000000000001E-2</v>
      </c>
      <c r="I34" s="5">
        <f t="shared" ca="1" si="6"/>
        <v>1.259E-2</v>
      </c>
      <c r="J34" s="5">
        <f t="shared" ca="1" si="7"/>
        <v>1.4619999999999999E-2</v>
      </c>
      <c r="K34" s="5">
        <f t="shared" ca="1" si="8"/>
        <v>1.7831E-2</v>
      </c>
      <c r="L34" s="5">
        <f t="shared" ca="1" si="9"/>
        <v>2.0129000000000001E-2</v>
      </c>
      <c r="M34" s="5">
        <f t="shared" ca="1" si="10"/>
        <v>2.2048000000000002E-2</v>
      </c>
      <c r="N34" s="5">
        <f t="shared" ca="1" si="11"/>
        <v>2.6106000000000001E-2</v>
      </c>
      <c r="O34" s="5">
        <f t="shared" ca="1" si="12"/>
        <v>2.8539999999999999E-2</v>
      </c>
      <c r="P34" s="8">
        <f t="shared" ca="1" si="13"/>
        <v>1015.9242916716113</v>
      </c>
      <c r="Q34" s="8">
        <f t="shared" ca="1" si="14"/>
        <v>1124.8964475864857</v>
      </c>
      <c r="R34" s="8">
        <f t="shared" ca="1" si="15"/>
        <v>1148.2956092684776</v>
      </c>
      <c r="S34" s="5">
        <f t="shared" ca="1" si="16"/>
        <v>-5.3546975165695487E-3</v>
      </c>
      <c r="T34">
        <f t="shared" ca="1" si="17"/>
        <v>3.754005464840824E-2</v>
      </c>
      <c r="U34" s="5">
        <f t="shared" ca="1" si="18"/>
        <v>5.1171450718138653E-2</v>
      </c>
    </row>
    <row r="35" spans="2:21" x14ac:dyDescent="0.25">
      <c r="B35">
        <f t="shared" si="1"/>
        <v>32</v>
      </c>
      <c r="C35">
        <f t="shared" si="23"/>
        <v>3</v>
      </c>
      <c r="D35">
        <f t="shared" si="24"/>
        <v>8</v>
      </c>
      <c r="E35" s="5">
        <f t="shared" ca="1" si="2"/>
        <v>8.6759999999999997E-3</v>
      </c>
      <c r="F35" s="5">
        <f t="shared" ca="1" si="3"/>
        <v>1.0057999999999999E-2</v>
      </c>
      <c r="G35" s="5">
        <f t="shared" ca="1" si="4"/>
        <v>1.0626E-2</v>
      </c>
      <c r="H35" s="5">
        <f t="shared" ca="1" si="5"/>
        <v>1.1776999999999999E-2</v>
      </c>
      <c r="I35" s="5">
        <f t="shared" ca="1" si="6"/>
        <v>1.2540000000000001E-2</v>
      </c>
      <c r="J35" s="5">
        <f t="shared" ca="1" si="7"/>
        <v>1.4559000000000001E-2</v>
      </c>
      <c r="K35" s="5">
        <f t="shared" ca="1" si="8"/>
        <v>1.7746000000000001E-2</v>
      </c>
      <c r="L35" s="5">
        <f t="shared" ca="1" si="9"/>
        <v>2.0102999999999999E-2</v>
      </c>
      <c r="M35" s="5">
        <f t="shared" ca="1" si="10"/>
        <v>2.2110999999999999E-2</v>
      </c>
      <c r="N35" s="5">
        <f t="shared" ca="1" si="11"/>
        <v>2.6189E-2</v>
      </c>
      <c r="O35" s="5">
        <f t="shared" ca="1" si="12"/>
        <v>2.8507000000000001E-2</v>
      </c>
      <c r="P35" s="8">
        <f t="shared" ca="1" si="13"/>
        <v>1016.7197729644245</v>
      </c>
      <c r="Q35" s="8">
        <f t="shared" ca="1" si="14"/>
        <v>1130.8756699141541</v>
      </c>
      <c r="R35" s="8">
        <f t="shared" ca="1" si="15"/>
        <v>1153.3763065723488</v>
      </c>
      <c r="S35" s="5">
        <f t="shared" ca="1" si="16"/>
        <v>9.436719459487701E-3</v>
      </c>
      <c r="T35">
        <f t="shared" ca="1" si="17"/>
        <v>6.5682376436696166E-2</v>
      </c>
      <c r="U35" s="5">
        <f t="shared" ca="1" si="18"/>
        <v>5.4405970845588889E-2</v>
      </c>
    </row>
    <row r="36" spans="2:21" x14ac:dyDescent="0.25">
      <c r="B36">
        <f t="shared" si="1"/>
        <v>33</v>
      </c>
      <c r="C36">
        <f t="shared" si="23"/>
        <v>3</v>
      </c>
      <c r="D36">
        <f t="shared" si="24"/>
        <v>9</v>
      </c>
      <c r="E36" s="5">
        <f t="shared" ca="1" si="2"/>
        <v>8.6510000000000007E-3</v>
      </c>
      <c r="F36" s="5">
        <f t="shared" ca="1" si="3"/>
        <v>1.0029E-2</v>
      </c>
      <c r="G36" s="5">
        <f t="shared" ca="1" si="4"/>
        <v>1.0723999999999999E-2</v>
      </c>
      <c r="H36" s="5">
        <f t="shared" ca="1" si="5"/>
        <v>1.1852E-2</v>
      </c>
      <c r="I36" s="5">
        <f t="shared" ca="1" si="6"/>
        <v>1.2545000000000001E-2</v>
      </c>
      <c r="J36" s="5">
        <f t="shared" ca="1" si="7"/>
        <v>1.4659E-2</v>
      </c>
      <c r="K36" s="5">
        <f t="shared" ca="1" si="8"/>
        <v>1.7749999999999998E-2</v>
      </c>
      <c r="L36" s="5">
        <f t="shared" ca="1" si="9"/>
        <v>2.0028000000000001E-2</v>
      </c>
      <c r="M36" s="5">
        <f t="shared" ca="1" si="10"/>
        <v>2.2032E-2</v>
      </c>
      <c r="N36" s="5">
        <f t="shared" ca="1" si="11"/>
        <v>2.6107999999999999E-2</v>
      </c>
      <c r="O36" s="5">
        <f t="shared" ca="1" si="12"/>
        <v>2.8556999999999999E-2</v>
      </c>
      <c r="P36" s="8">
        <f t="shared" ca="1" si="13"/>
        <v>1013.0573589826798</v>
      </c>
      <c r="Q36" s="8">
        <f t="shared" ca="1" si="14"/>
        <v>1135.0211863236989</v>
      </c>
      <c r="R36" s="8">
        <f t="shared" ca="1" si="15"/>
        <v>1158.7132634251429</v>
      </c>
      <c r="S36" s="5">
        <f t="shared" ca="1" si="16"/>
        <v>-4.2380035894006657E-2</v>
      </c>
      <c r="T36">
        <f t="shared" ca="1" si="17"/>
        <v>4.4886915253277322E-2</v>
      </c>
      <c r="U36" s="5">
        <f t="shared" ca="1" si="18"/>
        <v>5.6962140489670181E-2</v>
      </c>
    </row>
    <row r="37" spans="2:21" x14ac:dyDescent="0.25">
      <c r="B37">
        <f t="shared" si="1"/>
        <v>34</v>
      </c>
      <c r="C37">
        <f t="shared" si="23"/>
        <v>3</v>
      </c>
      <c r="D37">
        <f t="shared" si="24"/>
        <v>10</v>
      </c>
      <c r="E37" s="5">
        <f t="shared" ca="1" si="2"/>
        <v>8.7150000000000005E-3</v>
      </c>
      <c r="F37" s="5">
        <f t="shared" ca="1" si="3"/>
        <v>9.9659999999999992E-3</v>
      </c>
      <c r="G37" s="5">
        <f t="shared" ca="1" si="4"/>
        <v>1.0765E-2</v>
      </c>
      <c r="H37" s="5">
        <f t="shared" ca="1" si="5"/>
        <v>1.183E-2</v>
      </c>
      <c r="I37" s="5">
        <f t="shared" ca="1" si="6"/>
        <v>1.2493000000000001E-2</v>
      </c>
      <c r="J37" s="5">
        <f t="shared" ca="1" si="7"/>
        <v>1.4615E-2</v>
      </c>
      <c r="K37" s="5">
        <f t="shared" ca="1" si="8"/>
        <v>1.7777999999999999E-2</v>
      </c>
      <c r="L37" s="5">
        <f t="shared" ca="1" si="9"/>
        <v>2.0077999999999999E-2</v>
      </c>
      <c r="M37" s="5">
        <f t="shared" ca="1" si="10"/>
        <v>2.2110000000000001E-2</v>
      </c>
      <c r="N37" s="5">
        <f t="shared" ca="1" si="11"/>
        <v>2.6164E-2</v>
      </c>
      <c r="O37" s="5">
        <f t="shared" ca="1" si="12"/>
        <v>2.8469999999999999E-2</v>
      </c>
      <c r="P37" s="8">
        <f t="shared" ca="1" si="13"/>
        <v>1010.7345062544027</v>
      </c>
      <c r="Q37" s="8">
        <f t="shared" ca="1" si="14"/>
        <v>1139.7642002765249</v>
      </c>
      <c r="R37" s="8">
        <f t="shared" ca="1" si="15"/>
        <v>1163.7890260272632</v>
      </c>
      <c r="S37" s="5">
        <f t="shared" ca="1" si="16"/>
        <v>-2.7170606667175218E-2</v>
      </c>
      <c r="T37">
        <f t="shared" ca="1" si="17"/>
        <v>5.1314182873164964E-2</v>
      </c>
      <c r="U37" s="5">
        <f t="shared" ca="1" si="18"/>
        <v>5.3851343573693304E-2</v>
      </c>
    </row>
    <row r="38" spans="2:21" x14ac:dyDescent="0.25">
      <c r="B38">
        <f t="shared" si="1"/>
        <v>35</v>
      </c>
      <c r="C38">
        <f t="shared" si="23"/>
        <v>3</v>
      </c>
      <c r="D38">
        <f t="shared" si="24"/>
        <v>11</v>
      </c>
      <c r="E38" s="5">
        <f t="shared" ca="1" si="2"/>
        <v>8.6689999999999996E-3</v>
      </c>
      <c r="F38" s="5">
        <f t="shared" ca="1" si="3"/>
        <v>9.8960000000000003E-3</v>
      </c>
      <c r="G38" s="5">
        <f t="shared" ca="1" si="4"/>
        <v>1.0822999999999999E-2</v>
      </c>
      <c r="H38" s="5">
        <f t="shared" ca="1" si="5"/>
        <v>1.184E-2</v>
      </c>
      <c r="I38" s="5">
        <f t="shared" ca="1" si="6"/>
        <v>1.2493000000000001E-2</v>
      </c>
      <c r="J38" s="5">
        <f t="shared" ca="1" si="7"/>
        <v>1.47E-2</v>
      </c>
      <c r="K38" s="5">
        <f t="shared" ca="1" si="8"/>
        <v>1.7722000000000002E-2</v>
      </c>
      <c r="L38" s="5">
        <f t="shared" ca="1" si="9"/>
        <v>2.0128E-2</v>
      </c>
      <c r="M38" s="5">
        <f t="shared" ca="1" si="10"/>
        <v>2.2093999999999999E-2</v>
      </c>
      <c r="N38" s="5">
        <f t="shared" ca="1" si="11"/>
        <v>2.6245999999999998E-2</v>
      </c>
      <c r="O38" s="5">
        <f t="shared" ca="1" si="12"/>
        <v>2.8513E-2</v>
      </c>
      <c r="P38" s="8">
        <f t="shared" ca="1" si="13"/>
        <v>1008.4863385959991</v>
      </c>
      <c r="Q38" s="8">
        <f t="shared" ca="1" si="14"/>
        <v>1143.1612106999294</v>
      </c>
      <c r="R38" s="8">
        <f t="shared" ca="1" si="15"/>
        <v>1168.4989770636437</v>
      </c>
      <c r="S38" s="5">
        <f t="shared" ca="1" si="16"/>
        <v>-2.6367367807903247E-2</v>
      </c>
      <c r="T38">
        <f t="shared" ca="1" si="17"/>
        <v>3.635754961425653E-2</v>
      </c>
      <c r="U38" s="5">
        <f t="shared" ca="1" si="18"/>
        <v>4.9660721594943814E-2</v>
      </c>
    </row>
    <row r="39" spans="2:21" x14ac:dyDescent="0.25">
      <c r="B39">
        <f t="shared" si="1"/>
        <v>36</v>
      </c>
      <c r="C39">
        <f t="shared" si="23"/>
        <v>3</v>
      </c>
      <c r="D39">
        <f t="shared" si="24"/>
        <v>12</v>
      </c>
      <c r="E39" s="5">
        <f t="shared" ca="1" si="2"/>
        <v>8.6119999999999999E-3</v>
      </c>
      <c r="F39" s="5">
        <f t="shared" ca="1" si="3"/>
        <v>9.8770000000000004E-3</v>
      </c>
      <c r="G39" s="5">
        <f t="shared" ca="1" si="4"/>
        <v>1.0761E-2</v>
      </c>
      <c r="H39" s="5">
        <f t="shared" ca="1" si="5"/>
        <v>1.1918E-2</v>
      </c>
      <c r="I39" s="5">
        <f t="shared" ca="1" si="6"/>
        <v>1.2463E-2</v>
      </c>
      <c r="J39" s="5">
        <f t="shared" ca="1" si="7"/>
        <v>1.4676E-2</v>
      </c>
      <c r="K39" s="5">
        <f t="shared" ca="1" si="8"/>
        <v>1.7698999999999999E-2</v>
      </c>
      <c r="L39" s="5">
        <f t="shared" ca="1" si="9"/>
        <v>2.0160999999999998E-2</v>
      </c>
      <c r="M39" s="5">
        <f t="shared" ca="1" si="10"/>
        <v>2.2068999999999998E-2</v>
      </c>
      <c r="N39" s="5">
        <f t="shared" ca="1" si="11"/>
        <v>2.6223E-2</v>
      </c>
      <c r="O39" s="5">
        <f t="shared" ca="1" si="12"/>
        <v>2.8527E-2</v>
      </c>
      <c r="P39" s="8">
        <f t="shared" ca="1" si="13"/>
        <v>1008.6206005878892</v>
      </c>
      <c r="Q39" s="8">
        <f t="shared" ca="1" si="14"/>
        <v>1147.4889120049149</v>
      </c>
      <c r="R39" s="8">
        <f t="shared" ca="1" si="15"/>
        <v>1173.0268302965683</v>
      </c>
      <c r="S39" s="5">
        <f t="shared" ca="1" si="16"/>
        <v>1.5987565599795391E-3</v>
      </c>
      <c r="T39">
        <f t="shared" ca="1" si="17"/>
        <v>4.6386711920489231E-2</v>
      </c>
      <c r="U39" s="5">
        <f t="shared" ca="1" si="18"/>
        <v>4.7503083851298797E-2</v>
      </c>
    </row>
    <row r="40" spans="2:21" x14ac:dyDescent="0.25">
      <c r="B40">
        <f t="shared" si="1"/>
        <v>37</v>
      </c>
      <c r="C40">
        <f>C39+1</f>
        <v>4</v>
      </c>
      <c r="D40">
        <v>1</v>
      </c>
      <c r="E40" s="5">
        <f t="shared" ca="1" si="2"/>
        <v>8.5970000000000005E-3</v>
      </c>
      <c r="F40" s="5">
        <f t="shared" ca="1" si="3"/>
        <v>9.8429999999999993E-3</v>
      </c>
      <c r="G40" s="5">
        <f t="shared" ca="1" si="4"/>
        <v>1.0824E-2</v>
      </c>
      <c r="H40" s="5">
        <f t="shared" ca="1" si="5"/>
        <v>1.1986999999999999E-2</v>
      </c>
      <c r="I40" s="5">
        <f t="shared" ca="1" si="6"/>
        <v>1.2364999999999999E-2</v>
      </c>
      <c r="J40" s="5">
        <f t="shared" ca="1" si="7"/>
        <v>1.4734000000000001E-2</v>
      </c>
      <c r="K40" s="5">
        <f t="shared" ca="1" si="8"/>
        <v>1.7766000000000001E-2</v>
      </c>
      <c r="L40" s="5">
        <f t="shared" ca="1" si="9"/>
        <v>2.0192999999999999E-2</v>
      </c>
      <c r="M40" s="5">
        <f t="shared" ca="1" si="10"/>
        <v>2.1975999999999999E-2</v>
      </c>
      <c r="N40" s="5">
        <f t="shared" ca="1" si="11"/>
        <v>2.6239999999999999E-2</v>
      </c>
      <c r="O40" s="5">
        <f t="shared" ca="1" si="12"/>
        <v>2.8566999999999999E-2</v>
      </c>
      <c r="P40" s="8">
        <f t="shared" ca="1" si="13"/>
        <v>1011.8166416247802</v>
      </c>
      <c r="Q40" s="8">
        <f t="shared" ca="1" si="14"/>
        <v>1150.6674957971345</v>
      </c>
      <c r="R40" s="8">
        <f t="shared" ca="1" si="15"/>
        <v>1177.9052247988993</v>
      </c>
      <c r="S40" s="5">
        <f t="shared" ca="1" si="16"/>
        <v>3.8694440408914108E-2</v>
      </c>
      <c r="T40">
        <f t="shared" ca="1" si="17"/>
        <v>3.3751542439654572E-2</v>
      </c>
      <c r="U40" s="5">
        <f t="shared" ca="1" si="18"/>
        <v>5.1063196848867572E-2</v>
      </c>
    </row>
    <row r="41" spans="2:21" x14ac:dyDescent="0.25">
      <c r="B41">
        <f t="shared" si="1"/>
        <v>38</v>
      </c>
      <c r="C41">
        <f>C40</f>
        <v>4</v>
      </c>
      <c r="D41">
        <v>2</v>
      </c>
      <c r="E41" s="5">
        <f t="shared" ca="1" si="2"/>
        <v>8.6049999999999998E-3</v>
      </c>
      <c r="F41" s="5">
        <f t="shared" ca="1" si="3"/>
        <v>9.8600000000000007E-3</v>
      </c>
      <c r="G41" s="5">
        <f t="shared" ca="1" si="4"/>
        <v>1.0803999999999999E-2</v>
      </c>
      <c r="H41" s="5">
        <f t="shared" ca="1" si="5"/>
        <v>1.1912000000000001E-2</v>
      </c>
      <c r="I41" s="5">
        <f t="shared" ca="1" si="6"/>
        <v>1.2461E-2</v>
      </c>
      <c r="J41" s="5">
        <f t="shared" ca="1" si="7"/>
        <v>1.4794E-2</v>
      </c>
      <c r="K41" s="5">
        <f t="shared" ca="1" si="8"/>
        <v>1.7696E-2</v>
      </c>
      <c r="L41" s="5">
        <f t="shared" ca="1" si="9"/>
        <v>2.0129999999999999E-2</v>
      </c>
      <c r="M41" s="5">
        <f t="shared" ca="1" si="10"/>
        <v>2.1942E-2</v>
      </c>
      <c r="N41" s="5">
        <f t="shared" ca="1" si="11"/>
        <v>2.6159000000000002E-2</v>
      </c>
      <c r="O41" s="5">
        <f t="shared" ca="1" si="12"/>
        <v>2.8660999999999999E-2</v>
      </c>
      <c r="P41" s="8">
        <f t="shared" ca="1" si="13"/>
        <v>1013.1944204930343</v>
      </c>
      <c r="Q41" s="8">
        <f t="shared" ca="1" si="14"/>
        <v>1153.9018963721023</v>
      </c>
      <c r="R41" s="8">
        <f t="shared" ca="1" si="15"/>
        <v>1183.2452848158462</v>
      </c>
      <c r="S41" s="5">
        <f t="shared" ca="1" si="16"/>
        <v>1.6463193467872641E-2</v>
      </c>
      <c r="T41">
        <f t="shared" ca="1" si="17"/>
        <v>3.4257078615795689E-2</v>
      </c>
      <c r="U41" s="5">
        <f t="shared" ca="1" si="18"/>
        <v>5.5779467929145815E-2</v>
      </c>
    </row>
    <row r="42" spans="2:21" x14ac:dyDescent="0.25">
      <c r="B42">
        <f t="shared" si="1"/>
        <v>39</v>
      </c>
      <c r="C42">
        <f t="shared" ref="C42:C51" si="25">C41</f>
        <v>4</v>
      </c>
      <c r="D42">
        <v>3</v>
      </c>
      <c r="E42" s="5">
        <f t="shared" ca="1" si="2"/>
        <v>8.5210000000000008E-3</v>
      </c>
      <c r="F42" s="5">
        <f t="shared" ca="1" si="3"/>
        <v>9.7769999999999992E-3</v>
      </c>
      <c r="G42" s="5">
        <f t="shared" ca="1" si="4"/>
        <v>1.0880000000000001E-2</v>
      </c>
      <c r="H42" s="5">
        <f t="shared" ca="1" si="5"/>
        <v>1.1946E-2</v>
      </c>
      <c r="I42" s="5">
        <f t="shared" ca="1" si="6"/>
        <v>1.2487E-2</v>
      </c>
      <c r="J42" s="5">
        <f t="shared" ca="1" si="7"/>
        <v>1.4794E-2</v>
      </c>
      <c r="K42" s="5">
        <f t="shared" ca="1" si="8"/>
        <v>1.7669000000000001E-2</v>
      </c>
      <c r="L42" s="5">
        <f t="shared" ca="1" si="9"/>
        <v>2.0063000000000001E-2</v>
      </c>
      <c r="M42" s="5">
        <f t="shared" ca="1" si="10"/>
        <v>2.1995000000000001E-2</v>
      </c>
      <c r="N42" s="5">
        <f t="shared" ca="1" si="11"/>
        <v>2.6196000000000001E-2</v>
      </c>
      <c r="O42" s="5">
        <f t="shared" ca="1" si="12"/>
        <v>2.8714E-2</v>
      </c>
      <c r="P42" s="8">
        <f t="shared" ca="1" si="13"/>
        <v>1017.4147091676803</v>
      </c>
      <c r="Q42" s="8">
        <f t="shared" ca="1" si="14"/>
        <v>1160.3658548672672</v>
      </c>
      <c r="R42" s="8">
        <f t="shared" ca="1" si="15"/>
        <v>1188.1773598221657</v>
      </c>
      <c r="S42" s="5">
        <f t="shared" ca="1" si="16"/>
        <v>5.1145101863178215E-2</v>
      </c>
      <c r="T42">
        <f t="shared" ca="1" si="17"/>
        <v>6.9332196572428229E-2</v>
      </c>
      <c r="U42" s="5">
        <f t="shared" ca="1" si="18"/>
        <v>5.1181923657063394E-2</v>
      </c>
    </row>
    <row r="43" spans="2:21" x14ac:dyDescent="0.25">
      <c r="B43">
        <f t="shared" si="1"/>
        <v>40</v>
      </c>
      <c r="C43">
        <f t="shared" si="25"/>
        <v>4</v>
      </c>
      <c r="D43">
        <f>D42+1</f>
        <v>4</v>
      </c>
      <c r="E43" s="5">
        <f t="shared" ca="1" si="2"/>
        <v>8.5760000000000003E-3</v>
      </c>
      <c r="F43" s="5">
        <f t="shared" ca="1" si="3"/>
        <v>9.691E-3</v>
      </c>
      <c r="G43" s="5">
        <f t="shared" ca="1" si="4"/>
        <v>1.0888999999999999E-2</v>
      </c>
      <c r="H43" s="5">
        <f t="shared" ca="1" si="5"/>
        <v>1.1920999999999999E-2</v>
      </c>
      <c r="I43" s="5">
        <f t="shared" ca="1" si="6"/>
        <v>1.2492E-2</v>
      </c>
      <c r="J43" s="5">
        <f t="shared" ca="1" si="7"/>
        <v>1.4742E-2</v>
      </c>
      <c r="K43" s="5">
        <f t="shared" ca="1" si="8"/>
        <v>1.7587999999999999E-2</v>
      </c>
      <c r="L43" s="5">
        <f t="shared" ca="1" si="9"/>
        <v>2.0163E-2</v>
      </c>
      <c r="M43" s="5">
        <f t="shared" ca="1" si="10"/>
        <v>2.2078E-2</v>
      </c>
      <c r="N43" s="5">
        <f t="shared" ca="1" si="11"/>
        <v>2.6158000000000001E-2</v>
      </c>
      <c r="O43" s="5">
        <f t="shared" ca="1" si="12"/>
        <v>2.8771000000000001E-2</v>
      </c>
      <c r="P43" s="8">
        <f t="shared" ca="1" si="13"/>
        <v>1020.3665036582353</v>
      </c>
      <c r="Q43" s="8">
        <f t="shared" ca="1" si="14"/>
        <v>1164.0009479789423</v>
      </c>
      <c r="R43" s="8">
        <f t="shared" ca="1" si="15"/>
        <v>1193.1674274915133</v>
      </c>
      <c r="S43" s="5">
        <f t="shared" ca="1" si="16"/>
        <v>3.5376190687486708E-2</v>
      </c>
      <c r="T43">
        <f t="shared" ca="1" si="17"/>
        <v>3.8247083478866795E-2</v>
      </c>
      <c r="U43" s="5">
        <f t="shared" ca="1" si="18"/>
        <v>5.1577762316269468E-2</v>
      </c>
    </row>
    <row r="44" spans="2:21" x14ac:dyDescent="0.25">
      <c r="B44">
        <f t="shared" si="1"/>
        <v>41</v>
      </c>
      <c r="C44">
        <f t="shared" si="25"/>
        <v>4</v>
      </c>
      <c r="D44">
        <f t="shared" ref="D44:D51" si="26">D43+1</f>
        <v>5</v>
      </c>
      <c r="E44" s="5">
        <f t="shared" ca="1" si="2"/>
        <v>8.5260000000000006E-3</v>
      </c>
      <c r="F44" s="5">
        <f t="shared" ca="1" si="3"/>
        <v>9.7319999999999993E-3</v>
      </c>
      <c r="G44" s="5">
        <f t="shared" ca="1" si="4"/>
        <v>1.0805E-2</v>
      </c>
      <c r="H44" s="5">
        <f t="shared" ca="1" si="5"/>
        <v>1.1867000000000001E-2</v>
      </c>
      <c r="I44" s="5">
        <f t="shared" ca="1" si="6"/>
        <v>1.2435E-2</v>
      </c>
      <c r="J44" s="5">
        <f t="shared" ca="1" si="7"/>
        <v>1.4789E-2</v>
      </c>
      <c r="K44" s="5">
        <f t="shared" ca="1" si="8"/>
        <v>1.7519E-2</v>
      </c>
      <c r="L44" s="5">
        <f t="shared" ca="1" si="9"/>
        <v>2.0153999999999998E-2</v>
      </c>
      <c r="M44" s="5">
        <f t="shared" ca="1" si="10"/>
        <v>2.2058999999999999E-2</v>
      </c>
      <c r="N44" s="5">
        <f t="shared" ca="1" si="11"/>
        <v>2.6193000000000001E-2</v>
      </c>
      <c r="O44" s="5">
        <f t="shared" ca="1" si="12"/>
        <v>2.8823000000000001E-2</v>
      </c>
      <c r="P44" s="8">
        <f t="shared" ca="1" si="13"/>
        <v>1021.9390333041137</v>
      </c>
      <c r="Q44" s="8">
        <f t="shared" ca="1" si="14"/>
        <v>1168.6077400539577</v>
      </c>
      <c r="R44" s="8">
        <f t="shared" ca="1" si="15"/>
        <v>1198.1101235130561</v>
      </c>
      <c r="S44" s="5">
        <f t="shared" ca="1" si="16"/>
        <v>1.8651269579511374E-2</v>
      </c>
      <c r="T44">
        <f t="shared" ca="1" si="17"/>
        <v>4.8540218739041373E-2</v>
      </c>
      <c r="U44" s="5">
        <f t="shared" ca="1" si="18"/>
        <v>5.0858365501089943E-2</v>
      </c>
    </row>
    <row r="45" spans="2:21" x14ac:dyDescent="0.25">
      <c r="B45">
        <f t="shared" si="1"/>
        <v>42</v>
      </c>
      <c r="C45">
        <f t="shared" si="25"/>
        <v>4</v>
      </c>
      <c r="D45">
        <f t="shared" si="26"/>
        <v>6</v>
      </c>
      <c r="E45" s="5">
        <f t="shared" ca="1" si="2"/>
        <v>8.5839999999999996E-3</v>
      </c>
      <c r="F45" s="5">
        <f t="shared" ca="1" si="3"/>
        <v>9.7169999999999999E-3</v>
      </c>
      <c r="G45" s="5">
        <f t="shared" ca="1" si="4"/>
        <v>1.0747E-2</v>
      </c>
      <c r="H45" s="5">
        <f t="shared" ca="1" si="5"/>
        <v>1.1967E-2</v>
      </c>
      <c r="I45" s="5">
        <f t="shared" ca="1" si="6"/>
        <v>1.2496E-2</v>
      </c>
      <c r="J45" s="5">
        <f t="shared" ca="1" si="7"/>
        <v>1.4785E-2</v>
      </c>
      <c r="K45" s="5">
        <f t="shared" ca="1" si="8"/>
        <v>1.7510999999999999E-2</v>
      </c>
      <c r="L45" s="5">
        <f t="shared" ca="1" si="9"/>
        <v>2.0126999999999999E-2</v>
      </c>
      <c r="M45" s="5">
        <f t="shared" ca="1" si="10"/>
        <v>2.214E-2</v>
      </c>
      <c r="N45" s="5">
        <f t="shared" ca="1" si="11"/>
        <v>2.6197000000000002E-2</v>
      </c>
      <c r="O45" s="5">
        <f t="shared" ca="1" si="12"/>
        <v>2.8853E-2</v>
      </c>
      <c r="P45" s="8">
        <f t="shared" ca="1" si="13"/>
        <v>1019.2383157862736</v>
      </c>
      <c r="Q45" s="8">
        <f t="shared" ca="1" si="14"/>
        <v>1171.9902870681046</v>
      </c>
      <c r="R45" s="8">
        <f t="shared" ca="1" si="15"/>
        <v>1202.9519903228977</v>
      </c>
      <c r="S45" s="5">
        <f t="shared" ca="1" si="16"/>
        <v>-3.1255948847271321E-2</v>
      </c>
      <c r="T45">
        <f t="shared" ca="1" si="17"/>
        <v>3.5292452869216215E-2</v>
      </c>
      <c r="U45" s="5">
        <f t="shared" ca="1" si="18"/>
        <v>4.9587590037898269E-2</v>
      </c>
    </row>
    <row r="46" spans="2:21" x14ac:dyDescent="0.25">
      <c r="B46">
        <f t="shared" si="1"/>
        <v>43</v>
      </c>
      <c r="C46">
        <f t="shared" si="25"/>
        <v>4</v>
      </c>
      <c r="D46">
        <f t="shared" si="26"/>
        <v>7</v>
      </c>
      <c r="E46" s="5">
        <f t="shared" ca="1" si="2"/>
        <v>8.6239999999999997E-3</v>
      </c>
      <c r="F46" s="5">
        <f t="shared" ca="1" si="3"/>
        <v>9.6930000000000002E-3</v>
      </c>
      <c r="G46" s="5">
        <f t="shared" ca="1" si="4"/>
        <v>1.0822999999999999E-2</v>
      </c>
      <c r="H46" s="5">
        <f t="shared" ca="1" si="5"/>
        <v>1.1996E-2</v>
      </c>
      <c r="I46" s="5">
        <f t="shared" ca="1" si="6"/>
        <v>1.2435E-2</v>
      </c>
      <c r="J46" s="5">
        <f t="shared" ca="1" si="7"/>
        <v>1.4692999999999999E-2</v>
      </c>
      <c r="K46" s="5">
        <f t="shared" ca="1" si="8"/>
        <v>1.7451999999999999E-2</v>
      </c>
      <c r="L46" s="5">
        <f t="shared" ca="1" si="9"/>
        <v>2.0145E-2</v>
      </c>
      <c r="M46" s="5">
        <f t="shared" ca="1" si="10"/>
        <v>2.2141999999999998E-2</v>
      </c>
      <c r="N46" s="5">
        <f t="shared" ca="1" si="11"/>
        <v>2.6151000000000001E-2</v>
      </c>
      <c r="O46" s="5">
        <f t="shared" ca="1" si="12"/>
        <v>2.8894E-2</v>
      </c>
      <c r="P46" s="8">
        <f t="shared" ca="1" si="13"/>
        <v>1017.0187008755357</v>
      </c>
      <c r="Q46" s="8">
        <f t="shared" ca="1" si="14"/>
        <v>1175.8481376578957</v>
      </c>
      <c r="R46" s="8">
        <f t="shared" ca="1" si="15"/>
        <v>1207.3409956157445</v>
      </c>
      <c r="S46" s="5">
        <f t="shared" ca="1" si="16"/>
        <v>-2.5821889691974596E-2</v>
      </c>
      <c r="T46">
        <f t="shared" ca="1" si="17"/>
        <v>4.0223542000349173E-2</v>
      </c>
      <c r="U46" s="5">
        <f t="shared" ca="1" si="18"/>
        <v>4.467169841568866E-2</v>
      </c>
    </row>
    <row r="47" spans="2:21" x14ac:dyDescent="0.25">
      <c r="B47">
        <f t="shared" si="1"/>
        <v>44</v>
      </c>
      <c r="C47">
        <f t="shared" si="25"/>
        <v>4</v>
      </c>
      <c r="D47">
        <f t="shared" si="26"/>
        <v>8</v>
      </c>
      <c r="E47" s="5">
        <f t="shared" ca="1" si="2"/>
        <v>8.5629999999999994E-3</v>
      </c>
      <c r="F47" s="5">
        <f t="shared" ca="1" si="3"/>
        <v>9.6600000000000002E-3</v>
      </c>
      <c r="G47" s="5">
        <f t="shared" ca="1" si="4"/>
        <v>1.0805E-2</v>
      </c>
      <c r="H47" s="5">
        <f t="shared" ca="1" si="5"/>
        <v>1.1962E-2</v>
      </c>
      <c r="I47" s="5">
        <f t="shared" ca="1" si="6"/>
        <v>1.2474000000000001E-2</v>
      </c>
      <c r="J47" s="5">
        <f t="shared" ca="1" si="7"/>
        <v>1.4760000000000001E-2</v>
      </c>
      <c r="K47" s="5">
        <f t="shared" ca="1" si="8"/>
        <v>1.738E-2</v>
      </c>
      <c r="L47" s="5">
        <f t="shared" ca="1" si="9"/>
        <v>2.0083E-2</v>
      </c>
      <c r="M47" s="5">
        <f t="shared" ca="1" si="10"/>
        <v>2.2133E-2</v>
      </c>
      <c r="N47" s="5">
        <f t="shared" ca="1" si="11"/>
        <v>2.6145999999999999E-2</v>
      </c>
      <c r="O47" s="5">
        <f t="shared" ca="1" si="12"/>
        <v>2.8851000000000002E-2</v>
      </c>
      <c r="P47" s="8">
        <f t="shared" ca="1" si="13"/>
        <v>1018.6120387809727</v>
      </c>
      <c r="Q47" s="8">
        <f t="shared" ca="1" si="14"/>
        <v>1179.6050368080828</v>
      </c>
      <c r="R47" s="8">
        <f t="shared" ca="1" si="15"/>
        <v>1211.4132208478975</v>
      </c>
      <c r="S47" s="5">
        <f t="shared" ca="1" si="16"/>
        <v>1.8962945612395848E-2</v>
      </c>
      <c r="T47">
        <f t="shared" ca="1" si="17"/>
        <v>3.9021636890481465E-2</v>
      </c>
      <c r="U47" s="5">
        <f t="shared" ca="1" si="18"/>
        <v>4.1233995264547518E-2</v>
      </c>
    </row>
    <row r="48" spans="2:21" x14ac:dyDescent="0.25">
      <c r="B48">
        <f t="shared" si="1"/>
        <v>45</v>
      </c>
      <c r="C48">
        <f t="shared" si="25"/>
        <v>4</v>
      </c>
      <c r="D48">
        <f t="shared" si="26"/>
        <v>9</v>
      </c>
      <c r="E48" s="5">
        <f t="shared" ca="1" si="2"/>
        <v>8.515E-3</v>
      </c>
      <c r="F48" s="5">
        <f t="shared" ca="1" si="3"/>
        <v>9.7429999999999999E-3</v>
      </c>
      <c r="G48" s="5">
        <f t="shared" ca="1" si="4"/>
        <v>1.0751E-2</v>
      </c>
      <c r="H48" s="5">
        <f t="shared" ca="1" si="5"/>
        <v>1.1925E-2</v>
      </c>
      <c r="I48" s="5">
        <f t="shared" ca="1" si="6"/>
        <v>1.2566000000000001E-2</v>
      </c>
      <c r="J48" s="5">
        <f t="shared" ca="1" si="7"/>
        <v>1.4721E-2</v>
      </c>
      <c r="K48" s="5">
        <f t="shared" ca="1" si="8"/>
        <v>1.7346E-2</v>
      </c>
      <c r="L48" s="5">
        <f t="shared" ca="1" si="9"/>
        <v>2.017E-2</v>
      </c>
      <c r="M48" s="5">
        <f t="shared" ca="1" si="10"/>
        <v>2.2162999999999999E-2</v>
      </c>
      <c r="N48" s="5">
        <f t="shared" ca="1" si="11"/>
        <v>2.6088E-2</v>
      </c>
      <c r="O48" s="5">
        <f t="shared" ca="1" si="12"/>
        <v>2.8754999999999999E-2</v>
      </c>
      <c r="P48" s="8">
        <f t="shared" ca="1" si="13"/>
        <v>1021.8626491134409</v>
      </c>
      <c r="Q48" s="8">
        <f t="shared" ca="1" si="14"/>
        <v>1186.1366079162042</v>
      </c>
      <c r="R48" s="8">
        <f t="shared" ca="1" si="15"/>
        <v>1215.7429445164485</v>
      </c>
      <c r="S48" s="5">
        <f t="shared" ca="1" si="16"/>
        <v>3.8973919504793904E-2</v>
      </c>
      <c r="T48">
        <f t="shared" ca="1" si="17"/>
        <v>6.8506327539675338E-2</v>
      </c>
      <c r="U48" s="5">
        <f t="shared" ca="1" si="18"/>
        <v>4.3742542491604225E-2</v>
      </c>
    </row>
    <row r="49" spans="2:21" x14ac:dyDescent="0.25">
      <c r="B49">
        <f t="shared" si="1"/>
        <v>46</v>
      </c>
      <c r="C49">
        <f t="shared" si="25"/>
        <v>4</v>
      </c>
      <c r="D49">
        <f t="shared" si="26"/>
        <v>10</v>
      </c>
      <c r="E49" s="5">
        <f t="shared" ca="1" si="2"/>
        <v>8.4410000000000006E-3</v>
      </c>
      <c r="F49" s="5">
        <f t="shared" ca="1" si="3"/>
        <v>9.7289999999999998E-3</v>
      </c>
      <c r="G49" s="5">
        <f t="shared" ca="1" si="4"/>
        <v>1.0711E-2</v>
      </c>
      <c r="H49" s="5">
        <f t="shared" ca="1" si="5"/>
        <v>1.1982E-2</v>
      </c>
      <c r="I49" s="5">
        <f t="shared" ca="1" si="6"/>
        <v>1.2475E-2</v>
      </c>
      <c r="J49" s="5">
        <f t="shared" ca="1" si="7"/>
        <v>1.4633999999999999E-2</v>
      </c>
      <c r="K49" s="5">
        <f t="shared" ca="1" si="8"/>
        <v>1.7298000000000001E-2</v>
      </c>
      <c r="L49" s="5">
        <f t="shared" ca="1" si="9"/>
        <v>2.01E-2</v>
      </c>
      <c r="M49" s="5">
        <f t="shared" ca="1" si="10"/>
        <v>2.2085E-2</v>
      </c>
      <c r="N49" s="5">
        <f t="shared" ca="1" si="11"/>
        <v>2.6068999999999998E-2</v>
      </c>
      <c r="O49" s="5">
        <f t="shared" ca="1" si="12"/>
        <v>2.8698000000000001E-2</v>
      </c>
      <c r="P49" s="8">
        <f t="shared" ca="1" si="13"/>
        <v>1024.2289531912027</v>
      </c>
      <c r="Q49" s="8">
        <f t="shared" ca="1" si="14"/>
        <v>1193.0042541222579</v>
      </c>
      <c r="R49" s="8">
        <f t="shared" ca="1" si="15"/>
        <v>1219.9866933842559</v>
      </c>
      <c r="S49" s="5">
        <f t="shared" ca="1" si="16"/>
        <v>2.8144788832873302E-2</v>
      </c>
      <c r="T49">
        <f t="shared" ca="1" si="17"/>
        <v>7.1734941437865574E-2</v>
      </c>
      <c r="U49" s="5">
        <f t="shared" ca="1" si="18"/>
        <v>4.2701578701916459E-2</v>
      </c>
    </row>
    <row r="50" spans="2:21" x14ac:dyDescent="0.25">
      <c r="B50">
        <f t="shared" si="1"/>
        <v>47</v>
      </c>
      <c r="C50">
        <f t="shared" si="25"/>
        <v>4</v>
      </c>
      <c r="D50">
        <f t="shared" si="26"/>
        <v>11</v>
      </c>
      <c r="E50" s="5">
        <f t="shared" ca="1" si="2"/>
        <v>8.4469999999999996E-3</v>
      </c>
      <c r="F50" s="5">
        <f t="shared" ca="1" si="3"/>
        <v>9.672E-3</v>
      </c>
      <c r="G50" s="5">
        <f t="shared" ca="1" si="4"/>
        <v>1.0746E-2</v>
      </c>
      <c r="H50" s="5">
        <f t="shared" ca="1" si="5"/>
        <v>1.2067E-2</v>
      </c>
      <c r="I50" s="5">
        <f t="shared" ca="1" si="6"/>
        <v>1.2499E-2</v>
      </c>
      <c r="J50" s="5">
        <f t="shared" ca="1" si="7"/>
        <v>1.4692999999999999E-2</v>
      </c>
      <c r="K50" s="5">
        <f t="shared" ca="1" si="8"/>
        <v>1.7250999999999999E-2</v>
      </c>
      <c r="L50" s="5">
        <f t="shared" ca="1" si="9"/>
        <v>2.0073000000000001E-2</v>
      </c>
      <c r="M50" s="5">
        <f t="shared" ca="1" si="10"/>
        <v>2.2182E-2</v>
      </c>
      <c r="N50" s="5">
        <f t="shared" ca="1" si="11"/>
        <v>2.5975999999999999E-2</v>
      </c>
      <c r="O50" s="5">
        <f t="shared" ca="1" si="12"/>
        <v>2.8756E-2</v>
      </c>
      <c r="P50" s="8">
        <f t="shared" ca="1" si="13"/>
        <v>1020.6653246393114</v>
      </c>
      <c r="Q50" s="8">
        <f t="shared" ca="1" si="14"/>
        <v>1199.2734744392974</v>
      </c>
      <c r="R50" s="8">
        <f t="shared" ca="1" si="15"/>
        <v>1224.7145478620689</v>
      </c>
      <c r="S50" s="5">
        <f t="shared" ca="1" si="16"/>
        <v>-4.0962153337038405E-2</v>
      </c>
      <c r="T50">
        <f t="shared" ca="1" si="17"/>
        <v>6.4914716501598232E-2</v>
      </c>
      <c r="U50" s="5">
        <f t="shared" ca="1" si="18"/>
        <v>4.7508111845679615E-2</v>
      </c>
    </row>
    <row r="51" spans="2:21" x14ac:dyDescent="0.25">
      <c r="B51">
        <f t="shared" si="1"/>
        <v>48</v>
      </c>
      <c r="C51">
        <f t="shared" si="25"/>
        <v>4</v>
      </c>
      <c r="D51">
        <f t="shared" si="26"/>
        <v>12</v>
      </c>
      <c r="E51" s="5">
        <f t="shared" ca="1" si="2"/>
        <v>8.4960000000000001E-3</v>
      </c>
      <c r="F51" s="5">
        <f t="shared" ca="1" si="3"/>
        <v>9.6349999999999995E-3</v>
      </c>
      <c r="G51" s="5">
        <f t="shared" ca="1" si="4"/>
        <v>1.0697999999999999E-2</v>
      </c>
      <c r="H51" s="5">
        <f t="shared" ca="1" si="5"/>
        <v>1.1997000000000001E-2</v>
      </c>
      <c r="I51" s="5">
        <f t="shared" ca="1" si="6"/>
        <v>1.2451E-2</v>
      </c>
      <c r="J51" s="5">
        <f t="shared" ca="1" si="7"/>
        <v>1.4664999999999999E-2</v>
      </c>
      <c r="K51" s="5">
        <f t="shared" ca="1" si="8"/>
        <v>1.7198000000000001E-2</v>
      </c>
      <c r="L51" s="5">
        <f t="shared" ca="1" si="9"/>
        <v>2.0036999999999999E-2</v>
      </c>
      <c r="M51" s="5">
        <f t="shared" ca="1" si="10"/>
        <v>2.2175E-2</v>
      </c>
      <c r="N51" s="5">
        <f t="shared" ca="1" si="11"/>
        <v>2.5881000000000001E-2</v>
      </c>
      <c r="O51" s="5">
        <f t="shared" ca="1" si="12"/>
        <v>2.8844999999999999E-2</v>
      </c>
      <c r="P51" s="8">
        <f t="shared" ca="1" si="13"/>
        <v>1017.903069804687</v>
      </c>
      <c r="Q51" s="8">
        <f t="shared" ca="1" si="14"/>
        <v>1202.5952037492559</v>
      </c>
      <c r="R51" s="8">
        <f t="shared" ca="1" si="15"/>
        <v>1229.473333897432</v>
      </c>
      <c r="S51" s="5">
        <f t="shared" ca="1" si="16"/>
        <v>-3.1996868835352063E-2</v>
      </c>
      <c r="T51">
        <f t="shared" ca="1" si="17"/>
        <v>3.374845300865386E-2</v>
      </c>
      <c r="U51" s="5">
        <f t="shared" ca="1" si="18"/>
        <v>4.7637040068241758E-2</v>
      </c>
    </row>
    <row r="52" spans="2:21" x14ac:dyDescent="0.25">
      <c r="B52">
        <f t="shared" si="1"/>
        <v>49</v>
      </c>
      <c r="C52">
        <f>C51+1</f>
        <v>5</v>
      </c>
      <c r="D52">
        <v>1</v>
      </c>
      <c r="E52" s="5">
        <f t="shared" ca="1" si="2"/>
        <v>8.4189999999999994E-3</v>
      </c>
      <c r="F52" s="5">
        <f t="shared" ca="1" si="3"/>
        <v>9.7169999999999999E-3</v>
      </c>
      <c r="G52" s="5">
        <f t="shared" ca="1" si="4"/>
        <v>1.0762000000000001E-2</v>
      </c>
      <c r="H52" s="5">
        <f t="shared" ca="1" si="5"/>
        <v>1.2043999999999999E-2</v>
      </c>
      <c r="I52" s="5">
        <f t="shared" ca="1" si="6"/>
        <v>1.2460000000000001E-2</v>
      </c>
      <c r="J52" s="5">
        <f t="shared" ca="1" si="7"/>
        <v>1.4690999999999999E-2</v>
      </c>
      <c r="K52" s="5">
        <f t="shared" ca="1" si="8"/>
        <v>1.7284000000000001E-2</v>
      </c>
      <c r="L52" s="5">
        <f t="shared" ca="1" si="9"/>
        <v>1.9994999999999999E-2</v>
      </c>
      <c r="M52" s="5">
        <f t="shared" ca="1" si="10"/>
        <v>2.2266000000000001E-2</v>
      </c>
      <c r="N52" s="5">
        <f t="shared" ca="1" si="11"/>
        <v>2.5926000000000001E-2</v>
      </c>
      <c r="O52" s="5">
        <f t="shared" ca="1" si="12"/>
        <v>2.8801E-2</v>
      </c>
      <c r="P52" s="8">
        <f t="shared" ca="1" si="13"/>
        <v>1017.7835235839151</v>
      </c>
      <c r="Q52" s="8">
        <f t="shared" ca="1" si="14"/>
        <v>1205.8102974808921</v>
      </c>
      <c r="R52" s="8">
        <f t="shared" ca="1" si="15"/>
        <v>1234.5823611989661</v>
      </c>
      <c r="S52" s="5">
        <f t="shared" ca="1" si="16"/>
        <v>-1.4084134514923156E-3</v>
      </c>
      <c r="T52">
        <f t="shared" ca="1" si="17"/>
        <v>3.2557513408343404E-2</v>
      </c>
      <c r="U52" s="5">
        <f t="shared" ca="1" si="18"/>
        <v>5.1021133250778221E-2</v>
      </c>
    </row>
    <row r="53" spans="2:21" x14ac:dyDescent="0.25">
      <c r="B53">
        <f t="shared" si="1"/>
        <v>50</v>
      </c>
      <c r="C53">
        <f>C52</f>
        <v>5</v>
      </c>
      <c r="D53">
        <v>2</v>
      </c>
      <c r="E53" s="5">
        <f t="shared" ca="1" si="2"/>
        <v>8.4250000000000002E-3</v>
      </c>
      <c r="F53" s="5">
        <f t="shared" ca="1" si="3"/>
        <v>9.7059999999999994E-3</v>
      </c>
      <c r="G53" s="5">
        <f t="shared" ca="1" si="4"/>
        <v>1.0814000000000001E-2</v>
      </c>
      <c r="H53" s="5">
        <f t="shared" ca="1" si="5"/>
        <v>1.2017999999999999E-2</v>
      </c>
      <c r="I53" s="5">
        <f t="shared" ca="1" si="6"/>
        <v>1.2422000000000001E-2</v>
      </c>
      <c r="J53" s="5">
        <f t="shared" ca="1" si="7"/>
        <v>1.4741000000000001E-2</v>
      </c>
      <c r="K53" s="5">
        <f t="shared" ca="1" si="8"/>
        <v>1.7291999999999998E-2</v>
      </c>
      <c r="L53" s="5">
        <f t="shared" ca="1" si="9"/>
        <v>1.9980999999999999E-2</v>
      </c>
      <c r="M53" s="5">
        <f t="shared" ca="1" si="10"/>
        <v>2.2277999999999999E-2</v>
      </c>
      <c r="N53" s="5">
        <f t="shared" ca="1" si="11"/>
        <v>2.5857000000000002E-2</v>
      </c>
      <c r="O53" s="5">
        <f t="shared" ca="1" si="12"/>
        <v>2.8830000000000001E-2</v>
      </c>
      <c r="P53" s="8">
        <f t="shared" ca="1" si="13"/>
        <v>1014.8207352516318</v>
      </c>
      <c r="Q53" s="8">
        <f t="shared" ca="1" si="14"/>
        <v>1209.8747949984895</v>
      </c>
      <c r="R53" s="8">
        <f t="shared" ca="1" si="15"/>
        <v>1239.5202189994436</v>
      </c>
      <c r="S53" s="5">
        <f t="shared" ca="1" si="16"/>
        <v>-3.4378346721053457E-2</v>
      </c>
      <c r="T53">
        <f t="shared" ca="1" si="17"/>
        <v>4.1207507591592925E-2</v>
      </c>
      <c r="U53" s="5">
        <f t="shared" ca="1" si="18"/>
        <v>4.90654174222631E-2</v>
      </c>
    </row>
    <row r="54" spans="2:21" x14ac:dyDescent="0.25">
      <c r="B54">
        <f t="shared" si="1"/>
        <v>51</v>
      </c>
      <c r="C54">
        <f t="shared" ref="C54:C63" si="27">C53</f>
        <v>5</v>
      </c>
      <c r="D54">
        <v>3</v>
      </c>
      <c r="E54" s="5">
        <f t="shared" ca="1" si="2"/>
        <v>8.4989999999999996E-3</v>
      </c>
      <c r="F54" s="5">
        <f t="shared" ca="1" si="3"/>
        <v>9.7059999999999994E-3</v>
      </c>
      <c r="G54" s="5">
        <f t="shared" ca="1" si="4"/>
        <v>1.0781000000000001E-2</v>
      </c>
      <c r="H54" s="5">
        <f t="shared" ca="1" si="5"/>
        <v>1.1979E-2</v>
      </c>
      <c r="I54" s="5">
        <f t="shared" ca="1" si="6"/>
        <v>1.2324E-2</v>
      </c>
      <c r="J54" s="5">
        <f t="shared" ca="1" si="7"/>
        <v>1.4694E-2</v>
      </c>
      <c r="K54" s="5">
        <f t="shared" ca="1" si="8"/>
        <v>1.7336000000000001E-2</v>
      </c>
      <c r="L54" s="5">
        <f t="shared" ca="1" si="9"/>
        <v>2.0063999999999999E-2</v>
      </c>
      <c r="M54" s="5">
        <f t="shared" ca="1" si="10"/>
        <v>2.2356000000000001E-2</v>
      </c>
      <c r="N54" s="5">
        <f t="shared" ca="1" si="11"/>
        <v>2.5912000000000001E-2</v>
      </c>
      <c r="O54" s="5">
        <f t="shared" ca="1" si="12"/>
        <v>2.8902000000000001E-2</v>
      </c>
      <c r="P54" s="8">
        <f t="shared" ca="1" si="13"/>
        <v>1013.3959534139146</v>
      </c>
      <c r="Q54" s="8">
        <f t="shared" ca="1" si="14"/>
        <v>1215.1540866425871</v>
      </c>
      <c r="R54" s="8">
        <f t="shared" ca="1" si="15"/>
        <v>1244.8850828062984</v>
      </c>
      <c r="S54" s="5">
        <f t="shared" ca="1" si="16"/>
        <v>-1.6718198439871636E-2</v>
      </c>
      <c r="T54">
        <f t="shared" ca="1" si="17"/>
        <v>5.3637138360660593E-2</v>
      </c>
      <c r="U54" s="5">
        <f t="shared" ca="1" si="18"/>
        <v>5.3192531415056178E-2</v>
      </c>
    </row>
    <row r="55" spans="2:21" x14ac:dyDescent="0.25">
      <c r="B55">
        <f t="shared" si="1"/>
        <v>52</v>
      </c>
      <c r="C55">
        <f t="shared" si="27"/>
        <v>5</v>
      </c>
      <c r="D55">
        <f>D54+1</f>
        <v>4</v>
      </c>
      <c r="E55" s="5">
        <f t="shared" ca="1" si="2"/>
        <v>8.4650000000000003E-3</v>
      </c>
      <c r="F55" s="5">
        <f t="shared" ca="1" si="3"/>
        <v>9.6939999999999995E-3</v>
      </c>
      <c r="G55" s="5">
        <f t="shared" ca="1" si="4"/>
        <v>1.0829999999999999E-2</v>
      </c>
      <c r="H55" s="5">
        <f t="shared" ca="1" si="5"/>
        <v>1.1981E-2</v>
      </c>
      <c r="I55" s="5">
        <f t="shared" ca="1" si="6"/>
        <v>1.2238000000000001E-2</v>
      </c>
      <c r="J55" s="5">
        <f t="shared" ca="1" si="7"/>
        <v>1.4753E-2</v>
      </c>
      <c r="K55" s="5">
        <f t="shared" ca="1" si="8"/>
        <v>1.7375000000000002E-2</v>
      </c>
      <c r="L55" s="5">
        <f t="shared" ca="1" si="9"/>
        <v>2.0153999999999998E-2</v>
      </c>
      <c r="M55" s="5">
        <f t="shared" ca="1" si="10"/>
        <v>2.2259999999999999E-2</v>
      </c>
      <c r="N55" s="5">
        <f t="shared" ca="1" si="11"/>
        <v>2.5961000000000001E-2</v>
      </c>
      <c r="O55" s="5">
        <f t="shared" ca="1" si="12"/>
        <v>2.8965000000000001E-2</v>
      </c>
      <c r="P55" s="8">
        <f t="shared" ca="1" si="13"/>
        <v>1009.607215470753</v>
      </c>
      <c r="Q55" s="8">
        <f t="shared" ca="1" si="14"/>
        <v>1221.2898771886007</v>
      </c>
      <c r="R55" s="8">
        <f t="shared" ca="1" si="15"/>
        <v>1250.1740341552822</v>
      </c>
      <c r="S55" s="5">
        <f t="shared" ca="1" si="16"/>
        <v>-4.3952743811134586E-2</v>
      </c>
      <c r="T55">
        <f t="shared" ca="1" si="17"/>
        <v>6.2304123930264549E-2</v>
      </c>
      <c r="U55" s="5">
        <f t="shared" ca="1" si="18"/>
        <v>5.2190893012747375E-2</v>
      </c>
    </row>
    <row r="56" spans="2:21" x14ac:dyDescent="0.25">
      <c r="B56">
        <f t="shared" si="1"/>
        <v>53</v>
      </c>
      <c r="C56">
        <f t="shared" si="27"/>
        <v>5</v>
      </c>
      <c r="D56">
        <f t="shared" ref="D56:D63" si="28">D55+1</f>
        <v>5</v>
      </c>
      <c r="E56" s="5">
        <f t="shared" ca="1" si="2"/>
        <v>8.4019999999999997E-3</v>
      </c>
      <c r="F56" s="5">
        <f t="shared" ca="1" si="3"/>
        <v>9.6699999999999998E-3</v>
      </c>
      <c r="G56" s="5">
        <f t="shared" ca="1" si="4"/>
        <v>1.0748000000000001E-2</v>
      </c>
      <c r="H56" s="5">
        <f t="shared" ca="1" si="5"/>
        <v>1.1887E-2</v>
      </c>
      <c r="I56" s="5">
        <f t="shared" ca="1" si="6"/>
        <v>1.2241999999999999E-2</v>
      </c>
      <c r="J56" s="5">
        <f t="shared" ca="1" si="7"/>
        <v>1.4787E-2</v>
      </c>
      <c r="K56" s="5">
        <f t="shared" ca="1" si="8"/>
        <v>1.7306999999999999E-2</v>
      </c>
      <c r="L56" s="5">
        <f t="shared" ca="1" si="9"/>
        <v>2.0202999999999999E-2</v>
      </c>
      <c r="M56" s="5">
        <f t="shared" ca="1" si="10"/>
        <v>2.2270000000000002E-2</v>
      </c>
      <c r="N56" s="5">
        <f t="shared" ca="1" si="11"/>
        <v>2.6034999999999999E-2</v>
      </c>
      <c r="O56" s="5">
        <f t="shared" ca="1" si="12"/>
        <v>2.8944000000000001E-2</v>
      </c>
      <c r="P56" s="8">
        <f t="shared" ca="1" si="13"/>
        <v>1006.4690558933171</v>
      </c>
      <c r="Q56" s="8">
        <f t="shared" ca="1" si="14"/>
        <v>1227.632999427062</v>
      </c>
      <c r="R56" s="8">
        <f t="shared" ca="1" si="15"/>
        <v>1255.8136527597574</v>
      </c>
      <c r="S56" s="5">
        <f t="shared" ca="1" si="16"/>
        <v>-3.6668470857541116E-2</v>
      </c>
      <c r="T56">
        <f t="shared" ca="1" si="17"/>
        <v>6.4137036783466397E-2</v>
      </c>
      <c r="U56" s="5">
        <f t="shared" ca="1" si="18"/>
        <v>5.5496285856604717E-2</v>
      </c>
    </row>
    <row r="57" spans="2:21" x14ac:dyDescent="0.25">
      <c r="B57">
        <f t="shared" si="1"/>
        <v>54</v>
      </c>
      <c r="C57">
        <f t="shared" si="27"/>
        <v>5</v>
      </c>
      <c r="D57">
        <f t="shared" si="28"/>
        <v>6</v>
      </c>
      <c r="E57" s="5">
        <f t="shared" ca="1" si="2"/>
        <v>8.4939999999999998E-3</v>
      </c>
      <c r="F57" s="5">
        <f t="shared" ca="1" si="3"/>
        <v>9.6419999999999995E-3</v>
      </c>
      <c r="G57" s="5">
        <f t="shared" ca="1" si="4"/>
        <v>1.0803E-2</v>
      </c>
      <c r="H57" s="5">
        <f t="shared" ca="1" si="5"/>
        <v>1.1856E-2</v>
      </c>
      <c r="I57" s="5">
        <f t="shared" ca="1" si="6"/>
        <v>1.2215E-2</v>
      </c>
      <c r="J57" s="5">
        <f t="shared" ca="1" si="7"/>
        <v>1.4753E-2</v>
      </c>
      <c r="K57" s="5">
        <f t="shared" ca="1" si="8"/>
        <v>1.7295999999999999E-2</v>
      </c>
      <c r="L57" s="5">
        <f t="shared" ca="1" si="9"/>
        <v>2.0105999999999999E-2</v>
      </c>
      <c r="M57" s="5">
        <f t="shared" ca="1" si="10"/>
        <v>2.2287999999999999E-2</v>
      </c>
      <c r="N57" s="5">
        <f t="shared" ca="1" si="11"/>
        <v>2.6047000000000001E-2</v>
      </c>
      <c r="O57" s="5">
        <f t="shared" ca="1" si="12"/>
        <v>2.9038000000000001E-2</v>
      </c>
      <c r="P57" s="8">
        <f t="shared" ca="1" si="13"/>
        <v>1003.9061875518173</v>
      </c>
      <c r="Q57" s="8">
        <f t="shared" ca="1" si="14"/>
        <v>1232.3482275135877</v>
      </c>
      <c r="R57" s="8">
        <f t="shared" ca="1" si="15"/>
        <v>1261.1688942304247</v>
      </c>
      <c r="S57" s="5">
        <f t="shared" ca="1" si="16"/>
        <v>-3.0132405918165555E-2</v>
      </c>
      <c r="T57">
        <f t="shared" ca="1" si="17"/>
        <v>4.707716752352533E-2</v>
      </c>
      <c r="U57" s="5">
        <f t="shared" ca="1" si="18"/>
        <v>5.2389739210752954E-2</v>
      </c>
    </row>
    <row r="58" spans="2:21" x14ac:dyDescent="0.25">
      <c r="B58">
        <f t="shared" si="1"/>
        <v>55</v>
      </c>
      <c r="C58">
        <f t="shared" si="27"/>
        <v>5</v>
      </c>
      <c r="D58">
        <f t="shared" si="28"/>
        <v>7</v>
      </c>
      <c r="E58" s="5">
        <f t="shared" ca="1" si="2"/>
        <v>8.4010000000000005E-3</v>
      </c>
      <c r="F58" s="5">
        <f t="shared" ca="1" si="3"/>
        <v>9.5829999999999995E-3</v>
      </c>
      <c r="G58" s="5">
        <f t="shared" ca="1" si="4"/>
        <v>1.0716E-2</v>
      </c>
      <c r="H58" s="5">
        <f t="shared" ca="1" si="5"/>
        <v>1.1771E-2</v>
      </c>
      <c r="I58" s="5">
        <f t="shared" ca="1" si="6"/>
        <v>1.2173E-2</v>
      </c>
      <c r="J58" s="5">
        <f t="shared" ca="1" si="7"/>
        <v>1.4741000000000001E-2</v>
      </c>
      <c r="K58" s="5">
        <f t="shared" ca="1" si="8"/>
        <v>1.7239999999999998E-2</v>
      </c>
      <c r="L58" s="5">
        <f t="shared" ca="1" si="9"/>
        <v>2.0011000000000001E-2</v>
      </c>
      <c r="M58" s="5">
        <f t="shared" ca="1" si="10"/>
        <v>2.2287999999999999E-2</v>
      </c>
      <c r="N58" s="5">
        <f t="shared" ca="1" si="11"/>
        <v>2.5958999999999999E-2</v>
      </c>
      <c r="O58" s="5">
        <f t="shared" ca="1" si="12"/>
        <v>2.8955999999999999E-2</v>
      </c>
      <c r="P58" s="8">
        <f t="shared" ca="1" si="13"/>
        <v>1000.0640660647734</v>
      </c>
      <c r="Q58" s="8">
        <f t="shared" ca="1" si="14"/>
        <v>1236.8242626943722</v>
      </c>
      <c r="R58" s="8">
        <f t="shared" ca="1" si="15"/>
        <v>1266.0952797023485</v>
      </c>
      <c r="S58" s="5">
        <f t="shared" ca="1" si="16"/>
        <v>-4.4971571015162491E-2</v>
      </c>
      <c r="T58">
        <f t="shared" ca="1" si="17"/>
        <v>4.4466744858013336E-2</v>
      </c>
      <c r="U58" s="5">
        <f t="shared" ca="1" si="18"/>
        <v>4.7894757643742195E-2</v>
      </c>
    </row>
    <row r="59" spans="2:21" x14ac:dyDescent="0.25">
      <c r="B59">
        <f t="shared" si="1"/>
        <v>56</v>
      </c>
      <c r="C59">
        <f t="shared" si="27"/>
        <v>5</v>
      </c>
      <c r="D59">
        <f t="shared" si="28"/>
        <v>8</v>
      </c>
      <c r="E59" s="5">
        <f t="shared" ca="1" si="2"/>
        <v>8.4790000000000004E-3</v>
      </c>
      <c r="F59" s="5">
        <f t="shared" ca="1" si="3"/>
        <v>9.6299999999999997E-3</v>
      </c>
      <c r="G59" s="5">
        <f t="shared" ca="1" si="4"/>
        <v>1.0695E-2</v>
      </c>
      <c r="H59" s="5">
        <f t="shared" ca="1" si="5"/>
        <v>1.1726E-2</v>
      </c>
      <c r="I59" s="5">
        <f t="shared" ca="1" si="6"/>
        <v>1.2152E-2</v>
      </c>
      <c r="J59" s="5">
        <f t="shared" ca="1" si="7"/>
        <v>1.4834999999999999E-2</v>
      </c>
      <c r="K59" s="5">
        <f t="shared" ca="1" si="8"/>
        <v>1.7179E-2</v>
      </c>
      <c r="L59" s="5">
        <f t="shared" ca="1" si="9"/>
        <v>1.9959000000000001E-2</v>
      </c>
      <c r="M59" s="5">
        <f t="shared" ca="1" si="10"/>
        <v>2.2307E-2</v>
      </c>
      <c r="N59" s="5">
        <f t="shared" ca="1" si="11"/>
        <v>2.5869E-2</v>
      </c>
      <c r="O59" s="5">
        <f t="shared" ca="1" si="12"/>
        <v>2.8958000000000001E-2</v>
      </c>
      <c r="P59" s="8">
        <f t="shared" ca="1" si="13"/>
        <v>1003.5033241973612</v>
      </c>
      <c r="Q59" s="8">
        <f t="shared" ca="1" si="14"/>
        <v>1241.1328646784448</v>
      </c>
      <c r="R59" s="8">
        <f t="shared" ca="1" si="15"/>
        <v>1271.264744752337</v>
      </c>
      <c r="S59" s="5">
        <f t="shared" ca="1" si="16"/>
        <v>4.2058052209677239E-2</v>
      </c>
      <c r="T59">
        <f t="shared" ca="1" si="17"/>
        <v>4.261352468881268E-2</v>
      </c>
      <c r="U59" s="5">
        <f t="shared" ca="1" si="18"/>
        <v>5.0111372342186891E-2</v>
      </c>
    </row>
    <row r="60" spans="2:21" x14ac:dyDescent="0.25">
      <c r="B60">
        <f t="shared" si="1"/>
        <v>57</v>
      </c>
      <c r="C60">
        <f t="shared" si="27"/>
        <v>5</v>
      </c>
      <c r="D60">
        <f t="shared" si="28"/>
        <v>9</v>
      </c>
      <c r="E60" s="5">
        <f t="shared" ca="1" si="2"/>
        <v>8.4309999999999993E-3</v>
      </c>
      <c r="F60" s="5">
        <f t="shared" ca="1" si="3"/>
        <v>9.6159999999999995E-3</v>
      </c>
      <c r="G60" s="5">
        <f t="shared" ca="1" si="4"/>
        <v>1.0789E-2</v>
      </c>
      <c r="H60" s="5">
        <f t="shared" ca="1" si="5"/>
        <v>1.1686999999999999E-2</v>
      </c>
      <c r="I60" s="5">
        <f t="shared" ca="1" si="6"/>
        <v>1.2074E-2</v>
      </c>
      <c r="J60" s="5">
        <f t="shared" ca="1" si="7"/>
        <v>1.4869E-2</v>
      </c>
      <c r="K60" s="5">
        <f t="shared" ca="1" si="8"/>
        <v>1.7124E-2</v>
      </c>
      <c r="L60" s="5">
        <f t="shared" ca="1" si="9"/>
        <v>1.9927E-2</v>
      </c>
      <c r="M60" s="5">
        <f t="shared" ca="1" si="10"/>
        <v>2.2221999999999999E-2</v>
      </c>
      <c r="N60" s="5">
        <f t="shared" ca="1" si="11"/>
        <v>2.5873E-2</v>
      </c>
      <c r="O60" s="5">
        <f t="shared" ca="1" si="12"/>
        <v>2.8972000000000001E-2</v>
      </c>
      <c r="P60" s="8">
        <f t="shared" ca="1" si="13"/>
        <v>1007.0997529588449</v>
      </c>
      <c r="Q60" s="8">
        <f t="shared" ca="1" si="14"/>
        <v>1247.2041181209388</v>
      </c>
      <c r="R60" s="8">
        <f t="shared" ca="1" si="15"/>
        <v>1276.0254081395692</v>
      </c>
      <c r="S60" s="5">
        <f t="shared" ca="1" si="16"/>
        <v>4.3864402377330303E-2</v>
      </c>
      <c r="T60">
        <f t="shared" ca="1" si="17"/>
        <v>6.0305772094584195E-2</v>
      </c>
      <c r="U60" s="5">
        <f t="shared" ca="1" si="18"/>
        <v>4.5875110670616615E-2</v>
      </c>
    </row>
    <row r="61" spans="2:21" x14ac:dyDescent="0.25">
      <c r="B61">
        <f t="shared" si="1"/>
        <v>58</v>
      </c>
      <c r="C61">
        <f t="shared" si="27"/>
        <v>5</v>
      </c>
      <c r="D61">
        <f t="shared" si="28"/>
        <v>10</v>
      </c>
      <c r="E61" s="5">
        <f t="shared" ca="1" si="2"/>
        <v>8.4329999999999995E-3</v>
      </c>
      <c r="F61" s="5">
        <f t="shared" ca="1" si="3"/>
        <v>9.6220000000000003E-3</v>
      </c>
      <c r="G61" s="5">
        <f t="shared" ca="1" si="4"/>
        <v>1.0775E-2</v>
      </c>
      <c r="H61" s="5">
        <f t="shared" ca="1" si="5"/>
        <v>1.1656E-2</v>
      </c>
      <c r="I61" s="5">
        <f t="shared" ca="1" si="6"/>
        <v>1.2074E-2</v>
      </c>
      <c r="J61" s="5">
        <f t="shared" ca="1" si="7"/>
        <v>1.4968E-2</v>
      </c>
      <c r="K61" s="5">
        <f t="shared" ca="1" si="8"/>
        <v>1.7044E-2</v>
      </c>
      <c r="L61" s="5">
        <f t="shared" ca="1" si="9"/>
        <v>1.9876999999999999E-2</v>
      </c>
      <c r="M61" s="5">
        <f t="shared" ca="1" si="10"/>
        <v>2.213E-2</v>
      </c>
      <c r="N61" s="5">
        <f t="shared" ca="1" si="11"/>
        <v>2.5947000000000001E-2</v>
      </c>
      <c r="O61" s="5">
        <f t="shared" ca="1" si="12"/>
        <v>2.8885999999999998E-2</v>
      </c>
      <c r="P61" s="8">
        <f t="shared" ca="1" si="13"/>
        <v>1006.3381601588276</v>
      </c>
      <c r="Q61" s="8">
        <f t="shared" ca="1" si="14"/>
        <v>1251.3774106421986</v>
      </c>
      <c r="R61" s="8">
        <f t="shared" ca="1" si="15"/>
        <v>1280.5636102023989</v>
      </c>
      <c r="S61" s="5">
        <f t="shared" ca="1" si="16"/>
        <v>-9.037036842529763E-3</v>
      </c>
      <c r="T61">
        <f t="shared" ca="1" si="17"/>
        <v>4.0900693736801899E-2</v>
      </c>
      <c r="U61" s="5">
        <f t="shared" ca="1" si="18"/>
        <v>4.3522963123513107E-2</v>
      </c>
    </row>
    <row r="62" spans="2:21" x14ac:dyDescent="0.25">
      <c r="B62">
        <f t="shared" si="1"/>
        <v>59</v>
      </c>
      <c r="C62">
        <f t="shared" si="27"/>
        <v>5</v>
      </c>
      <c r="D62">
        <f t="shared" si="28"/>
        <v>11</v>
      </c>
      <c r="E62" s="5">
        <f t="shared" ca="1" si="2"/>
        <v>8.4510000000000002E-3</v>
      </c>
      <c r="F62" s="5">
        <f t="shared" ca="1" si="3"/>
        <v>9.5329999999999998E-3</v>
      </c>
      <c r="G62" s="5">
        <f t="shared" ca="1" si="4"/>
        <v>1.0808999999999999E-2</v>
      </c>
      <c r="H62" s="5">
        <f t="shared" ca="1" si="5"/>
        <v>1.1625999999999999E-2</v>
      </c>
      <c r="I62" s="5">
        <f t="shared" ca="1" si="6"/>
        <v>1.2116999999999999E-2</v>
      </c>
      <c r="J62" s="5">
        <f t="shared" ca="1" si="7"/>
        <v>1.5009E-2</v>
      </c>
      <c r="K62" s="5">
        <f t="shared" ca="1" si="8"/>
        <v>1.7097999999999999E-2</v>
      </c>
      <c r="L62" s="5">
        <f t="shared" ca="1" si="9"/>
        <v>1.9886999999999998E-2</v>
      </c>
      <c r="M62" s="5">
        <f t="shared" ca="1" si="10"/>
        <v>2.2211000000000002E-2</v>
      </c>
      <c r="N62" s="5">
        <f t="shared" ca="1" si="11"/>
        <v>2.6016000000000001E-2</v>
      </c>
      <c r="O62" s="5">
        <f t="shared" ca="1" si="12"/>
        <v>2.886E-2</v>
      </c>
      <c r="P62" s="8">
        <f t="shared" ca="1" si="13"/>
        <v>1002.1272255507726</v>
      </c>
      <c r="Q62" s="8">
        <f t="shared" ca="1" si="14"/>
        <v>1257.1940802929869</v>
      </c>
      <c r="R62" s="8">
        <f t="shared" ca="1" si="15"/>
        <v>1284.8034799085372</v>
      </c>
      <c r="S62" s="5">
        <f t="shared" ca="1" si="16"/>
        <v>-4.9073310677117163E-2</v>
      </c>
      <c r="T62">
        <f t="shared" ca="1" si="17"/>
        <v>5.7226880586143059E-2</v>
      </c>
      <c r="U62" s="5">
        <f t="shared" ca="1" si="18"/>
        <v>4.0462842341382269E-2</v>
      </c>
    </row>
    <row r="63" spans="2:21" x14ac:dyDescent="0.25">
      <c r="B63">
        <f t="shared" si="1"/>
        <v>60</v>
      </c>
      <c r="C63">
        <f t="shared" si="27"/>
        <v>5</v>
      </c>
      <c r="D63">
        <f t="shared" si="28"/>
        <v>12</v>
      </c>
      <c r="E63" s="5">
        <f t="shared" ca="1" si="2"/>
        <v>8.4749999999999999E-3</v>
      </c>
      <c r="F63" s="5">
        <f t="shared" ca="1" si="3"/>
        <v>9.5169999999999994E-3</v>
      </c>
      <c r="G63" s="5">
        <f t="shared" ca="1" si="4"/>
        <v>1.0815E-2</v>
      </c>
      <c r="H63" s="5">
        <f t="shared" ca="1" si="5"/>
        <v>1.1632E-2</v>
      </c>
      <c r="I63" s="5">
        <f t="shared" ca="1" si="6"/>
        <v>1.2019E-2</v>
      </c>
      <c r="J63" s="5">
        <f t="shared" ca="1" si="7"/>
        <v>1.5042E-2</v>
      </c>
      <c r="K63" s="5">
        <f t="shared" ca="1" si="8"/>
        <v>1.7035000000000002E-2</v>
      </c>
      <c r="L63" s="5">
        <f t="shared" ca="1" si="9"/>
        <v>1.9796999999999999E-2</v>
      </c>
      <c r="M63" s="5">
        <f t="shared" ca="1" si="10"/>
        <v>2.2120999999999998E-2</v>
      </c>
      <c r="N63" s="5">
        <f t="shared" ca="1" si="11"/>
        <v>2.6076999999999999E-2</v>
      </c>
      <c r="O63" s="5">
        <f t="shared" ca="1" si="12"/>
        <v>2.8851000000000002E-2</v>
      </c>
      <c r="P63" s="8">
        <f t="shared" ca="1" si="13"/>
        <v>1003.2825720074857</v>
      </c>
      <c r="Q63" s="8">
        <f t="shared" ca="1" si="14"/>
        <v>1264.1149696371051</v>
      </c>
      <c r="R63" s="8">
        <f t="shared" ca="1" si="15"/>
        <v>1289.0958155226599</v>
      </c>
      <c r="S63" s="5">
        <f t="shared" ca="1" si="16"/>
        <v>1.3922790755516678E-2</v>
      </c>
      <c r="T63">
        <f t="shared" ca="1" si="17"/>
        <v>6.8097657025453937E-2</v>
      </c>
      <c r="U63" s="5">
        <f t="shared" ca="1" si="18"/>
        <v>4.0835108896788312E-2</v>
      </c>
    </row>
    <row r="64" spans="2:21" x14ac:dyDescent="0.25">
      <c r="B64">
        <f t="shared" si="1"/>
        <v>61</v>
      </c>
      <c r="C64">
        <f>C63+1</f>
        <v>6</v>
      </c>
      <c r="D64">
        <v>1</v>
      </c>
      <c r="E64" s="5">
        <f t="shared" ca="1" si="2"/>
        <v>8.5339999999999999E-3</v>
      </c>
      <c r="F64" s="5">
        <f t="shared" ca="1" si="3"/>
        <v>9.5860000000000008E-3</v>
      </c>
      <c r="G64" s="5">
        <f t="shared" ca="1" si="4"/>
        <v>1.0784E-2</v>
      </c>
      <c r="H64" s="5">
        <f t="shared" ca="1" si="5"/>
        <v>1.1571E-2</v>
      </c>
      <c r="I64" s="5">
        <f t="shared" ca="1" si="6"/>
        <v>1.2069E-2</v>
      </c>
      <c r="J64" s="5">
        <f t="shared" ca="1" si="7"/>
        <v>1.4954E-2</v>
      </c>
      <c r="K64" s="5">
        <f t="shared" ca="1" si="8"/>
        <v>1.6988E-2</v>
      </c>
      <c r="L64" s="5">
        <f t="shared" ca="1" si="9"/>
        <v>1.9869999999999999E-2</v>
      </c>
      <c r="M64" s="5">
        <f t="shared" ca="1" si="10"/>
        <v>2.2102E-2</v>
      </c>
      <c r="N64" s="5">
        <f t="shared" ca="1" si="11"/>
        <v>2.6023000000000001E-2</v>
      </c>
      <c r="O64" s="5">
        <f t="shared" ca="1" si="12"/>
        <v>2.8775999999999999E-2</v>
      </c>
      <c r="P64" s="8">
        <f t="shared" ca="1" si="13"/>
        <v>1003.7840573570438</v>
      </c>
      <c r="Q64" s="8">
        <f t="shared" ca="1" si="14"/>
        <v>1270.2479091957223</v>
      </c>
      <c r="R64" s="8">
        <f t="shared" ca="1" si="15"/>
        <v>1293.7668461006431</v>
      </c>
      <c r="S64" s="5">
        <f t="shared" ca="1" si="16"/>
        <v>6.0146521337759535E-3</v>
      </c>
      <c r="T64">
        <f t="shared" ca="1" si="17"/>
        <v>5.9797702470884236E-2</v>
      </c>
      <c r="U64" s="5">
        <f t="shared" ca="1" si="18"/>
        <v>4.4359037568408359E-2</v>
      </c>
    </row>
    <row r="65" spans="2:21" x14ac:dyDescent="0.25">
      <c r="B65">
        <f t="shared" si="1"/>
        <v>62</v>
      </c>
      <c r="C65">
        <f>C64</f>
        <v>6</v>
      </c>
      <c r="D65">
        <v>2</v>
      </c>
      <c r="E65" s="5">
        <f t="shared" ca="1" si="2"/>
        <v>8.6020000000000003E-3</v>
      </c>
      <c r="F65" s="5">
        <f t="shared" ca="1" si="3"/>
        <v>9.6270000000000001E-3</v>
      </c>
      <c r="G65" s="5">
        <f t="shared" ca="1" si="4"/>
        <v>1.0714E-2</v>
      </c>
      <c r="H65" s="5">
        <f t="shared" ca="1" si="5"/>
        <v>1.1658999999999999E-2</v>
      </c>
      <c r="I65" s="5">
        <f t="shared" ca="1" si="6"/>
        <v>1.2134000000000001E-2</v>
      </c>
      <c r="J65" s="5">
        <f t="shared" ca="1" si="7"/>
        <v>1.5044999999999999E-2</v>
      </c>
      <c r="K65" s="5">
        <f t="shared" ca="1" si="8"/>
        <v>1.7010000000000001E-2</v>
      </c>
      <c r="L65" s="5">
        <f t="shared" ca="1" si="9"/>
        <v>1.9890999999999999E-2</v>
      </c>
      <c r="M65" s="5">
        <f t="shared" ca="1" si="10"/>
        <v>2.2044000000000001E-2</v>
      </c>
      <c r="N65" s="5">
        <f t="shared" ca="1" si="11"/>
        <v>2.6107999999999999E-2</v>
      </c>
      <c r="O65" s="5">
        <f t="shared" ca="1" si="12"/>
        <v>2.8829E-2</v>
      </c>
      <c r="P65" s="8">
        <f t="shared" ca="1" si="13"/>
        <v>1004.7310346151687</v>
      </c>
      <c r="Q65" s="8">
        <f t="shared" ca="1" si="14"/>
        <v>1275.8553085046576</v>
      </c>
      <c r="R65" s="8">
        <f t="shared" ca="1" si="15"/>
        <v>1298.7082692714321</v>
      </c>
      <c r="S65" s="5">
        <f t="shared" ca="1" si="16"/>
        <v>1.1379814472988074E-2</v>
      </c>
      <c r="T65">
        <f t="shared" ca="1" si="17"/>
        <v>5.4278219554410784E-2</v>
      </c>
      <c r="U65" s="5">
        <f t="shared" ca="1" si="18"/>
        <v>4.6808057026466773E-2</v>
      </c>
    </row>
    <row r="66" spans="2:21" x14ac:dyDescent="0.25">
      <c r="B66">
        <f t="shared" si="1"/>
        <v>63</v>
      </c>
      <c r="C66">
        <f t="shared" ref="C66:C75" si="29">C65</f>
        <v>6</v>
      </c>
      <c r="D66">
        <v>3</v>
      </c>
      <c r="E66" s="5">
        <f t="shared" ca="1" si="2"/>
        <v>8.6870000000000003E-3</v>
      </c>
      <c r="F66" s="5">
        <f t="shared" ca="1" si="3"/>
        <v>9.6810000000000004E-3</v>
      </c>
      <c r="G66" s="5">
        <f t="shared" ca="1" si="4"/>
        <v>1.0713E-2</v>
      </c>
      <c r="H66" s="5">
        <f t="shared" ca="1" si="5"/>
        <v>1.1686E-2</v>
      </c>
      <c r="I66" s="5">
        <f t="shared" ca="1" si="6"/>
        <v>1.2232E-2</v>
      </c>
      <c r="J66" s="5">
        <f t="shared" ca="1" si="7"/>
        <v>1.4984000000000001E-2</v>
      </c>
      <c r="K66" s="5">
        <f t="shared" ca="1" si="8"/>
        <v>1.7024999999999998E-2</v>
      </c>
      <c r="L66" s="5">
        <f t="shared" ca="1" si="9"/>
        <v>1.9954E-2</v>
      </c>
      <c r="M66" s="5">
        <f t="shared" ca="1" si="10"/>
        <v>2.2072000000000001E-2</v>
      </c>
      <c r="N66" s="5">
        <f t="shared" ca="1" si="11"/>
        <v>2.6159000000000002E-2</v>
      </c>
      <c r="O66" s="5">
        <f t="shared" ca="1" si="12"/>
        <v>2.8735E-2</v>
      </c>
      <c r="P66" s="8">
        <f t="shared" ca="1" si="13"/>
        <v>1008.0078713098633</v>
      </c>
      <c r="Q66" s="8">
        <f t="shared" ca="1" si="14"/>
        <v>1279.6654786538782</v>
      </c>
      <c r="R66" s="8">
        <f t="shared" ca="1" si="15"/>
        <v>1303.2031700048833</v>
      </c>
      <c r="S66" s="5">
        <f t="shared" ca="1" si="16"/>
        <v>3.9846597809374287E-2</v>
      </c>
      <c r="T66">
        <f t="shared" ca="1" si="17"/>
        <v>3.6430896710606404E-2</v>
      </c>
      <c r="U66" s="5">
        <f t="shared" ca="1" si="18"/>
        <v>4.2332459909545032E-2</v>
      </c>
    </row>
    <row r="67" spans="2:21" x14ac:dyDescent="0.25">
      <c r="B67">
        <f t="shared" si="1"/>
        <v>64</v>
      </c>
      <c r="C67">
        <f t="shared" si="29"/>
        <v>6</v>
      </c>
      <c r="D67">
        <f>D66+1</f>
        <v>4</v>
      </c>
      <c r="E67" s="5">
        <f t="shared" ca="1" si="2"/>
        <v>8.5880000000000001E-3</v>
      </c>
      <c r="F67" s="5">
        <f t="shared" ca="1" si="3"/>
        <v>9.6229999999999996E-3</v>
      </c>
      <c r="G67" s="5">
        <f t="shared" ca="1" si="4"/>
        <v>1.0692E-2</v>
      </c>
      <c r="H67" s="5">
        <f t="shared" ca="1" si="5"/>
        <v>1.1622E-2</v>
      </c>
      <c r="I67" s="5">
        <f t="shared" ca="1" si="6"/>
        <v>1.2262E-2</v>
      </c>
      <c r="J67" s="5">
        <f t="shared" ca="1" si="7"/>
        <v>1.5069000000000001E-2</v>
      </c>
      <c r="K67" s="5">
        <f t="shared" ca="1" si="8"/>
        <v>1.7076000000000001E-2</v>
      </c>
      <c r="L67" s="5">
        <f t="shared" ca="1" si="9"/>
        <v>1.9994000000000001E-2</v>
      </c>
      <c r="M67" s="5">
        <f t="shared" ca="1" si="10"/>
        <v>2.2107000000000002E-2</v>
      </c>
      <c r="N67" s="5">
        <f t="shared" ca="1" si="11"/>
        <v>2.6151000000000001E-2</v>
      </c>
      <c r="O67" s="5">
        <f t="shared" ca="1" si="12"/>
        <v>2.8674999999999999E-2</v>
      </c>
      <c r="P67" s="8">
        <f t="shared" ca="1" si="13"/>
        <v>1011.1398498520681</v>
      </c>
      <c r="Q67" s="8">
        <f t="shared" ca="1" si="14"/>
        <v>1286.6950180512808</v>
      </c>
      <c r="R67" s="8">
        <f t="shared" ca="1" si="15"/>
        <v>1307.8236680904695</v>
      </c>
      <c r="S67" s="5">
        <f t="shared" ca="1" si="16"/>
        <v>3.7928980727456735E-2</v>
      </c>
      <c r="T67">
        <f t="shared" ca="1" si="17"/>
        <v>6.7947694518380758E-2</v>
      </c>
      <c r="U67" s="5">
        <f t="shared" ca="1" si="18"/>
        <v>4.3385457667686721E-2</v>
      </c>
    </row>
    <row r="68" spans="2:21" x14ac:dyDescent="0.25">
      <c r="B68">
        <f t="shared" si="1"/>
        <v>65</v>
      </c>
      <c r="C68">
        <f t="shared" si="29"/>
        <v>6</v>
      </c>
      <c r="D68">
        <f t="shared" ref="D68:D75" si="30">D67+1</f>
        <v>5</v>
      </c>
      <c r="E68" s="5">
        <f t="shared" ca="1" si="2"/>
        <v>8.6800000000000002E-3</v>
      </c>
      <c r="F68" s="5">
        <f t="shared" ca="1" si="3"/>
        <v>9.7109999999999991E-3</v>
      </c>
      <c r="G68" s="5">
        <f t="shared" ca="1" si="4"/>
        <v>1.0664999999999999E-2</v>
      </c>
      <c r="H68" s="5">
        <f t="shared" ca="1" si="5"/>
        <v>1.1609E-2</v>
      </c>
      <c r="I68" s="5">
        <f t="shared" ca="1" si="6"/>
        <v>1.2333E-2</v>
      </c>
      <c r="J68" s="5">
        <f t="shared" ca="1" si="7"/>
        <v>1.5046E-2</v>
      </c>
      <c r="K68" s="5">
        <f t="shared" ca="1" si="8"/>
        <v>1.7113E-2</v>
      </c>
      <c r="L68" s="5">
        <f t="shared" ca="1" si="9"/>
        <v>0.02</v>
      </c>
      <c r="M68" s="5">
        <f t="shared" ca="1" si="10"/>
        <v>2.2062999999999999E-2</v>
      </c>
      <c r="N68" s="5">
        <f t="shared" ca="1" si="11"/>
        <v>2.6112E-2</v>
      </c>
      <c r="O68" s="5">
        <f t="shared" ca="1" si="12"/>
        <v>2.8622999999999999E-2</v>
      </c>
      <c r="P68" s="8">
        <f t="shared" ca="1" si="13"/>
        <v>1014.3525082092725</v>
      </c>
      <c r="Q68" s="8">
        <f t="shared" ca="1" si="14"/>
        <v>1291.0307954188163</v>
      </c>
      <c r="R68" s="8">
        <f t="shared" ca="1" si="15"/>
        <v>1312.1061401828324</v>
      </c>
      <c r="S68" s="5">
        <f t="shared" ca="1" si="16"/>
        <v>3.8800546915723128E-2</v>
      </c>
      <c r="T68">
        <f t="shared" ca="1" si="17"/>
        <v>4.119431515519479E-2</v>
      </c>
      <c r="U68" s="5">
        <f t="shared" ca="1" si="18"/>
        <v>4.0009489805850652E-2</v>
      </c>
    </row>
    <row r="69" spans="2:21" x14ac:dyDescent="0.25">
      <c r="B69">
        <f t="shared" ref="B69:B132" si="31">B68+1</f>
        <v>66</v>
      </c>
      <c r="C69">
        <f t="shared" si="29"/>
        <v>6</v>
      </c>
      <c r="D69">
        <f t="shared" si="30"/>
        <v>6</v>
      </c>
      <c r="E69" s="5">
        <f t="shared" ref="E69:E132" ca="1" si="32">ROUND(E68+(RAND()*2-1+0.01)/10^4,6)</f>
        <v>8.6969999999999999E-3</v>
      </c>
      <c r="F69" s="5">
        <f t="shared" ref="F69:F132" ca="1" si="33">ROUND(F68+(RAND()*2-1+0.01)/10^4,6)</f>
        <v>9.6620000000000004E-3</v>
      </c>
      <c r="G69" s="5">
        <f t="shared" ref="G69:G132" ca="1" si="34">ROUND(G68+(RAND()*2-1+0.01)/10^4,6)</f>
        <v>1.064E-2</v>
      </c>
      <c r="H69" s="5">
        <f t="shared" ref="H69:H132" ca="1" si="35">ROUND(H68+(RAND()*2-1+0.01)/10^4,6)</f>
        <v>1.1695000000000001E-2</v>
      </c>
      <c r="I69" s="5">
        <f t="shared" ref="I69:I132" ca="1" si="36">ROUND(I68+(RAND()*2-1+0.01)/10^4,6)</f>
        <v>1.23E-2</v>
      </c>
      <c r="J69" s="5">
        <f t="shared" ref="J69:J132" ca="1" si="37">ROUND(J68+(RAND()*2-1+0.01)/10^4,6)</f>
        <v>1.5055000000000001E-2</v>
      </c>
      <c r="K69" s="5">
        <f t="shared" ref="K69:K132" ca="1" si="38">ROUND(K68+(RAND()*2-1+0.01)/10^4,6)</f>
        <v>1.7163999999999999E-2</v>
      </c>
      <c r="L69" s="5">
        <f t="shared" ref="L69:L132" ca="1" si="39">ROUND(L68+(RAND()*2-1+0.01)/10^4,6)</f>
        <v>2.0091999999999999E-2</v>
      </c>
      <c r="M69" s="5">
        <f t="shared" ref="M69:M132" ca="1" si="40">ROUND(M68+(RAND()*2-1+0.01)/10^4,6)</f>
        <v>2.1984E-2</v>
      </c>
      <c r="N69" s="5">
        <f t="shared" ref="N69:N132" ca="1" si="41">ROUND(N68+(RAND()*2-1+0.01)/10^4,6)</f>
        <v>2.6019E-2</v>
      </c>
      <c r="O69" s="5">
        <f t="shared" ref="O69:O132" ca="1" si="42">ROUND(O68+(RAND()*2-1+0.01)/10^4,6)</f>
        <v>2.87E-2</v>
      </c>
      <c r="P69" s="8">
        <f t="shared" ref="P69:P132" ca="1" si="43">P68*(1+S69)^(1/12)</f>
        <v>1011.2786650916279</v>
      </c>
      <c r="Q69" s="8">
        <f t="shared" ref="Q69:Q132" ca="1" si="44">Q68*(1+T69)^(1/12)</f>
        <v>1298.5116458599757</v>
      </c>
      <c r="R69" s="8">
        <f t="shared" ref="R69:R132" ca="1" si="45">R68*(1+U69)^(1/12)</f>
        <v>1316.6225646157739</v>
      </c>
      <c r="S69" s="5">
        <f t="shared" ref="S69:S132" ca="1" si="46">RAND()*10/100-5/100+S68/10</f>
        <v>-3.5764201110107807E-2</v>
      </c>
      <c r="T69">
        <f t="shared" ref="T69:T132" ca="1" si="47">M69+RAND()*4/100+0.01</f>
        <v>7.1793124681644199E-2</v>
      </c>
      <c r="U69" s="5">
        <f t="shared" ref="U69:U132" ca="1" si="48">RAND()*1/100-0.5/100+U68</f>
        <v>4.2096440293668963E-2</v>
      </c>
    </row>
    <row r="70" spans="2:21" x14ac:dyDescent="0.25">
      <c r="B70">
        <f t="shared" si="31"/>
        <v>67</v>
      </c>
      <c r="C70">
        <f t="shared" si="29"/>
        <v>6</v>
      </c>
      <c r="D70">
        <f t="shared" si="30"/>
        <v>7</v>
      </c>
      <c r="E70" s="5">
        <f t="shared" ca="1" si="32"/>
        <v>8.7919999999999995E-3</v>
      </c>
      <c r="F70" s="5">
        <f t="shared" ca="1" si="33"/>
        <v>9.6780000000000008E-3</v>
      </c>
      <c r="G70" s="5">
        <f t="shared" ca="1" si="34"/>
        <v>1.0652E-2</v>
      </c>
      <c r="H70" s="5">
        <f t="shared" ca="1" si="35"/>
        <v>1.1691E-2</v>
      </c>
      <c r="I70" s="5">
        <f t="shared" ca="1" si="36"/>
        <v>1.2396000000000001E-2</v>
      </c>
      <c r="J70" s="5">
        <f t="shared" ca="1" si="37"/>
        <v>1.5122999999999999E-2</v>
      </c>
      <c r="K70" s="5">
        <f t="shared" ca="1" si="38"/>
        <v>1.7148E-2</v>
      </c>
      <c r="L70" s="5">
        <f t="shared" ca="1" si="39"/>
        <v>2.0018999999999999E-2</v>
      </c>
      <c r="M70" s="5">
        <f t="shared" ca="1" si="40"/>
        <v>2.1957000000000001E-2</v>
      </c>
      <c r="N70" s="5">
        <f t="shared" ca="1" si="41"/>
        <v>2.5922000000000001E-2</v>
      </c>
      <c r="O70" s="5">
        <f t="shared" ca="1" si="42"/>
        <v>2.8608000000000001E-2</v>
      </c>
      <c r="P70" s="8">
        <f t="shared" ca="1" si="43"/>
        <v>1006.9463872007934</v>
      </c>
      <c r="Q70" s="8">
        <f t="shared" ca="1" si="44"/>
        <v>1302.856180037041</v>
      </c>
      <c r="R70" s="8">
        <f t="shared" ca="1" si="45"/>
        <v>1321.2025423553575</v>
      </c>
      <c r="S70" s="5">
        <f t="shared" ca="1" si="46"/>
        <v>-5.0213404387938559E-2</v>
      </c>
      <c r="T70">
        <f t="shared" ca="1" si="47"/>
        <v>4.0896481092922446E-2</v>
      </c>
      <c r="U70" s="5">
        <f t="shared" ca="1" si="48"/>
        <v>4.2550935256043955E-2</v>
      </c>
    </row>
    <row r="71" spans="2:21" x14ac:dyDescent="0.25">
      <c r="B71">
        <f t="shared" si="31"/>
        <v>68</v>
      </c>
      <c r="C71">
        <f t="shared" si="29"/>
        <v>6</v>
      </c>
      <c r="D71">
        <f t="shared" si="30"/>
        <v>8</v>
      </c>
      <c r="E71" s="5">
        <f t="shared" ca="1" si="32"/>
        <v>8.8780000000000005E-3</v>
      </c>
      <c r="F71" s="5">
        <f t="shared" ca="1" si="33"/>
        <v>9.6520000000000009E-3</v>
      </c>
      <c r="G71" s="5">
        <f t="shared" ca="1" si="34"/>
        <v>1.0716E-2</v>
      </c>
      <c r="H71" s="5">
        <f t="shared" ca="1" si="35"/>
        <v>1.1651E-2</v>
      </c>
      <c r="I71" s="5">
        <f t="shared" ca="1" si="36"/>
        <v>1.2341E-2</v>
      </c>
      <c r="J71" s="5">
        <f t="shared" ca="1" si="37"/>
        <v>1.5173000000000001E-2</v>
      </c>
      <c r="K71" s="5">
        <f t="shared" ca="1" si="38"/>
        <v>1.7184000000000001E-2</v>
      </c>
      <c r="L71" s="5">
        <f t="shared" ca="1" si="39"/>
        <v>2.0116999999999999E-2</v>
      </c>
      <c r="M71" s="5">
        <f t="shared" ca="1" si="40"/>
        <v>2.1873E-2</v>
      </c>
      <c r="N71" s="5">
        <f t="shared" ca="1" si="41"/>
        <v>2.5898000000000001E-2</v>
      </c>
      <c r="O71" s="5">
        <f t="shared" ca="1" si="42"/>
        <v>2.8681000000000002E-2</v>
      </c>
      <c r="P71" s="8">
        <f t="shared" ca="1" si="43"/>
        <v>1002.6970486318701</v>
      </c>
      <c r="Q71" s="8">
        <f t="shared" ca="1" si="44"/>
        <v>1308.9232868506701</v>
      </c>
      <c r="R71" s="8">
        <f t="shared" ca="1" si="45"/>
        <v>1326.1333218839613</v>
      </c>
      <c r="S71" s="5">
        <f t="shared" ca="1" si="46"/>
        <v>-4.948130527288809E-2</v>
      </c>
      <c r="T71">
        <f t="shared" ca="1" si="47"/>
        <v>5.7334985340982809E-2</v>
      </c>
      <c r="U71" s="5">
        <f t="shared" ca="1" si="48"/>
        <v>4.571525693296262E-2</v>
      </c>
    </row>
    <row r="72" spans="2:21" x14ac:dyDescent="0.25">
      <c r="B72">
        <f t="shared" si="31"/>
        <v>69</v>
      </c>
      <c r="C72">
        <f t="shared" si="29"/>
        <v>6</v>
      </c>
      <c r="D72">
        <f t="shared" si="30"/>
        <v>9</v>
      </c>
      <c r="E72" s="5">
        <f t="shared" ca="1" si="32"/>
        <v>8.8979999999999997E-3</v>
      </c>
      <c r="F72" s="5">
        <f t="shared" ca="1" si="33"/>
        <v>9.7090000000000006E-3</v>
      </c>
      <c r="G72" s="5">
        <f t="shared" ca="1" si="34"/>
        <v>1.0810999999999999E-2</v>
      </c>
      <c r="H72" s="5">
        <f t="shared" ca="1" si="35"/>
        <v>1.157E-2</v>
      </c>
      <c r="I72" s="5">
        <f t="shared" ca="1" si="36"/>
        <v>1.2378E-2</v>
      </c>
      <c r="J72" s="5">
        <f t="shared" ca="1" si="37"/>
        <v>1.5216E-2</v>
      </c>
      <c r="K72" s="5">
        <f t="shared" ca="1" si="38"/>
        <v>1.7215999999999999E-2</v>
      </c>
      <c r="L72" s="5">
        <f t="shared" ca="1" si="39"/>
        <v>2.0129000000000001E-2</v>
      </c>
      <c r="M72" s="5">
        <f t="shared" ca="1" si="40"/>
        <v>2.1777999999999999E-2</v>
      </c>
      <c r="N72" s="5">
        <f t="shared" ca="1" si="41"/>
        <v>2.5887E-2</v>
      </c>
      <c r="O72" s="5">
        <f t="shared" ca="1" si="42"/>
        <v>2.8712999999999999E-2</v>
      </c>
      <c r="P72" s="8">
        <f t="shared" ca="1" si="43"/>
        <v>1001.0373305295119</v>
      </c>
      <c r="Q72" s="8">
        <f t="shared" ca="1" si="44"/>
        <v>1316.3713977269924</v>
      </c>
      <c r="R72" s="8">
        <f t="shared" ca="1" si="45"/>
        <v>1330.869822963539</v>
      </c>
      <c r="S72" s="5">
        <f t="shared" ca="1" si="46"/>
        <v>-1.9683208560158674E-2</v>
      </c>
      <c r="T72">
        <f t="shared" ca="1" si="47"/>
        <v>7.0461166812217493E-2</v>
      </c>
      <c r="U72" s="5">
        <f t="shared" ca="1" si="48"/>
        <v>4.3712005858783057E-2</v>
      </c>
    </row>
    <row r="73" spans="2:21" x14ac:dyDescent="0.25">
      <c r="B73">
        <f t="shared" si="31"/>
        <v>70</v>
      </c>
      <c r="C73">
        <f t="shared" si="29"/>
        <v>6</v>
      </c>
      <c r="D73">
        <f t="shared" si="30"/>
        <v>10</v>
      </c>
      <c r="E73" s="5">
        <f t="shared" ca="1" si="32"/>
        <v>8.8880000000000001E-3</v>
      </c>
      <c r="F73" s="5">
        <f t="shared" ca="1" si="33"/>
        <v>9.6439999999999998E-3</v>
      </c>
      <c r="G73" s="5">
        <f t="shared" ca="1" si="34"/>
        <v>1.0848E-2</v>
      </c>
      <c r="H73" s="5">
        <f t="shared" ca="1" si="35"/>
        <v>1.1507E-2</v>
      </c>
      <c r="I73" s="5">
        <f t="shared" ca="1" si="36"/>
        <v>1.23E-2</v>
      </c>
      <c r="J73" s="5">
        <f t="shared" ca="1" si="37"/>
        <v>1.5202E-2</v>
      </c>
      <c r="K73" s="5">
        <f t="shared" ca="1" si="38"/>
        <v>1.7269E-2</v>
      </c>
      <c r="L73" s="5">
        <f t="shared" ca="1" si="39"/>
        <v>2.0088999999999999E-2</v>
      </c>
      <c r="M73" s="5">
        <f t="shared" ca="1" si="40"/>
        <v>2.1821E-2</v>
      </c>
      <c r="N73" s="5">
        <f t="shared" ca="1" si="41"/>
        <v>2.5884000000000001E-2</v>
      </c>
      <c r="O73" s="5">
        <f t="shared" ca="1" si="42"/>
        <v>2.8636000000000002E-2</v>
      </c>
      <c r="P73" s="8">
        <f t="shared" ca="1" si="43"/>
        <v>1000.9396244679799</v>
      </c>
      <c r="Q73" s="8">
        <f t="shared" ca="1" si="44"/>
        <v>1320.2472278775763</v>
      </c>
      <c r="R73" s="8">
        <f t="shared" ca="1" si="45"/>
        <v>1336.1471402755003</v>
      </c>
      <c r="S73" s="5">
        <f t="shared" ca="1" si="46"/>
        <v>-1.1706291993072325E-3</v>
      </c>
      <c r="T73">
        <f t="shared" ca="1" si="47"/>
        <v>3.5909756512525724E-2</v>
      </c>
      <c r="U73" s="5">
        <f t="shared" ca="1" si="48"/>
        <v>4.8635378617784136E-2</v>
      </c>
    </row>
    <row r="74" spans="2:21" x14ac:dyDescent="0.25">
      <c r="B74">
        <f t="shared" si="31"/>
        <v>71</v>
      </c>
      <c r="C74">
        <f t="shared" si="29"/>
        <v>6</v>
      </c>
      <c r="D74">
        <f t="shared" si="30"/>
        <v>11</v>
      </c>
      <c r="E74" s="5">
        <f t="shared" ca="1" si="32"/>
        <v>8.7950000000000007E-3</v>
      </c>
      <c r="F74" s="5">
        <f t="shared" ca="1" si="33"/>
        <v>9.665E-3</v>
      </c>
      <c r="G74" s="5">
        <f t="shared" ca="1" si="34"/>
        <v>1.0751E-2</v>
      </c>
      <c r="H74" s="5">
        <f t="shared" ca="1" si="35"/>
        <v>1.1554999999999999E-2</v>
      </c>
      <c r="I74" s="5">
        <f t="shared" ca="1" si="36"/>
        <v>1.2233000000000001E-2</v>
      </c>
      <c r="J74" s="5">
        <f t="shared" ca="1" si="37"/>
        <v>1.5224E-2</v>
      </c>
      <c r="K74" s="5">
        <f t="shared" ca="1" si="38"/>
        <v>1.7262E-2</v>
      </c>
      <c r="L74" s="5">
        <f t="shared" ca="1" si="39"/>
        <v>2.0128E-2</v>
      </c>
      <c r="M74" s="5">
        <f t="shared" ca="1" si="40"/>
        <v>2.1912999999999998E-2</v>
      </c>
      <c r="N74" s="5">
        <f t="shared" ca="1" si="41"/>
        <v>2.5881999999999999E-2</v>
      </c>
      <c r="O74" s="5">
        <f t="shared" ca="1" si="42"/>
        <v>2.8545000000000001E-2</v>
      </c>
      <c r="P74" s="8">
        <f t="shared" ca="1" si="43"/>
        <v>1002.6735133414476</v>
      </c>
      <c r="Q74" s="8">
        <f t="shared" ca="1" si="44"/>
        <v>1324.3596292825657</v>
      </c>
      <c r="R74" s="8">
        <f t="shared" ca="1" si="45"/>
        <v>1341.2720964160244</v>
      </c>
      <c r="S74" s="5">
        <f t="shared" ca="1" si="46"/>
        <v>2.0986330525969606E-2</v>
      </c>
      <c r="T74">
        <f t="shared" ca="1" si="47"/>
        <v>3.8025522501823603E-2</v>
      </c>
      <c r="U74" s="5">
        <f t="shared" ca="1" si="48"/>
        <v>4.7010985319105129E-2</v>
      </c>
    </row>
    <row r="75" spans="2:21" x14ac:dyDescent="0.25">
      <c r="B75">
        <f t="shared" si="31"/>
        <v>72</v>
      </c>
      <c r="C75">
        <f t="shared" si="29"/>
        <v>6</v>
      </c>
      <c r="D75">
        <f t="shared" si="30"/>
        <v>12</v>
      </c>
      <c r="E75" s="5">
        <f t="shared" ca="1" si="32"/>
        <v>8.7620000000000007E-3</v>
      </c>
      <c r="F75" s="5">
        <f t="shared" ca="1" si="33"/>
        <v>9.7070000000000004E-3</v>
      </c>
      <c r="G75" s="5">
        <f t="shared" ca="1" si="34"/>
        <v>1.0803E-2</v>
      </c>
      <c r="H75" s="5">
        <f t="shared" ca="1" si="35"/>
        <v>1.1483999999999999E-2</v>
      </c>
      <c r="I75" s="5">
        <f t="shared" ca="1" si="36"/>
        <v>1.2314E-2</v>
      </c>
      <c r="J75" s="5">
        <f t="shared" ca="1" si="37"/>
        <v>1.5176E-2</v>
      </c>
      <c r="K75" s="5">
        <f t="shared" ca="1" si="38"/>
        <v>1.7288999999999999E-2</v>
      </c>
      <c r="L75" s="5">
        <f t="shared" ca="1" si="39"/>
        <v>2.0032000000000001E-2</v>
      </c>
      <c r="M75" s="5">
        <f t="shared" ca="1" si="40"/>
        <v>2.2006000000000001E-2</v>
      </c>
      <c r="N75" s="5">
        <f t="shared" ca="1" si="41"/>
        <v>2.5836000000000001E-2</v>
      </c>
      <c r="O75" s="5">
        <f t="shared" ca="1" si="42"/>
        <v>2.8472999999999998E-2</v>
      </c>
      <c r="P75" s="8">
        <f t="shared" ca="1" si="43"/>
        <v>1002.585135046451</v>
      </c>
      <c r="Q75" s="8">
        <f t="shared" ca="1" si="44"/>
        <v>1328.8877633930031</v>
      </c>
      <c r="R75" s="8">
        <f t="shared" ca="1" si="45"/>
        <v>1346.3123564023626</v>
      </c>
      <c r="S75" s="5">
        <f t="shared" ca="1" si="46"/>
        <v>-1.0571991218516451E-3</v>
      </c>
      <c r="T75">
        <f t="shared" ca="1" si="47"/>
        <v>4.1809769083783893E-2</v>
      </c>
      <c r="U75" s="5">
        <f t="shared" ca="1" si="48"/>
        <v>4.6037621709371486E-2</v>
      </c>
    </row>
    <row r="76" spans="2:21" x14ac:dyDescent="0.25">
      <c r="B76">
        <f t="shared" si="31"/>
        <v>73</v>
      </c>
      <c r="C76">
        <f>C75+1</f>
        <v>7</v>
      </c>
      <c r="D76">
        <v>1</v>
      </c>
      <c r="E76" s="5">
        <f t="shared" ca="1" si="32"/>
        <v>8.7349999999999997E-3</v>
      </c>
      <c r="F76" s="5">
        <f t="shared" ca="1" si="33"/>
        <v>9.7350000000000006E-3</v>
      </c>
      <c r="G76" s="5">
        <f t="shared" ca="1" si="34"/>
        <v>1.0747E-2</v>
      </c>
      <c r="H76" s="5">
        <f t="shared" ca="1" si="35"/>
        <v>1.1516E-2</v>
      </c>
      <c r="I76" s="5">
        <f t="shared" ca="1" si="36"/>
        <v>1.2370000000000001E-2</v>
      </c>
      <c r="J76" s="5">
        <f t="shared" ca="1" si="37"/>
        <v>1.5211000000000001E-2</v>
      </c>
      <c r="K76" s="5">
        <f t="shared" ca="1" si="38"/>
        <v>1.7256000000000001E-2</v>
      </c>
      <c r="L76" s="5">
        <f t="shared" ca="1" si="39"/>
        <v>1.9935999999999999E-2</v>
      </c>
      <c r="M76" s="5">
        <f t="shared" ca="1" si="40"/>
        <v>2.1964000000000001E-2</v>
      </c>
      <c r="N76" s="5">
        <f t="shared" ca="1" si="41"/>
        <v>2.5791999999999999E-2</v>
      </c>
      <c r="O76" s="5">
        <f t="shared" ca="1" si="42"/>
        <v>2.8386999999999999E-2</v>
      </c>
      <c r="P76" s="8">
        <f t="shared" ca="1" si="43"/>
        <v>1005.957332362088</v>
      </c>
      <c r="Q76" s="8">
        <f t="shared" ca="1" si="44"/>
        <v>1334.6348094542541</v>
      </c>
      <c r="R76" s="8">
        <f t="shared" ca="1" si="45"/>
        <v>1351.6011403312145</v>
      </c>
      <c r="S76" s="5">
        <f t="shared" ca="1" si="46"/>
        <v>4.1117129298256422E-2</v>
      </c>
      <c r="T76">
        <f t="shared" ca="1" si="47"/>
        <v>5.314881781594024E-2</v>
      </c>
      <c r="U76" s="5">
        <f t="shared" ca="1" si="48"/>
        <v>4.8172142473566194E-2</v>
      </c>
    </row>
    <row r="77" spans="2:21" x14ac:dyDescent="0.25">
      <c r="B77">
        <f t="shared" si="31"/>
        <v>74</v>
      </c>
      <c r="C77">
        <f>C76</f>
        <v>7</v>
      </c>
      <c r="D77">
        <v>2</v>
      </c>
      <c r="E77" s="5">
        <f t="shared" ca="1" si="32"/>
        <v>8.829E-3</v>
      </c>
      <c r="F77" s="5">
        <f t="shared" ca="1" si="33"/>
        <v>9.7389999999999994E-3</v>
      </c>
      <c r="G77" s="5">
        <f t="shared" ca="1" si="34"/>
        <v>1.0834E-2</v>
      </c>
      <c r="H77" s="5">
        <f t="shared" ca="1" si="35"/>
        <v>1.1487000000000001E-2</v>
      </c>
      <c r="I77" s="5">
        <f t="shared" ca="1" si="36"/>
        <v>1.2439E-2</v>
      </c>
      <c r="J77" s="5">
        <f t="shared" ca="1" si="37"/>
        <v>1.5254E-2</v>
      </c>
      <c r="K77" s="5">
        <f t="shared" ca="1" si="38"/>
        <v>1.72E-2</v>
      </c>
      <c r="L77" s="5">
        <f t="shared" ca="1" si="39"/>
        <v>1.9878E-2</v>
      </c>
      <c r="M77" s="5">
        <f t="shared" ca="1" si="40"/>
        <v>2.1975000000000001E-2</v>
      </c>
      <c r="N77" s="5">
        <f t="shared" ca="1" si="41"/>
        <v>2.5784999999999999E-2</v>
      </c>
      <c r="O77" s="5">
        <f t="shared" ca="1" si="42"/>
        <v>2.8320000000000001E-2</v>
      </c>
      <c r="P77" s="8">
        <f t="shared" ca="1" si="43"/>
        <v>1003.8327111912479</v>
      </c>
      <c r="Q77" s="8">
        <f t="shared" ca="1" si="44"/>
        <v>1338.9733600816921</v>
      </c>
      <c r="R77" s="8">
        <f t="shared" ca="1" si="45"/>
        <v>1357.2073814065609</v>
      </c>
      <c r="S77" s="5">
        <f t="shared" ca="1" si="46"/>
        <v>-2.5052124681553087E-2</v>
      </c>
      <c r="T77">
        <f t="shared" ca="1" si="47"/>
        <v>3.9713934168083088E-2</v>
      </c>
      <c r="U77" s="5">
        <f t="shared" ca="1" si="48"/>
        <v>5.09255759848289E-2</v>
      </c>
    </row>
    <row r="78" spans="2:21" x14ac:dyDescent="0.25">
      <c r="B78">
        <f t="shared" si="31"/>
        <v>75</v>
      </c>
      <c r="C78">
        <f t="shared" ref="C78:C87" si="49">C77</f>
        <v>7</v>
      </c>
      <c r="D78">
        <v>3</v>
      </c>
      <c r="E78" s="5">
        <f t="shared" ca="1" si="32"/>
        <v>8.907E-3</v>
      </c>
      <c r="F78" s="5">
        <f t="shared" ca="1" si="33"/>
        <v>9.6749999999999996E-3</v>
      </c>
      <c r="G78" s="5">
        <f t="shared" ca="1" si="34"/>
        <v>1.0782999999999999E-2</v>
      </c>
      <c r="H78" s="5">
        <f t="shared" ca="1" si="35"/>
        <v>1.1472E-2</v>
      </c>
      <c r="I78" s="5">
        <f t="shared" ca="1" si="36"/>
        <v>1.242E-2</v>
      </c>
      <c r="J78" s="5">
        <f t="shared" ca="1" si="37"/>
        <v>1.5218000000000001E-2</v>
      </c>
      <c r="K78" s="5">
        <f t="shared" ca="1" si="38"/>
        <v>1.7162E-2</v>
      </c>
      <c r="L78" s="5">
        <f t="shared" ca="1" si="39"/>
        <v>1.9879000000000001E-2</v>
      </c>
      <c r="M78" s="5">
        <f t="shared" ca="1" si="40"/>
        <v>2.1930999999999999E-2</v>
      </c>
      <c r="N78" s="5">
        <f t="shared" ca="1" si="41"/>
        <v>2.5732000000000001E-2</v>
      </c>
      <c r="O78" s="5">
        <f t="shared" ca="1" si="42"/>
        <v>2.8282000000000002E-2</v>
      </c>
      <c r="P78" s="8">
        <f t="shared" ca="1" si="43"/>
        <v>1005.870998146554</v>
      </c>
      <c r="Q78" s="8">
        <f t="shared" ca="1" si="44"/>
        <v>1345.104786951948</v>
      </c>
      <c r="R78" s="8">
        <f t="shared" ca="1" si="45"/>
        <v>1362.6683032610838</v>
      </c>
      <c r="S78" s="5">
        <f t="shared" ca="1" si="46"/>
        <v>2.4640020253036025E-2</v>
      </c>
      <c r="T78">
        <f t="shared" ca="1" si="47"/>
        <v>5.6355703360270688E-2</v>
      </c>
      <c r="U78" s="5">
        <f t="shared" ca="1" si="48"/>
        <v>4.9366733934839604E-2</v>
      </c>
    </row>
    <row r="79" spans="2:21" x14ac:dyDescent="0.25">
      <c r="B79">
        <f t="shared" si="31"/>
        <v>76</v>
      </c>
      <c r="C79">
        <f t="shared" si="49"/>
        <v>7</v>
      </c>
      <c r="D79">
        <f>D78+1</f>
        <v>4</v>
      </c>
      <c r="E79" s="5">
        <f t="shared" ca="1" si="32"/>
        <v>8.8179999999999994E-3</v>
      </c>
      <c r="F79" s="5">
        <f t="shared" ca="1" si="33"/>
        <v>9.5930000000000008E-3</v>
      </c>
      <c r="G79" s="5">
        <f t="shared" ca="1" si="34"/>
        <v>1.0696000000000001E-2</v>
      </c>
      <c r="H79" s="5">
        <f t="shared" ca="1" si="35"/>
        <v>1.149E-2</v>
      </c>
      <c r="I79" s="5">
        <f t="shared" ca="1" si="36"/>
        <v>1.2328E-2</v>
      </c>
      <c r="J79" s="5">
        <f t="shared" ca="1" si="37"/>
        <v>1.5221999999999999E-2</v>
      </c>
      <c r="K79" s="5">
        <f t="shared" ca="1" si="38"/>
        <v>1.7180000000000001E-2</v>
      </c>
      <c r="L79" s="5">
        <f t="shared" ca="1" si="39"/>
        <v>1.9834999999999998E-2</v>
      </c>
      <c r="M79" s="5">
        <f t="shared" ca="1" si="40"/>
        <v>2.2005E-2</v>
      </c>
      <c r="N79" s="5">
        <f t="shared" ca="1" si="41"/>
        <v>2.5831E-2</v>
      </c>
      <c r="O79" s="5">
        <f t="shared" ca="1" si="42"/>
        <v>2.8358999999999999E-2</v>
      </c>
      <c r="P79" s="8">
        <f t="shared" ca="1" si="43"/>
        <v>1002.3334201292693</v>
      </c>
      <c r="Q79" s="8">
        <f t="shared" ca="1" si="44"/>
        <v>1351.5863063489594</v>
      </c>
      <c r="R79" s="8">
        <f t="shared" ca="1" si="45"/>
        <v>1367.9306780823924</v>
      </c>
      <c r="S79" s="5">
        <f t="shared" ca="1" si="46"/>
        <v>-4.1396315627121719E-2</v>
      </c>
      <c r="T79">
        <f t="shared" ca="1" si="47"/>
        <v>5.9380507111449828E-2</v>
      </c>
      <c r="U79" s="5">
        <f t="shared" ca="1" si="48"/>
        <v>4.7338877683881675E-2</v>
      </c>
    </row>
    <row r="80" spans="2:21" x14ac:dyDescent="0.25">
      <c r="B80">
        <f t="shared" si="31"/>
        <v>77</v>
      </c>
      <c r="C80">
        <f t="shared" si="49"/>
        <v>7</v>
      </c>
      <c r="D80">
        <f t="shared" ref="D80:D87" si="50">D79+1</f>
        <v>5</v>
      </c>
      <c r="E80" s="5">
        <f t="shared" ca="1" si="32"/>
        <v>8.7650000000000002E-3</v>
      </c>
      <c r="F80" s="5">
        <f t="shared" ca="1" si="33"/>
        <v>9.5099999999999994E-3</v>
      </c>
      <c r="G80" s="5">
        <f t="shared" ca="1" si="34"/>
        <v>1.0599000000000001E-2</v>
      </c>
      <c r="H80" s="5">
        <f t="shared" ca="1" si="35"/>
        <v>1.1514999999999999E-2</v>
      </c>
      <c r="I80" s="5">
        <f t="shared" ca="1" si="36"/>
        <v>1.2303E-2</v>
      </c>
      <c r="J80" s="5">
        <f t="shared" ca="1" si="37"/>
        <v>1.5207E-2</v>
      </c>
      <c r="K80" s="5">
        <f t="shared" ca="1" si="38"/>
        <v>1.7135000000000001E-2</v>
      </c>
      <c r="L80" s="5">
        <f t="shared" ca="1" si="39"/>
        <v>1.992E-2</v>
      </c>
      <c r="M80" s="5">
        <f t="shared" ca="1" si="40"/>
        <v>2.2026E-2</v>
      </c>
      <c r="N80" s="5">
        <f t="shared" ca="1" si="41"/>
        <v>2.5878000000000002E-2</v>
      </c>
      <c r="O80" s="5">
        <f t="shared" ca="1" si="42"/>
        <v>2.8294E-2</v>
      </c>
      <c r="P80" s="8">
        <f t="shared" ca="1" si="43"/>
        <v>1002.4339032528259</v>
      </c>
      <c r="Q80" s="8">
        <f t="shared" ca="1" si="44"/>
        <v>1355.7105716433648</v>
      </c>
      <c r="R80" s="8">
        <f t="shared" ca="1" si="45"/>
        <v>1373.4151766619825</v>
      </c>
      <c r="S80" s="5">
        <f t="shared" ca="1" si="46"/>
        <v>1.203653915901862E-3</v>
      </c>
      <c r="T80">
        <f t="shared" ca="1" si="47"/>
        <v>3.7237942331582528E-2</v>
      </c>
      <c r="U80" s="5">
        <f t="shared" ca="1" si="48"/>
        <v>4.918731932191707E-2</v>
      </c>
    </row>
    <row r="81" spans="2:21" x14ac:dyDescent="0.25">
      <c r="B81">
        <f t="shared" si="31"/>
        <v>78</v>
      </c>
      <c r="C81">
        <f t="shared" si="49"/>
        <v>7</v>
      </c>
      <c r="D81">
        <f t="shared" si="50"/>
        <v>6</v>
      </c>
      <c r="E81" s="5">
        <f t="shared" ca="1" si="32"/>
        <v>8.8540000000000008E-3</v>
      </c>
      <c r="F81" s="5">
        <f t="shared" ca="1" si="33"/>
        <v>9.4549999999999999E-3</v>
      </c>
      <c r="G81" s="5">
        <f t="shared" ca="1" si="34"/>
        <v>1.0548999999999999E-2</v>
      </c>
      <c r="H81" s="5">
        <f t="shared" ca="1" si="35"/>
        <v>1.1554999999999999E-2</v>
      </c>
      <c r="I81" s="5">
        <f t="shared" ca="1" si="36"/>
        <v>1.2234999999999999E-2</v>
      </c>
      <c r="J81" s="5">
        <f t="shared" ca="1" si="37"/>
        <v>1.5171E-2</v>
      </c>
      <c r="K81" s="5">
        <f t="shared" ca="1" si="38"/>
        <v>1.7042000000000002E-2</v>
      </c>
      <c r="L81" s="5">
        <f t="shared" ca="1" si="39"/>
        <v>1.9928000000000001E-2</v>
      </c>
      <c r="M81" s="5">
        <f t="shared" ca="1" si="40"/>
        <v>2.1989999999999999E-2</v>
      </c>
      <c r="N81" s="5">
        <f t="shared" ca="1" si="41"/>
        <v>2.5947000000000001E-2</v>
      </c>
      <c r="O81" s="5">
        <f t="shared" ca="1" si="42"/>
        <v>2.8251999999999999E-2</v>
      </c>
      <c r="P81" s="8">
        <f t="shared" ca="1" si="43"/>
        <v>1003.120132538567</v>
      </c>
      <c r="Q81" s="8">
        <f t="shared" ca="1" si="44"/>
        <v>1362.8367420677557</v>
      </c>
      <c r="R81" s="8">
        <f t="shared" ca="1" si="45"/>
        <v>1379.3357061566333</v>
      </c>
      <c r="S81" s="5">
        <f t="shared" ca="1" si="46"/>
        <v>8.2457575500964383E-3</v>
      </c>
      <c r="T81">
        <f t="shared" ca="1" si="47"/>
        <v>6.4932820660598772E-2</v>
      </c>
      <c r="U81" s="5">
        <f t="shared" ca="1" si="48"/>
        <v>5.2973977552499482E-2</v>
      </c>
    </row>
    <row r="82" spans="2:21" x14ac:dyDescent="0.25">
      <c r="B82">
        <f t="shared" si="31"/>
        <v>79</v>
      </c>
      <c r="C82">
        <f t="shared" si="49"/>
        <v>7</v>
      </c>
      <c r="D82">
        <f t="shared" si="50"/>
        <v>7</v>
      </c>
      <c r="E82" s="5">
        <f t="shared" ca="1" si="32"/>
        <v>8.7910000000000002E-3</v>
      </c>
      <c r="F82" s="5">
        <f t="shared" ca="1" si="33"/>
        <v>9.4109999999999992E-3</v>
      </c>
      <c r="G82" s="5">
        <f t="shared" ca="1" si="34"/>
        <v>1.0534999999999999E-2</v>
      </c>
      <c r="H82" s="5">
        <f t="shared" ca="1" si="35"/>
        <v>1.1629E-2</v>
      </c>
      <c r="I82" s="5">
        <f t="shared" ca="1" si="36"/>
        <v>1.2312E-2</v>
      </c>
      <c r="J82" s="5">
        <f t="shared" ca="1" si="37"/>
        <v>1.5082999999999999E-2</v>
      </c>
      <c r="K82" s="5">
        <f t="shared" ca="1" si="38"/>
        <v>1.6958999999999998E-2</v>
      </c>
      <c r="L82" s="5">
        <f t="shared" ca="1" si="39"/>
        <v>1.9934E-2</v>
      </c>
      <c r="M82" s="5">
        <f t="shared" ca="1" si="40"/>
        <v>2.1978000000000001E-2</v>
      </c>
      <c r="N82" s="5">
        <f t="shared" ca="1" si="41"/>
        <v>2.5891000000000001E-2</v>
      </c>
      <c r="O82" s="5">
        <f t="shared" ca="1" si="42"/>
        <v>2.8185000000000002E-2</v>
      </c>
      <c r="P82" s="8">
        <f t="shared" ca="1" si="43"/>
        <v>1003.4693643841269</v>
      </c>
      <c r="Q82" s="8">
        <f t="shared" ca="1" si="44"/>
        <v>1368.8888089199284</v>
      </c>
      <c r="R82" s="8">
        <f t="shared" ca="1" si="45"/>
        <v>1385.1657878792314</v>
      </c>
      <c r="S82" s="5">
        <f t="shared" ca="1" si="46"/>
        <v>4.1857558659386092E-3</v>
      </c>
      <c r="T82">
        <f t="shared" ca="1" si="47"/>
        <v>5.4610455532312141E-2</v>
      </c>
      <c r="U82" s="5">
        <f t="shared" ca="1" si="48"/>
        <v>5.1916657134673708E-2</v>
      </c>
    </row>
    <row r="83" spans="2:21" x14ac:dyDescent="0.25">
      <c r="B83">
        <f t="shared" si="31"/>
        <v>80</v>
      </c>
      <c r="C83">
        <f t="shared" si="49"/>
        <v>7</v>
      </c>
      <c r="D83">
        <f t="shared" si="50"/>
        <v>8</v>
      </c>
      <c r="E83" s="5">
        <f t="shared" ca="1" si="32"/>
        <v>8.7340000000000004E-3</v>
      </c>
      <c r="F83" s="5">
        <f t="shared" ca="1" si="33"/>
        <v>9.4889999999999992E-3</v>
      </c>
      <c r="G83" s="5">
        <f t="shared" ca="1" si="34"/>
        <v>1.0459E-2</v>
      </c>
      <c r="H83" s="5">
        <f t="shared" ca="1" si="35"/>
        <v>1.163E-2</v>
      </c>
      <c r="I83" s="5">
        <f t="shared" ca="1" si="36"/>
        <v>1.2305999999999999E-2</v>
      </c>
      <c r="J83" s="5">
        <f t="shared" ca="1" si="37"/>
        <v>1.5165E-2</v>
      </c>
      <c r="K83" s="5">
        <f t="shared" ca="1" si="38"/>
        <v>1.6878000000000001E-2</v>
      </c>
      <c r="L83" s="5">
        <f t="shared" ca="1" si="39"/>
        <v>1.9949000000000001E-2</v>
      </c>
      <c r="M83" s="5">
        <f t="shared" ca="1" si="40"/>
        <v>2.1919999999999999E-2</v>
      </c>
      <c r="N83" s="5">
        <f t="shared" ca="1" si="41"/>
        <v>2.5843999999999999E-2</v>
      </c>
      <c r="O83" s="5">
        <f t="shared" ca="1" si="42"/>
        <v>2.8201E-2</v>
      </c>
      <c r="P83" s="8">
        <f t="shared" ca="1" si="43"/>
        <v>999.33081264758152</v>
      </c>
      <c r="Q83" s="8">
        <f t="shared" ca="1" si="44"/>
        <v>1376.3208718981507</v>
      </c>
      <c r="R83" s="8">
        <f t="shared" ca="1" si="45"/>
        <v>1390.8594188171267</v>
      </c>
      <c r="S83" s="5">
        <f t="shared" ca="1" si="46"/>
        <v>-4.8383590488891265E-2</v>
      </c>
      <c r="T83">
        <f t="shared" ca="1" si="47"/>
        <v>6.7132325624716563E-2</v>
      </c>
      <c r="U83" s="5">
        <f t="shared" ca="1" si="48"/>
        <v>5.045572836841717E-2</v>
      </c>
    </row>
    <row r="84" spans="2:21" x14ac:dyDescent="0.25">
      <c r="B84">
        <f t="shared" si="31"/>
        <v>81</v>
      </c>
      <c r="C84">
        <f t="shared" si="49"/>
        <v>7</v>
      </c>
      <c r="D84">
        <f t="shared" si="50"/>
        <v>9</v>
      </c>
      <c r="E84" s="5">
        <f t="shared" ca="1" si="32"/>
        <v>8.7729999999999995E-3</v>
      </c>
      <c r="F84" s="5">
        <f t="shared" ca="1" si="33"/>
        <v>9.4520000000000003E-3</v>
      </c>
      <c r="G84" s="5">
        <f t="shared" ca="1" si="34"/>
        <v>1.0536999999999999E-2</v>
      </c>
      <c r="H84" s="5">
        <f t="shared" ca="1" si="35"/>
        <v>1.1686999999999999E-2</v>
      </c>
      <c r="I84" s="5">
        <f t="shared" ca="1" si="36"/>
        <v>1.2265E-2</v>
      </c>
      <c r="J84" s="5">
        <f t="shared" ca="1" si="37"/>
        <v>1.5228999999999999E-2</v>
      </c>
      <c r="K84" s="5">
        <f t="shared" ca="1" si="38"/>
        <v>1.6782999999999999E-2</v>
      </c>
      <c r="L84" s="5">
        <f t="shared" ca="1" si="39"/>
        <v>2.0018999999999999E-2</v>
      </c>
      <c r="M84" s="5">
        <f t="shared" ca="1" si="40"/>
        <v>2.1937000000000002E-2</v>
      </c>
      <c r="N84" s="5">
        <f t="shared" ca="1" si="41"/>
        <v>2.5895000000000001E-2</v>
      </c>
      <c r="O84" s="5">
        <f t="shared" ca="1" si="42"/>
        <v>2.8191000000000001E-2</v>
      </c>
      <c r="P84" s="8">
        <f t="shared" ca="1" si="43"/>
        <v>998.09793020490292</v>
      </c>
      <c r="Q84" s="8">
        <f t="shared" ca="1" si="44"/>
        <v>1381.73419234476</v>
      </c>
      <c r="R84" s="8">
        <f t="shared" ca="1" si="45"/>
        <v>1396.3294556914857</v>
      </c>
      <c r="S84" s="5">
        <f t="shared" ca="1" si="46"/>
        <v>-1.470445391147816E-2</v>
      </c>
      <c r="T84">
        <f t="shared" ca="1" si="47"/>
        <v>4.8232703796990323E-2</v>
      </c>
      <c r="U84" s="5">
        <f t="shared" ca="1" si="48"/>
        <v>4.8228502949659156E-2</v>
      </c>
    </row>
    <row r="85" spans="2:21" x14ac:dyDescent="0.25">
      <c r="B85">
        <f t="shared" si="31"/>
        <v>82</v>
      </c>
      <c r="C85">
        <f t="shared" si="49"/>
        <v>7</v>
      </c>
      <c r="D85">
        <f t="shared" si="50"/>
        <v>10</v>
      </c>
      <c r="E85" s="5">
        <f t="shared" ca="1" si="32"/>
        <v>8.711E-3</v>
      </c>
      <c r="F85" s="5">
        <f t="shared" ca="1" si="33"/>
        <v>9.3880000000000005E-3</v>
      </c>
      <c r="G85" s="5">
        <f t="shared" ca="1" si="34"/>
        <v>1.0606000000000001E-2</v>
      </c>
      <c r="H85" s="5">
        <f t="shared" ca="1" si="35"/>
        <v>1.1641E-2</v>
      </c>
      <c r="I85" s="5">
        <f t="shared" ca="1" si="36"/>
        <v>1.2251E-2</v>
      </c>
      <c r="J85" s="5">
        <f t="shared" ca="1" si="37"/>
        <v>1.5214E-2</v>
      </c>
      <c r="K85" s="5">
        <f t="shared" ca="1" si="38"/>
        <v>1.6766E-2</v>
      </c>
      <c r="L85" s="5">
        <f t="shared" ca="1" si="39"/>
        <v>1.9952999999999999E-2</v>
      </c>
      <c r="M85" s="5">
        <f t="shared" ca="1" si="40"/>
        <v>2.1898999999999998E-2</v>
      </c>
      <c r="N85" s="5">
        <f t="shared" ca="1" si="41"/>
        <v>2.5829999999999999E-2</v>
      </c>
      <c r="O85" s="5">
        <f t="shared" ca="1" si="42"/>
        <v>2.8139000000000001E-2</v>
      </c>
      <c r="P85" s="8">
        <f t="shared" ca="1" si="43"/>
        <v>998.43633535309095</v>
      </c>
      <c r="Q85" s="8">
        <f t="shared" ca="1" si="44"/>
        <v>1387.4543863787053</v>
      </c>
      <c r="R85" s="8">
        <f t="shared" ca="1" si="45"/>
        <v>1402.0307321173125</v>
      </c>
      <c r="S85" s="5">
        <f t="shared" ca="1" si="46"/>
        <v>4.0761961471833738E-3</v>
      </c>
      <c r="T85">
        <f t="shared" ca="1" si="47"/>
        <v>5.0825284605220754E-2</v>
      </c>
      <c r="U85" s="5">
        <f t="shared" ca="1" si="48"/>
        <v>5.0111960499443289E-2</v>
      </c>
    </row>
    <row r="86" spans="2:21" x14ac:dyDescent="0.25">
      <c r="B86">
        <f t="shared" si="31"/>
        <v>83</v>
      </c>
      <c r="C86">
        <f t="shared" si="49"/>
        <v>7</v>
      </c>
      <c r="D86">
        <f t="shared" si="50"/>
        <v>11</v>
      </c>
      <c r="E86" s="5">
        <f t="shared" ca="1" si="32"/>
        <v>8.7939999999999997E-3</v>
      </c>
      <c r="F86" s="5">
        <f t="shared" ca="1" si="33"/>
        <v>9.4439999999999993E-3</v>
      </c>
      <c r="G86" s="5">
        <f t="shared" ca="1" si="34"/>
        <v>1.0564E-2</v>
      </c>
      <c r="H86" s="5">
        <f t="shared" ca="1" si="35"/>
        <v>1.1604E-2</v>
      </c>
      <c r="I86" s="5">
        <f t="shared" ca="1" si="36"/>
        <v>1.2252000000000001E-2</v>
      </c>
      <c r="J86" s="5">
        <f t="shared" ca="1" si="37"/>
        <v>1.5265000000000001E-2</v>
      </c>
      <c r="K86" s="5">
        <f t="shared" ca="1" si="38"/>
        <v>1.6823999999999999E-2</v>
      </c>
      <c r="L86" s="5">
        <f t="shared" ca="1" si="39"/>
        <v>1.992E-2</v>
      </c>
      <c r="M86" s="5">
        <f t="shared" ca="1" si="40"/>
        <v>2.1822999999999999E-2</v>
      </c>
      <c r="N86" s="5">
        <f t="shared" ca="1" si="41"/>
        <v>2.5876E-2</v>
      </c>
      <c r="O86" s="5">
        <f t="shared" ca="1" si="42"/>
        <v>2.8118000000000001E-2</v>
      </c>
      <c r="P86" s="8">
        <f t="shared" ca="1" si="43"/>
        <v>995.49488530146721</v>
      </c>
      <c r="Q86" s="8">
        <f t="shared" ca="1" si="44"/>
        <v>1393.1913574011942</v>
      </c>
      <c r="R86" s="8">
        <f t="shared" ca="1" si="45"/>
        <v>1407.9751184981756</v>
      </c>
      <c r="S86" s="5">
        <f t="shared" ca="1" si="46"/>
        <v>-3.4785438043028083E-2</v>
      </c>
      <c r="T86">
        <f t="shared" ca="1" si="47"/>
        <v>5.076279926478016E-2</v>
      </c>
      <c r="U86" s="5">
        <f t="shared" ca="1" si="48"/>
        <v>5.2081444308311922E-2</v>
      </c>
    </row>
    <row r="87" spans="2:21" x14ac:dyDescent="0.25">
      <c r="B87">
        <f t="shared" si="31"/>
        <v>84</v>
      </c>
      <c r="C87">
        <f t="shared" si="49"/>
        <v>7</v>
      </c>
      <c r="D87">
        <f t="shared" si="50"/>
        <v>12</v>
      </c>
      <c r="E87" s="5">
        <f t="shared" ca="1" si="32"/>
        <v>8.7460000000000003E-3</v>
      </c>
      <c r="F87" s="5">
        <f t="shared" ca="1" si="33"/>
        <v>9.4540000000000006E-3</v>
      </c>
      <c r="G87" s="5">
        <f t="shared" ca="1" si="34"/>
        <v>1.051E-2</v>
      </c>
      <c r="H87" s="5">
        <f t="shared" ca="1" si="35"/>
        <v>1.1514999999999999E-2</v>
      </c>
      <c r="I87" s="5">
        <f t="shared" ca="1" si="36"/>
        <v>1.2253999999999999E-2</v>
      </c>
      <c r="J87" s="5">
        <f t="shared" ca="1" si="37"/>
        <v>1.521E-2</v>
      </c>
      <c r="K87" s="5">
        <f t="shared" ca="1" si="38"/>
        <v>1.6864000000000001E-2</v>
      </c>
      <c r="L87" s="5">
        <f t="shared" ca="1" si="39"/>
        <v>1.9951E-2</v>
      </c>
      <c r="M87" s="5">
        <f t="shared" ca="1" si="40"/>
        <v>2.1748E-2</v>
      </c>
      <c r="N87" s="5">
        <f t="shared" ca="1" si="41"/>
        <v>2.5950999999999998E-2</v>
      </c>
      <c r="O87" s="5">
        <f t="shared" ca="1" si="42"/>
        <v>2.8171000000000002E-2</v>
      </c>
      <c r="P87" s="8">
        <f t="shared" ca="1" si="43"/>
        <v>991.98800485229924</v>
      </c>
      <c r="Q87" s="8">
        <f t="shared" ca="1" si="44"/>
        <v>1397.4916123899125</v>
      </c>
      <c r="R87" s="8">
        <f t="shared" ca="1" si="45"/>
        <v>1414.1918828772953</v>
      </c>
      <c r="S87" s="5">
        <f t="shared" ca="1" si="46"/>
        <v>-4.1463506932493115E-2</v>
      </c>
      <c r="T87">
        <f t="shared" ca="1" si="47"/>
        <v>3.7674775284005639E-2</v>
      </c>
      <c r="U87" s="5">
        <f t="shared" ca="1" si="48"/>
        <v>5.4290567246109735E-2</v>
      </c>
    </row>
    <row r="88" spans="2:21" x14ac:dyDescent="0.25">
      <c r="B88">
        <f t="shared" si="31"/>
        <v>85</v>
      </c>
      <c r="C88">
        <f>C87+1</f>
        <v>8</v>
      </c>
      <c r="D88">
        <v>1</v>
      </c>
      <c r="E88" s="5">
        <f t="shared" ca="1" si="32"/>
        <v>8.8419999999999992E-3</v>
      </c>
      <c r="F88" s="5">
        <f t="shared" ca="1" si="33"/>
        <v>9.5230000000000002E-3</v>
      </c>
      <c r="G88" s="5">
        <f t="shared" ca="1" si="34"/>
        <v>1.0538E-2</v>
      </c>
      <c r="H88" s="5">
        <f t="shared" ca="1" si="35"/>
        <v>1.1615E-2</v>
      </c>
      <c r="I88" s="5">
        <f t="shared" ca="1" si="36"/>
        <v>1.2260999999999999E-2</v>
      </c>
      <c r="J88" s="5">
        <f t="shared" ca="1" si="37"/>
        <v>1.5270000000000001E-2</v>
      </c>
      <c r="K88" s="5">
        <f t="shared" ca="1" si="38"/>
        <v>1.6891E-2</v>
      </c>
      <c r="L88" s="5">
        <f t="shared" ca="1" si="39"/>
        <v>1.9879999999999998E-2</v>
      </c>
      <c r="M88" s="5">
        <f t="shared" ca="1" si="40"/>
        <v>2.1781999999999999E-2</v>
      </c>
      <c r="N88" s="5">
        <f t="shared" ca="1" si="41"/>
        <v>2.5878000000000002E-2</v>
      </c>
      <c r="O88" s="5">
        <f t="shared" ca="1" si="42"/>
        <v>2.8132000000000001E-2</v>
      </c>
      <c r="P88" s="8">
        <f t="shared" ca="1" si="43"/>
        <v>990.10349360746579</v>
      </c>
      <c r="Q88" s="8">
        <f t="shared" ca="1" si="44"/>
        <v>1403.8405998552782</v>
      </c>
      <c r="R88" s="8">
        <f t="shared" ca="1" si="45"/>
        <v>1419.879607417666</v>
      </c>
      <c r="S88" s="5">
        <f t="shared" ca="1" si="46"/>
        <v>-2.2560091801436866E-2</v>
      </c>
      <c r="T88">
        <f t="shared" ca="1" si="47"/>
        <v>5.5900656487629062E-2</v>
      </c>
      <c r="U88" s="5">
        <f t="shared" ca="1" si="48"/>
        <v>4.9344715416261342E-2</v>
      </c>
    </row>
    <row r="89" spans="2:21" x14ac:dyDescent="0.25">
      <c r="B89">
        <f t="shared" si="31"/>
        <v>86</v>
      </c>
      <c r="C89">
        <f>C88</f>
        <v>8</v>
      </c>
      <c r="D89">
        <v>2</v>
      </c>
      <c r="E89" s="5">
        <f t="shared" ca="1" si="32"/>
        <v>8.8310000000000003E-3</v>
      </c>
      <c r="F89" s="5">
        <f t="shared" ca="1" si="33"/>
        <v>9.528E-3</v>
      </c>
      <c r="G89" s="5">
        <f t="shared" ca="1" si="34"/>
        <v>1.055E-2</v>
      </c>
      <c r="H89" s="5">
        <f t="shared" ca="1" si="35"/>
        <v>1.1583E-2</v>
      </c>
      <c r="I89" s="5">
        <f t="shared" ca="1" si="36"/>
        <v>1.2282E-2</v>
      </c>
      <c r="J89" s="5">
        <f t="shared" ca="1" si="37"/>
        <v>1.5294E-2</v>
      </c>
      <c r="K89" s="5">
        <f t="shared" ca="1" si="38"/>
        <v>1.6792999999999999E-2</v>
      </c>
      <c r="L89" s="5">
        <f t="shared" ca="1" si="39"/>
        <v>1.9893000000000001E-2</v>
      </c>
      <c r="M89" s="5">
        <f t="shared" ca="1" si="40"/>
        <v>2.1829000000000001E-2</v>
      </c>
      <c r="N89" s="5">
        <f t="shared" ca="1" si="41"/>
        <v>2.5908E-2</v>
      </c>
      <c r="O89" s="5">
        <f t="shared" ca="1" si="42"/>
        <v>2.8209999999999999E-2</v>
      </c>
      <c r="P89" s="8">
        <f t="shared" ca="1" si="43"/>
        <v>989.73745526867401</v>
      </c>
      <c r="Q89" s="8">
        <f t="shared" ca="1" si="44"/>
        <v>1408.6751998298089</v>
      </c>
      <c r="R89" s="8">
        <f t="shared" ca="1" si="45"/>
        <v>1425.5245964258579</v>
      </c>
      <c r="S89" s="5">
        <f t="shared" ca="1" si="46"/>
        <v>-4.4273550730723529E-3</v>
      </c>
      <c r="T89">
        <f t="shared" ca="1" si="47"/>
        <v>4.2117876312371592E-2</v>
      </c>
      <c r="U89" s="5">
        <f t="shared" ca="1" si="48"/>
        <v>4.8765325375494328E-2</v>
      </c>
    </row>
    <row r="90" spans="2:21" x14ac:dyDescent="0.25">
      <c r="B90">
        <f t="shared" si="31"/>
        <v>87</v>
      </c>
      <c r="C90">
        <f t="shared" ref="C90:C99" si="51">C89</f>
        <v>8</v>
      </c>
      <c r="D90">
        <v>3</v>
      </c>
      <c r="E90" s="5">
        <f t="shared" ca="1" si="32"/>
        <v>8.8540000000000008E-3</v>
      </c>
      <c r="F90" s="5">
        <f t="shared" ca="1" si="33"/>
        <v>9.4339999999999997E-3</v>
      </c>
      <c r="G90" s="5">
        <f t="shared" ca="1" si="34"/>
        <v>1.0534999999999999E-2</v>
      </c>
      <c r="H90" s="5">
        <f t="shared" ca="1" si="35"/>
        <v>1.1679999999999999E-2</v>
      </c>
      <c r="I90" s="5">
        <f t="shared" ca="1" si="36"/>
        <v>1.2352E-2</v>
      </c>
      <c r="J90" s="5">
        <f t="shared" ca="1" si="37"/>
        <v>1.5346E-2</v>
      </c>
      <c r="K90" s="5">
        <f t="shared" ca="1" si="38"/>
        <v>1.6818E-2</v>
      </c>
      <c r="L90" s="5">
        <f t="shared" ca="1" si="39"/>
        <v>1.9868E-2</v>
      </c>
      <c r="M90" s="5">
        <f t="shared" ca="1" si="40"/>
        <v>2.1925E-2</v>
      </c>
      <c r="N90" s="5">
        <f t="shared" ca="1" si="41"/>
        <v>2.5947999999999999E-2</v>
      </c>
      <c r="O90" s="5">
        <f t="shared" ca="1" si="42"/>
        <v>2.8209999999999999E-2</v>
      </c>
      <c r="P90" s="8">
        <f t="shared" ca="1" si="43"/>
        <v>990.55319491558976</v>
      </c>
      <c r="Q90" s="8">
        <f t="shared" ca="1" si="44"/>
        <v>1416.5423614485696</v>
      </c>
      <c r="R90" s="8">
        <f t="shared" ca="1" si="45"/>
        <v>1430.8913015214653</v>
      </c>
      <c r="S90" s="5">
        <f t="shared" ca="1" si="46"/>
        <v>9.9353335496897583E-3</v>
      </c>
      <c r="T90">
        <f t="shared" ca="1" si="47"/>
        <v>6.9114877883816137E-2</v>
      </c>
      <c r="U90" s="5">
        <f t="shared" ca="1" si="48"/>
        <v>4.6123940750347273E-2</v>
      </c>
    </row>
    <row r="91" spans="2:21" x14ac:dyDescent="0.25">
      <c r="B91">
        <f t="shared" si="31"/>
        <v>88</v>
      </c>
      <c r="C91">
        <f t="shared" si="51"/>
        <v>8</v>
      </c>
      <c r="D91">
        <f>D90+1</f>
        <v>4</v>
      </c>
      <c r="E91" s="5">
        <f t="shared" ca="1" si="32"/>
        <v>8.8870000000000008E-3</v>
      </c>
      <c r="F91" s="5">
        <f t="shared" ca="1" si="33"/>
        <v>9.5239999999999995E-3</v>
      </c>
      <c r="G91" s="5">
        <f t="shared" ca="1" si="34"/>
        <v>1.0514000000000001E-2</v>
      </c>
      <c r="H91" s="5">
        <f t="shared" ca="1" si="35"/>
        <v>1.1723000000000001E-2</v>
      </c>
      <c r="I91" s="5">
        <f t="shared" ca="1" si="36"/>
        <v>1.2451E-2</v>
      </c>
      <c r="J91" s="5">
        <f t="shared" ca="1" si="37"/>
        <v>1.5407000000000001E-2</v>
      </c>
      <c r="K91" s="5">
        <f t="shared" ca="1" si="38"/>
        <v>1.6740000000000001E-2</v>
      </c>
      <c r="L91" s="5">
        <f t="shared" ca="1" si="39"/>
        <v>1.9954E-2</v>
      </c>
      <c r="M91" s="5">
        <f t="shared" ca="1" si="40"/>
        <v>2.1847999999999999E-2</v>
      </c>
      <c r="N91" s="5">
        <f t="shared" ca="1" si="41"/>
        <v>2.5905000000000001E-2</v>
      </c>
      <c r="O91" s="5">
        <f t="shared" ca="1" si="42"/>
        <v>2.8226000000000001E-2</v>
      </c>
      <c r="P91" s="8">
        <f t="shared" ca="1" si="43"/>
        <v>994.21627352869461</v>
      </c>
      <c r="Q91" s="8">
        <f t="shared" ca="1" si="44"/>
        <v>1424.6364418140627</v>
      </c>
      <c r="R91" s="8">
        <f t="shared" ca="1" si="45"/>
        <v>1436.2556807803405</v>
      </c>
      <c r="S91" s="5">
        <f t="shared" ca="1" si="46"/>
        <v>4.5289944914432362E-2</v>
      </c>
      <c r="T91">
        <f t="shared" ca="1" si="47"/>
        <v>7.0764077459907954E-2</v>
      </c>
      <c r="U91" s="5">
        <f t="shared" ca="1" si="48"/>
        <v>4.5927039067075681E-2</v>
      </c>
    </row>
    <row r="92" spans="2:21" x14ac:dyDescent="0.25">
      <c r="B92">
        <f t="shared" si="31"/>
        <v>89</v>
      </c>
      <c r="C92">
        <f t="shared" si="51"/>
        <v>8</v>
      </c>
      <c r="D92">
        <f t="shared" ref="D92:D99" si="52">D91+1</f>
        <v>5</v>
      </c>
      <c r="E92" s="5">
        <f t="shared" ca="1" si="32"/>
        <v>8.9009999999999992E-3</v>
      </c>
      <c r="F92" s="5">
        <f t="shared" ca="1" si="33"/>
        <v>9.5060000000000006E-3</v>
      </c>
      <c r="G92" s="5">
        <f t="shared" ca="1" si="34"/>
        <v>1.044E-2</v>
      </c>
      <c r="H92" s="5">
        <f t="shared" ca="1" si="35"/>
        <v>1.1625999999999999E-2</v>
      </c>
      <c r="I92" s="5">
        <f t="shared" ca="1" si="36"/>
        <v>1.2446E-2</v>
      </c>
      <c r="J92" s="5">
        <f t="shared" ca="1" si="37"/>
        <v>1.538E-2</v>
      </c>
      <c r="K92" s="5">
        <f t="shared" ca="1" si="38"/>
        <v>1.6683E-2</v>
      </c>
      <c r="L92" s="5">
        <f t="shared" ca="1" si="39"/>
        <v>1.9990000000000001E-2</v>
      </c>
      <c r="M92" s="5">
        <f t="shared" ca="1" si="40"/>
        <v>2.1897E-2</v>
      </c>
      <c r="N92" s="5">
        <f t="shared" ca="1" si="41"/>
        <v>2.5999000000000001E-2</v>
      </c>
      <c r="O92" s="5">
        <f t="shared" ca="1" si="42"/>
        <v>2.8294E-2</v>
      </c>
      <c r="P92" s="8">
        <f t="shared" ca="1" si="43"/>
        <v>996.86746081722231</v>
      </c>
      <c r="Q92" s="8">
        <f t="shared" ca="1" si="44"/>
        <v>1430.8107959026672</v>
      </c>
      <c r="R92" s="8">
        <f t="shared" ca="1" si="45"/>
        <v>1441.6522038310859</v>
      </c>
      <c r="S92" s="5">
        <f t="shared" ca="1" si="46"/>
        <v>3.2472832984533982E-2</v>
      </c>
      <c r="T92">
        <f t="shared" ca="1" si="47"/>
        <v>5.3265621423056568E-2</v>
      </c>
      <c r="U92" s="5">
        <f t="shared" ca="1" si="48"/>
        <v>4.603180362301186E-2</v>
      </c>
    </row>
    <row r="93" spans="2:21" x14ac:dyDescent="0.25">
      <c r="B93">
        <f t="shared" si="31"/>
        <v>90</v>
      </c>
      <c r="C93">
        <f t="shared" si="51"/>
        <v>8</v>
      </c>
      <c r="D93">
        <f t="shared" si="52"/>
        <v>6</v>
      </c>
      <c r="E93" s="5">
        <f t="shared" ca="1" si="32"/>
        <v>8.8380000000000004E-3</v>
      </c>
      <c r="F93" s="5">
        <f t="shared" ca="1" si="33"/>
        <v>9.5809999999999992E-3</v>
      </c>
      <c r="G93" s="5">
        <f t="shared" ca="1" si="34"/>
        <v>1.0538E-2</v>
      </c>
      <c r="H93" s="5">
        <f t="shared" ca="1" si="35"/>
        <v>1.1704000000000001E-2</v>
      </c>
      <c r="I93" s="5">
        <f t="shared" ca="1" si="36"/>
        <v>1.2359E-2</v>
      </c>
      <c r="J93" s="5">
        <f t="shared" ca="1" si="37"/>
        <v>1.5469999999999999E-2</v>
      </c>
      <c r="K93" s="5">
        <f t="shared" ca="1" si="38"/>
        <v>1.6590000000000001E-2</v>
      </c>
      <c r="L93" s="5">
        <f t="shared" ca="1" si="39"/>
        <v>2.0025999999999999E-2</v>
      </c>
      <c r="M93" s="5">
        <f t="shared" ca="1" si="40"/>
        <v>2.1975000000000001E-2</v>
      </c>
      <c r="N93" s="5">
        <f t="shared" ca="1" si="41"/>
        <v>2.5994E-2</v>
      </c>
      <c r="O93" s="5">
        <f t="shared" ca="1" si="42"/>
        <v>2.8365999999999999E-2</v>
      </c>
      <c r="P93" s="8">
        <f t="shared" ca="1" si="43"/>
        <v>1000.6472347031659</v>
      </c>
      <c r="Q93" s="8">
        <f t="shared" ca="1" si="44"/>
        <v>1437.0823636932669</v>
      </c>
      <c r="R93" s="8">
        <f t="shared" ca="1" si="45"/>
        <v>1447.2870097869486</v>
      </c>
      <c r="S93" s="5">
        <f t="shared" ca="1" si="46"/>
        <v>4.6460768905821521E-2</v>
      </c>
      <c r="T93">
        <f t="shared" ca="1" si="47"/>
        <v>5.388546543996562E-2</v>
      </c>
      <c r="U93" s="5">
        <f t="shared" ca="1" si="48"/>
        <v>4.7924433644301864E-2</v>
      </c>
    </row>
    <row r="94" spans="2:21" x14ac:dyDescent="0.25">
      <c r="B94">
        <f t="shared" si="31"/>
        <v>91</v>
      </c>
      <c r="C94">
        <f t="shared" si="51"/>
        <v>8</v>
      </c>
      <c r="D94">
        <f t="shared" si="52"/>
        <v>7</v>
      </c>
      <c r="E94" s="5">
        <f t="shared" ca="1" si="32"/>
        <v>8.7530000000000004E-3</v>
      </c>
      <c r="F94" s="5">
        <f t="shared" ca="1" si="33"/>
        <v>9.4830000000000001E-3</v>
      </c>
      <c r="G94" s="5">
        <f t="shared" ca="1" si="34"/>
        <v>1.0525E-2</v>
      </c>
      <c r="H94" s="5">
        <f t="shared" ca="1" si="35"/>
        <v>1.1722E-2</v>
      </c>
      <c r="I94" s="5">
        <f t="shared" ca="1" si="36"/>
        <v>1.2338999999999999E-2</v>
      </c>
      <c r="J94" s="5">
        <f t="shared" ca="1" si="37"/>
        <v>1.5569E-2</v>
      </c>
      <c r="K94" s="5">
        <f t="shared" ca="1" si="38"/>
        <v>1.6500000000000001E-2</v>
      </c>
      <c r="L94" s="5">
        <f t="shared" ca="1" si="39"/>
        <v>2.0024E-2</v>
      </c>
      <c r="M94" s="5">
        <f t="shared" ca="1" si="40"/>
        <v>2.2005E-2</v>
      </c>
      <c r="N94" s="5">
        <f t="shared" ca="1" si="41"/>
        <v>2.5956E-2</v>
      </c>
      <c r="O94" s="5">
        <f t="shared" ca="1" si="42"/>
        <v>2.8299999999999999E-2</v>
      </c>
      <c r="P94" s="8">
        <f t="shared" ca="1" si="43"/>
        <v>1003.0943304011255</v>
      </c>
      <c r="Q94" s="8">
        <f t="shared" ca="1" si="44"/>
        <v>1444.4322507086017</v>
      </c>
      <c r="R94" s="8">
        <f t="shared" ca="1" si="45"/>
        <v>1452.9761133968757</v>
      </c>
      <c r="S94" s="5">
        <f t="shared" ca="1" si="46"/>
        <v>2.974410509689367E-2</v>
      </c>
      <c r="T94">
        <f t="shared" ca="1" si="47"/>
        <v>6.3129584873991132E-2</v>
      </c>
      <c r="U94" s="5">
        <f t="shared" ca="1" si="48"/>
        <v>4.8203792692251786E-2</v>
      </c>
    </row>
    <row r="95" spans="2:21" x14ac:dyDescent="0.25">
      <c r="B95">
        <f t="shared" si="31"/>
        <v>92</v>
      </c>
      <c r="C95">
        <f t="shared" si="51"/>
        <v>8</v>
      </c>
      <c r="D95">
        <f t="shared" si="52"/>
        <v>8</v>
      </c>
      <c r="E95" s="5">
        <f t="shared" ca="1" si="32"/>
        <v>8.6770000000000007E-3</v>
      </c>
      <c r="F95" s="5">
        <f t="shared" ca="1" si="33"/>
        <v>9.5729999999999999E-3</v>
      </c>
      <c r="G95" s="5">
        <f t="shared" ca="1" si="34"/>
        <v>1.0555999999999999E-2</v>
      </c>
      <c r="H95" s="5">
        <f t="shared" ca="1" si="35"/>
        <v>1.1717E-2</v>
      </c>
      <c r="I95" s="5">
        <f t="shared" ca="1" si="36"/>
        <v>1.2397E-2</v>
      </c>
      <c r="J95" s="5">
        <f t="shared" ca="1" si="37"/>
        <v>1.5579000000000001E-2</v>
      </c>
      <c r="K95" s="5">
        <f t="shared" ca="1" si="38"/>
        <v>1.6431999999999999E-2</v>
      </c>
      <c r="L95" s="5">
        <f t="shared" ca="1" si="39"/>
        <v>2.0013E-2</v>
      </c>
      <c r="M95" s="5">
        <f t="shared" ca="1" si="40"/>
        <v>2.2023000000000001E-2</v>
      </c>
      <c r="N95" s="5">
        <f t="shared" ca="1" si="41"/>
        <v>2.5957000000000001E-2</v>
      </c>
      <c r="O95" s="5">
        <f t="shared" ca="1" si="42"/>
        <v>2.8264000000000001E-2</v>
      </c>
      <c r="P95" s="8">
        <f t="shared" ca="1" si="43"/>
        <v>1003.8870015394266</v>
      </c>
      <c r="Q95" s="8">
        <f t="shared" ca="1" si="44"/>
        <v>1449.0135105384429</v>
      </c>
      <c r="R95" s="8">
        <f t="shared" ca="1" si="45"/>
        <v>1458.9761174582814</v>
      </c>
      <c r="S95" s="5">
        <f t="shared" ca="1" si="46"/>
        <v>9.5240339356757499E-3</v>
      </c>
      <c r="T95">
        <f t="shared" ca="1" si="47"/>
        <v>3.8731013485281303E-2</v>
      </c>
      <c r="U95" s="5">
        <f t="shared" ca="1" si="48"/>
        <v>5.0694594589676317E-2</v>
      </c>
    </row>
    <row r="96" spans="2:21" x14ac:dyDescent="0.25">
      <c r="B96">
        <f t="shared" si="31"/>
        <v>93</v>
      </c>
      <c r="C96">
        <f t="shared" si="51"/>
        <v>8</v>
      </c>
      <c r="D96">
        <f t="shared" si="52"/>
        <v>9</v>
      </c>
      <c r="E96" s="5">
        <f t="shared" ca="1" si="32"/>
        <v>8.6070000000000001E-3</v>
      </c>
      <c r="F96" s="5">
        <f t="shared" ca="1" si="33"/>
        <v>9.6010000000000002E-3</v>
      </c>
      <c r="G96" s="5">
        <f t="shared" ca="1" si="34"/>
        <v>1.0567E-2</v>
      </c>
      <c r="H96" s="5">
        <f t="shared" ca="1" si="35"/>
        <v>1.1809999999999999E-2</v>
      </c>
      <c r="I96" s="5">
        <f t="shared" ca="1" si="36"/>
        <v>1.2305E-2</v>
      </c>
      <c r="J96" s="5">
        <f t="shared" ca="1" si="37"/>
        <v>1.5675999999999999E-2</v>
      </c>
      <c r="K96" s="5">
        <f t="shared" ca="1" si="38"/>
        <v>1.6407000000000001E-2</v>
      </c>
      <c r="L96" s="5">
        <f t="shared" ca="1" si="39"/>
        <v>1.9990999999999998E-2</v>
      </c>
      <c r="M96" s="5">
        <f t="shared" ca="1" si="40"/>
        <v>2.1947999999999999E-2</v>
      </c>
      <c r="N96" s="5">
        <f t="shared" ca="1" si="41"/>
        <v>2.5923999999999999E-2</v>
      </c>
      <c r="O96" s="5">
        <f t="shared" ca="1" si="42"/>
        <v>2.8306999999999999E-2</v>
      </c>
      <c r="P96" s="8">
        <f t="shared" ca="1" si="43"/>
        <v>1003.9033377182219</v>
      </c>
      <c r="Q96" s="8">
        <f t="shared" ca="1" si="44"/>
        <v>1454.5997460499907</v>
      </c>
      <c r="R96" s="8">
        <f t="shared" ca="1" si="45"/>
        <v>1465.0925114580768</v>
      </c>
      <c r="S96" s="5">
        <f t="shared" ca="1" si="46"/>
        <v>1.9529258917064566E-4</v>
      </c>
      <c r="T96">
        <f t="shared" ca="1" si="47"/>
        <v>4.7256033169531385E-2</v>
      </c>
      <c r="U96" s="5">
        <f t="shared" ca="1" si="48"/>
        <v>5.1483322398453844E-2</v>
      </c>
    </row>
    <row r="97" spans="2:21" x14ac:dyDescent="0.25">
      <c r="B97">
        <f t="shared" si="31"/>
        <v>94</v>
      </c>
      <c r="C97">
        <f t="shared" si="51"/>
        <v>8</v>
      </c>
      <c r="D97">
        <f t="shared" si="52"/>
        <v>10</v>
      </c>
      <c r="E97" s="5">
        <f t="shared" ca="1" si="32"/>
        <v>8.6110000000000006E-3</v>
      </c>
      <c r="F97" s="5">
        <f t="shared" ca="1" si="33"/>
        <v>9.5060000000000006E-3</v>
      </c>
      <c r="G97" s="5">
        <f t="shared" ca="1" si="34"/>
        <v>1.0656000000000001E-2</v>
      </c>
      <c r="H97" s="5">
        <f t="shared" ca="1" si="35"/>
        <v>1.1717E-2</v>
      </c>
      <c r="I97" s="5">
        <f t="shared" ca="1" si="36"/>
        <v>1.2333999999999999E-2</v>
      </c>
      <c r="J97" s="5">
        <f t="shared" ca="1" si="37"/>
        <v>1.5740000000000001E-2</v>
      </c>
      <c r="K97" s="5">
        <f t="shared" ca="1" si="38"/>
        <v>1.6476000000000001E-2</v>
      </c>
      <c r="L97" s="5">
        <f t="shared" ca="1" si="39"/>
        <v>1.9932999999999999E-2</v>
      </c>
      <c r="M97" s="5">
        <f t="shared" ca="1" si="40"/>
        <v>2.1898000000000001E-2</v>
      </c>
      <c r="N97" s="5">
        <f t="shared" ca="1" si="41"/>
        <v>2.5975999999999999E-2</v>
      </c>
      <c r="O97" s="5">
        <f t="shared" ca="1" si="42"/>
        <v>2.8385000000000001E-2</v>
      </c>
      <c r="P97" s="8">
        <f t="shared" ca="1" si="43"/>
        <v>1000.4421523782589</v>
      </c>
      <c r="Q97" s="8">
        <f t="shared" ca="1" si="44"/>
        <v>1458.4891969507005</v>
      </c>
      <c r="R97" s="8">
        <f t="shared" ca="1" si="45"/>
        <v>1471.7433191074247</v>
      </c>
      <c r="S97" s="5">
        <f t="shared" ca="1" si="46"/>
        <v>-4.059714840137537E-2</v>
      </c>
      <c r="T97">
        <f t="shared" ca="1" si="47"/>
        <v>3.2562885677325175E-2</v>
      </c>
      <c r="U97" s="5">
        <f t="shared" ca="1" si="48"/>
        <v>5.5855031625425232E-2</v>
      </c>
    </row>
    <row r="98" spans="2:21" x14ac:dyDescent="0.25">
      <c r="B98">
        <f t="shared" si="31"/>
        <v>95</v>
      </c>
      <c r="C98">
        <f t="shared" si="51"/>
        <v>8</v>
      </c>
      <c r="D98">
        <f t="shared" si="52"/>
        <v>11</v>
      </c>
      <c r="E98" s="5">
        <f t="shared" ca="1" si="32"/>
        <v>8.6990000000000001E-3</v>
      </c>
      <c r="F98" s="5">
        <f t="shared" ca="1" si="33"/>
        <v>9.5940000000000001E-3</v>
      </c>
      <c r="G98" s="5">
        <f t="shared" ca="1" si="34"/>
        <v>1.0675E-2</v>
      </c>
      <c r="H98" s="5">
        <f t="shared" ca="1" si="35"/>
        <v>1.1776E-2</v>
      </c>
      <c r="I98" s="5">
        <f t="shared" ca="1" si="36"/>
        <v>1.2326999999999999E-2</v>
      </c>
      <c r="J98" s="5">
        <f t="shared" ca="1" si="37"/>
        <v>1.5781E-2</v>
      </c>
      <c r="K98" s="5">
        <f t="shared" ca="1" si="38"/>
        <v>1.6545000000000001E-2</v>
      </c>
      <c r="L98" s="5">
        <f t="shared" ca="1" si="39"/>
        <v>1.9873999999999999E-2</v>
      </c>
      <c r="M98" s="5">
        <f t="shared" ca="1" si="40"/>
        <v>2.1991E-2</v>
      </c>
      <c r="N98" s="5">
        <f t="shared" ca="1" si="41"/>
        <v>2.6069999999999999E-2</v>
      </c>
      <c r="O98" s="5">
        <f t="shared" ca="1" si="42"/>
        <v>2.8288000000000001E-2</v>
      </c>
      <c r="P98" s="8">
        <f t="shared" ca="1" si="43"/>
        <v>1003.9665815197834</v>
      </c>
      <c r="Q98" s="8">
        <f t="shared" ca="1" si="44"/>
        <v>1463.7513700068296</v>
      </c>
      <c r="R98" s="8">
        <f t="shared" ca="1" si="45"/>
        <v>1477.8760026522036</v>
      </c>
      <c r="S98" s="5">
        <f t="shared" ca="1" si="46"/>
        <v>4.3103254402283186E-2</v>
      </c>
      <c r="T98">
        <f t="shared" ca="1" si="47"/>
        <v>4.4165104010367183E-2</v>
      </c>
      <c r="U98" s="5">
        <f t="shared" ca="1" si="48"/>
        <v>5.1165480234265974E-2</v>
      </c>
    </row>
    <row r="99" spans="2:21" x14ac:dyDescent="0.25">
      <c r="B99">
        <f t="shared" si="31"/>
        <v>96</v>
      </c>
      <c r="C99">
        <f t="shared" si="51"/>
        <v>8</v>
      </c>
      <c r="D99">
        <f t="shared" si="52"/>
        <v>12</v>
      </c>
      <c r="E99" s="5">
        <f t="shared" ca="1" si="32"/>
        <v>8.6219999999999995E-3</v>
      </c>
      <c r="F99" s="5">
        <f t="shared" ca="1" si="33"/>
        <v>9.5479999999999992E-3</v>
      </c>
      <c r="G99" s="5">
        <f t="shared" ca="1" si="34"/>
        <v>1.0673E-2</v>
      </c>
      <c r="H99" s="5">
        <f t="shared" ca="1" si="35"/>
        <v>1.172E-2</v>
      </c>
      <c r="I99" s="5">
        <f t="shared" ca="1" si="36"/>
        <v>1.2377000000000001E-2</v>
      </c>
      <c r="J99" s="5">
        <f t="shared" ca="1" si="37"/>
        <v>1.5702000000000001E-2</v>
      </c>
      <c r="K99" s="5">
        <f t="shared" ca="1" si="38"/>
        <v>1.6542000000000001E-2</v>
      </c>
      <c r="L99" s="5">
        <f t="shared" ca="1" si="39"/>
        <v>1.985E-2</v>
      </c>
      <c r="M99" s="5">
        <f t="shared" ca="1" si="40"/>
        <v>2.2051000000000001E-2</v>
      </c>
      <c r="N99" s="5">
        <f t="shared" ca="1" si="41"/>
        <v>2.6058000000000001E-2</v>
      </c>
      <c r="O99" s="5">
        <f t="shared" ca="1" si="42"/>
        <v>2.8292000000000001E-2</v>
      </c>
      <c r="P99" s="8">
        <f t="shared" ca="1" si="43"/>
        <v>1002.6254330930844</v>
      </c>
      <c r="Q99" s="8">
        <f t="shared" ca="1" si="44"/>
        <v>1468.9600823817086</v>
      </c>
      <c r="R99" s="8">
        <f t="shared" ca="1" si="45"/>
        <v>1484.1192990369466</v>
      </c>
      <c r="S99" s="5">
        <f t="shared" ca="1" si="46"/>
        <v>-1.5912942281136471E-2</v>
      </c>
      <c r="T99">
        <f t="shared" ca="1" si="47"/>
        <v>4.3547346515474664E-2</v>
      </c>
      <c r="U99" s="5">
        <f t="shared" ca="1" si="48"/>
        <v>5.188868575340716E-2</v>
      </c>
    </row>
    <row r="100" spans="2:21" x14ac:dyDescent="0.25">
      <c r="B100">
        <f t="shared" si="31"/>
        <v>97</v>
      </c>
      <c r="C100">
        <f>C99+1</f>
        <v>9</v>
      </c>
      <c r="D100">
        <v>1</v>
      </c>
      <c r="E100" s="5">
        <f t="shared" ca="1" si="32"/>
        <v>8.7039999999999999E-3</v>
      </c>
      <c r="F100" s="5">
        <f t="shared" ca="1" si="33"/>
        <v>9.5460000000000007E-3</v>
      </c>
      <c r="G100" s="5">
        <f t="shared" ca="1" si="34"/>
        <v>1.0722000000000001E-2</v>
      </c>
      <c r="H100" s="5">
        <f t="shared" ca="1" si="35"/>
        <v>1.1636000000000001E-2</v>
      </c>
      <c r="I100" s="5">
        <f t="shared" ca="1" si="36"/>
        <v>1.2347E-2</v>
      </c>
      <c r="J100" s="5">
        <f t="shared" ca="1" si="37"/>
        <v>1.562E-2</v>
      </c>
      <c r="K100" s="5">
        <f t="shared" ca="1" si="38"/>
        <v>1.661E-2</v>
      </c>
      <c r="L100" s="5">
        <f t="shared" ca="1" si="39"/>
        <v>1.9928000000000001E-2</v>
      </c>
      <c r="M100" s="5">
        <f t="shared" ca="1" si="40"/>
        <v>2.2120999999999998E-2</v>
      </c>
      <c r="N100" s="5">
        <f t="shared" ca="1" si="41"/>
        <v>2.6027000000000002E-2</v>
      </c>
      <c r="O100" s="5">
        <f t="shared" ca="1" si="42"/>
        <v>2.8334999999999999E-2</v>
      </c>
      <c r="P100" s="8">
        <f t="shared" ca="1" si="43"/>
        <v>1004.0087899650375</v>
      </c>
      <c r="Q100" s="8">
        <f t="shared" ca="1" si="44"/>
        <v>1474.5916060281722</v>
      </c>
      <c r="R100" s="8">
        <f t="shared" ca="1" si="45"/>
        <v>1490.2423368257394</v>
      </c>
      <c r="S100" s="5">
        <f t="shared" ca="1" si="46"/>
        <v>1.6683035332892393E-2</v>
      </c>
      <c r="T100">
        <f t="shared" ca="1" si="47"/>
        <v>4.6986678469931646E-2</v>
      </c>
      <c r="U100" s="5">
        <f t="shared" ca="1" si="48"/>
        <v>5.0647463843264871E-2</v>
      </c>
    </row>
    <row r="101" spans="2:21" x14ac:dyDescent="0.25">
      <c r="B101">
        <f t="shared" si="31"/>
        <v>98</v>
      </c>
      <c r="C101">
        <f>C100</f>
        <v>9</v>
      </c>
      <c r="D101">
        <v>2</v>
      </c>
      <c r="E101" s="5">
        <f t="shared" ca="1" si="32"/>
        <v>8.7720000000000003E-3</v>
      </c>
      <c r="F101" s="5">
        <f t="shared" ca="1" si="33"/>
        <v>9.5149999999999992E-3</v>
      </c>
      <c r="G101" s="5">
        <f t="shared" ca="1" si="34"/>
        <v>1.0817E-2</v>
      </c>
      <c r="H101" s="5">
        <f t="shared" ca="1" si="35"/>
        <v>1.1717E-2</v>
      </c>
      <c r="I101" s="5">
        <f t="shared" ca="1" si="36"/>
        <v>1.2354E-2</v>
      </c>
      <c r="J101" s="5">
        <f t="shared" ca="1" si="37"/>
        <v>1.5623E-2</v>
      </c>
      <c r="K101" s="5">
        <f t="shared" ca="1" si="38"/>
        <v>1.6582E-2</v>
      </c>
      <c r="L101" s="5">
        <f t="shared" ca="1" si="39"/>
        <v>1.9890000000000001E-2</v>
      </c>
      <c r="M101" s="5">
        <f t="shared" ca="1" si="40"/>
        <v>2.222E-2</v>
      </c>
      <c r="N101" s="5">
        <f t="shared" ca="1" si="41"/>
        <v>2.5933000000000001E-2</v>
      </c>
      <c r="O101" s="5">
        <f t="shared" ca="1" si="42"/>
        <v>2.8427999999999998E-2</v>
      </c>
      <c r="P101" s="8">
        <f t="shared" ca="1" si="43"/>
        <v>1007.9725304951531</v>
      </c>
      <c r="Q101" s="8">
        <f t="shared" ca="1" si="44"/>
        <v>1478.8585443688626</v>
      </c>
      <c r="R101" s="8">
        <f t="shared" ca="1" si="45"/>
        <v>1496.1122116094491</v>
      </c>
      <c r="S101" s="5">
        <f t="shared" ca="1" si="46"/>
        <v>4.8417305908212638E-2</v>
      </c>
      <c r="T101">
        <f t="shared" ca="1" si="47"/>
        <v>3.5281682404357098E-2</v>
      </c>
      <c r="U101" s="5">
        <f t="shared" ca="1" si="48"/>
        <v>4.8304007396250445E-2</v>
      </c>
    </row>
    <row r="102" spans="2:21" x14ac:dyDescent="0.25">
      <c r="B102">
        <f t="shared" si="31"/>
        <v>99</v>
      </c>
      <c r="C102">
        <f t="shared" ref="C102:C111" si="53">C101</f>
        <v>9</v>
      </c>
      <c r="D102">
        <v>3</v>
      </c>
      <c r="E102" s="5">
        <f t="shared" ca="1" si="32"/>
        <v>8.7670000000000005E-3</v>
      </c>
      <c r="F102" s="5">
        <f t="shared" ca="1" si="33"/>
        <v>9.4179999999999993E-3</v>
      </c>
      <c r="G102" s="5">
        <f t="shared" ca="1" si="34"/>
        <v>1.0815999999999999E-2</v>
      </c>
      <c r="H102" s="5">
        <f t="shared" ca="1" si="35"/>
        <v>1.1734E-2</v>
      </c>
      <c r="I102" s="5">
        <f t="shared" ca="1" si="36"/>
        <v>1.2347E-2</v>
      </c>
      <c r="J102" s="5">
        <f t="shared" ca="1" si="37"/>
        <v>1.5565000000000001E-2</v>
      </c>
      <c r="K102" s="5">
        <f t="shared" ca="1" si="38"/>
        <v>1.6580000000000001E-2</v>
      </c>
      <c r="L102" s="5">
        <f t="shared" ca="1" si="39"/>
        <v>1.9855000000000001E-2</v>
      </c>
      <c r="M102" s="5">
        <f t="shared" ca="1" si="40"/>
        <v>2.2252000000000001E-2</v>
      </c>
      <c r="N102" s="5">
        <f t="shared" ca="1" si="41"/>
        <v>2.5898999999999998E-2</v>
      </c>
      <c r="O102" s="5">
        <f t="shared" ca="1" si="42"/>
        <v>2.8431999999999999E-2</v>
      </c>
      <c r="P102" s="8">
        <f t="shared" ca="1" si="43"/>
        <v>1009.3713388204519</v>
      </c>
      <c r="Q102" s="8">
        <f t="shared" ca="1" si="44"/>
        <v>1483.0546866241505</v>
      </c>
      <c r="R102" s="8">
        <f t="shared" ca="1" si="45"/>
        <v>1502.0166727425872</v>
      </c>
      <c r="S102" s="5">
        <f t="shared" ca="1" si="46"/>
        <v>1.6780628779793083E-2</v>
      </c>
      <c r="T102">
        <f t="shared" ca="1" si="47"/>
        <v>3.4585456093445162E-2</v>
      </c>
      <c r="U102" s="5">
        <f t="shared" ca="1" si="48"/>
        <v>4.8400039037975684E-2</v>
      </c>
    </row>
    <row r="103" spans="2:21" x14ac:dyDescent="0.25">
      <c r="B103">
        <f t="shared" si="31"/>
        <v>100</v>
      </c>
      <c r="C103">
        <f t="shared" si="53"/>
        <v>9</v>
      </c>
      <c r="D103">
        <f>D102+1</f>
        <v>4</v>
      </c>
      <c r="E103" s="5">
        <f t="shared" ca="1" si="32"/>
        <v>8.8129999999999997E-3</v>
      </c>
      <c r="F103" s="5">
        <f t="shared" ca="1" si="33"/>
        <v>9.3530000000000002E-3</v>
      </c>
      <c r="G103" s="5">
        <f t="shared" ca="1" si="34"/>
        <v>1.0902999999999999E-2</v>
      </c>
      <c r="H103" s="5">
        <f t="shared" ca="1" si="35"/>
        <v>1.1704000000000001E-2</v>
      </c>
      <c r="I103" s="5">
        <f t="shared" ca="1" si="36"/>
        <v>1.2252000000000001E-2</v>
      </c>
      <c r="J103" s="5">
        <f t="shared" ca="1" si="37"/>
        <v>1.5528999999999999E-2</v>
      </c>
      <c r="K103" s="5">
        <f t="shared" ca="1" si="38"/>
        <v>1.6605000000000002E-2</v>
      </c>
      <c r="L103" s="5">
        <f t="shared" ca="1" si="39"/>
        <v>1.9813000000000001E-2</v>
      </c>
      <c r="M103" s="5">
        <f t="shared" ca="1" si="40"/>
        <v>2.2262000000000001E-2</v>
      </c>
      <c r="N103" s="5">
        <f t="shared" ca="1" si="41"/>
        <v>2.5946E-2</v>
      </c>
      <c r="O103" s="5">
        <f t="shared" ca="1" si="42"/>
        <v>2.8448999999999999E-2</v>
      </c>
      <c r="P103" s="8">
        <f t="shared" ca="1" si="43"/>
        <v>1012.0457371010907</v>
      </c>
      <c r="Q103" s="8">
        <f t="shared" ca="1" si="44"/>
        <v>1491.4670815476984</v>
      </c>
      <c r="R103" s="8">
        <f t="shared" ca="1" si="45"/>
        <v>1507.9960102020973</v>
      </c>
      <c r="S103" s="5">
        <f t="shared" ca="1" si="46"/>
        <v>3.2262269954887415E-2</v>
      </c>
      <c r="T103">
        <f t="shared" ca="1" si="47"/>
        <v>7.0232367224786013E-2</v>
      </c>
      <c r="U103" s="5">
        <f t="shared" ca="1" si="48"/>
        <v>4.8830403858420496E-2</v>
      </c>
    </row>
    <row r="104" spans="2:21" x14ac:dyDescent="0.25">
      <c r="B104">
        <f t="shared" si="31"/>
        <v>101</v>
      </c>
      <c r="C104">
        <f t="shared" si="53"/>
        <v>9</v>
      </c>
      <c r="D104">
        <f t="shared" ref="D104:D111" si="54">D103+1</f>
        <v>5</v>
      </c>
      <c r="E104" s="5">
        <f t="shared" ca="1" si="32"/>
        <v>8.7720000000000003E-3</v>
      </c>
      <c r="F104" s="5">
        <f t="shared" ca="1" si="33"/>
        <v>9.3019999999999995E-3</v>
      </c>
      <c r="G104" s="5">
        <f t="shared" ca="1" si="34"/>
        <v>1.0879E-2</v>
      </c>
      <c r="H104" s="5">
        <f t="shared" ca="1" si="35"/>
        <v>1.1716000000000001E-2</v>
      </c>
      <c r="I104" s="5">
        <f t="shared" ca="1" si="36"/>
        <v>1.2311000000000001E-2</v>
      </c>
      <c r="J104" s="5">
        <f t="shared" ca="1" si="37"/>
        <v>1.5453E-2</v>
      </c>
      <c r="K104" s="5">
        <f t="shared" ca="1" si="38"/>
        <v>1.6563999999999999E-2</v>
      </c>
      <c r="L104" s="5">
        <f t="shared" ca="1" si="39"/>
        <v>1.9828999999999999E-2</v>
      </c>
      <c r="M104" s="5">
        <f t="shared" ca="1" si="40"/>
        <v>2.2266999999999999E-2</v>
      </c>
      <c r="N104" s="5">
        <f t="shared" ca="1" si="41"/>
        <v>2.6025E-2</v>
      </c>
      <c r="O104" s="5">
        <f t="shared" ca="1" si="42"/>
        <v>2.8490999999999999E-2</v>
      </c>
      <c r="P104" s="8">
        <f t="shared" ca="1" si="43"/>
        <v>1016.1804360870793</v>
      </c>
      <c r="Q104" s="8">
        <f t="shared" ca="1" si="44"/>
        <v>1499.9745094606176</v>
      </c>
      <c r="R104" s="8">
        <f t="shared" ca="1" si="45"/>
        <v>1513.4587784135717</v>
      </c>
      <c r="S104" s="5">
        <f t="shared" ca="1" si="46"/>
        <v>5.0142595566665817E-2</v>
      </c>
      <c r="T104">
        <f t="shared" ca="1" si="47"/>
        <v>7.0637561535707077E-2</v>
      </c>
      <c r="U104" s="5">
        <f t="shared" ca="1" si="48"/>
        <v>4.4347065216465961E-2</v>
      </c>
    </row>
    <row r="105" spans="2:21" x14ac:dyDescent="0.25">
      <c r="B105">
        <f t="shared" si="31"/>
        <v>102</v>
      </c>
      <c r="C105">
        <f t="shared" si="53"/>
        <v>9</v>
      </c>
      <c r="D105">
        <f t="shared" si="54"/>
        <v>6</v>
      </c>
      <c r="E105" s="5">
        <f t="shared" ca="1" si="32"/>
        <v>8.8039999999999993E-3</v>
      </c>
      <c r="F105" s="5">
        <f t="shared" ca="1" si="33"/>
        <v>9.3970000000000008E-3</v>
      </c>
      <c r="G105" s="5">
        <f t="shared" ca="1" si="34"/>
        <v>1.0836999999999999E-2</v>
      </c>
      <c r="H105" s="5">
        <f t="shared" ca="1" si="35"/>
        <v>1.1768000000000001E-2</v>
      </c>
      <c r="I105" s="5">
        <f t="shared" ca="1" si="36"/>
        <v>1.2260999999999999E-2</v>
      </c>
      <c r="J105" s="5">
        <f t="shared" ca="1" si="37"/>
        <v>1.5403999999999999E-2</v>
      </c>
      <c r="K105" s="5">
        <f t="shared" ca="1" si="38"/>
        <v>1.6577999999999999E-2</v>
      </c>
      <c r="L105" s="5">
        <f t="shared" ca="1" si="39"/>
        <v>1.9795E-2</v>
      </c>
      <c r="M105" s="5">
        <f t="shared" ca="1" si="40"/>
        <v>2.2179999999999998E-2</v>
      </c>
      <c r="N105" s="5">
        <f t="shared" ca="1" si="41"/>
        <v>2.6123E-2</v>
      </c>
      <c r="O105" s="5">
        <f t="shared" ca="1" si="42"/>
        <v>2.8566000000000001E-2</v>
      </c>
      <c r="P105" s="8">
        <f t="shared" ca="1" si="43"/>
        <v>1017.41698103154</v>
      </c>
      <c r="Q105" s="8">
        <f t="shared" ca="1" si="44"/>
        <v>1506.8477983175433</v>
      </c>
      <c r="R105" s="8">
        <f t="shared" ca="1" si="45"/>
        <v>1518.5613835900319</v>
      </c>
      <c r="S105" s="5">
        <f t="shared" ca="1" si="46"/>
        <v>1.4700394450940721E-2</v>
      </c>
      <c r="T105">
        <f t="shared" ca="1" si="47"/>
        <v>5.6394447764422727E-2</v>
      </c>
      <c r="U105" s="5">
        <f t="shared" ca="1" si="48"/>
        <v>4.1216544799691023E-2</v>
      </c>
    </row>
    <row r="106" spans="2:21" x14ac:dyDescent="0.25">
      <c r="B106">
        <f t="shared" si="31"/>
        <v>103</v>
      </c>
      <c r="C106">
        <f t="shared" si="53"/>
        <v>9</v>
      </c>
      <c r="D106">
        <f t="shared" si="54"/>
        <v>7</v>
      </c>
      <c r="E106" s="5">
        <f t="shared" ca="1" si="32"/>
        <v>8.8660000000000006E-3</v>
      </c>
      <c r="F106" s="5">
        <f t="shared" ca="1" si="33"/>
        <v>9.3069999999999993E-3</v>
      </c>
      <c r="G106" s="5">
        <f t="shared" ca="1" si="34"/>
        <v>1.0841E-2</v>
      </c>
      <c r="H106" s="5">
        <f t="shared" ca="1" si="35"/>
        <v>1.1809999999999999E-2</v>
      </c>
      <c r="I106" s="5">
        <f t="shared" ca="1" si="36"/>
        <v>1.2168E-2</v>
      </c>
      <c r="J106" s="5">
        <f t="shared" ca="1" si="37"/>
        <v>1.5363E-2</v>
      </c>
      <c r="K106" s="5">
        <f t="shared" ca="1" si="38"/>
        <v>1.6649000000000001E-2</v>
      </c>
      <c r="L106" s="5">
        <f t="shared" ca="1" si="39"/>
        <v>1.9740000000000001E-2</v>
      </c>
      <c r="M106" s="5">
        <f t="shared" ca="1" si="40"/>
        <v>2.2099000000000001E-2</v>
      </c>
      <c r="N106" s="5">
        <f t="shared" ca="1" si="41"/>
        <v>2.6065999999999999E-2</v>
      </c>
      <c r="O106" s="5">
        <f t="shared" ca="1" si="42"/>
        <v>2.8541E-2</v>
      </c>
      <c r="P106" s="8">
        <f t="shared" ca="1" si="43"/>
        <v>1013.7917044488213</v>
      </c>
      <c r="Q106" s="8">
        <f t="shared" ca="1" si="44"/>
        <v>1512.3336864694536</v>
      </c>
      <c r="R106" s="8">
        <f t="shared" ca="1" si="45"/>
        <v>1523.4954635066044</v>
      </c>
      <c r="S106" s="5">
        <f t="shared" ca="1" si="46"/>
        <v>-4.1930497330850552E-2</v>
      </c>
      <c r="T106">
        <f t="shared" ca="1" si="47"/>
        <v>4.457314610776815E-2</v>
      </c>
      <c r="U106" s="5">
        <f t="shared" ca="1" si="48"/>
        <v>3.9694540437555867E-2</v>
      </c>
    </row>
    <row r="107" spans="2:21" x14ac:dyDescent="0.25">
      <c r="B107">
        <f t="shared" si="31"/>
        <v>104</v>
      </c>
      <c r="C107">
        <f t="shared" si="53"/>
        <v>9</v>
      </c>
      <c r="D107">
        <f t="shared" si="54"/>
        <v>8</v>
      </c>
      <c r="E107" s="5">
        <f t="shared" ca="1" si="32"/>
        <v>8.8959999999999994E-3</v>
      </c>
      <c r="F107" s="5">
        <f t="shared" ca="1" si="33"/>
        <v>9.3100000000000006E-3</v>
      </c>
      <c r="G107" s="5">
        <f t="shared" ca="1" si="34"/>
        <v>1.0909E-2</v>
      </c>
      <c r="H107" s="5">
        <f t="shared" ca="1" si="35"/>
        <v>1.1852E-2</v>
      </c>
      <c r="I107" s="5">
        <f t="shared" ca="1" si="36"/>
        <v>1.2149999999999999E-2</v>
      </c>
      <c r="J107" s="5">
        <f t="shared" ca="1" si="37"/>
        <v>1.5287E-2</v>
      </c>
      <c r="K107" s="5">
        <f t="shared" ca="1" si="38"/>
        <v>1.6663000000000001E-2</v>
      </c>
      <c r="L107" s="5">
        <f t="shared" ca="1" si="39"/>
        <v>1.9799000000000001E-2</v>
      </c>
      <c r="M107" s="5">
        <f t="shared" ca="1" si="40"/>
        <v>2.2086999999999999E-2</v>
      </c>
      <c r="N107" s="5">
        <f t="shared" ca="1" si="41"/>
        <v>2.6107999999999999E-2</v>
      </c>
      <c r="O107" s="5">
        <f t="shared" ca="1" si="42"/>
        <v>2.8459999999999999E-2</v>
      </c>
      <c r="P107" s="8">
        <f t="shared" ca="1" si="43"/>
        <v>1017.4881403346612</v>
      </c>
      <c r="Q107" s="8">
        <f t="shared" ca="1" si="44"/>
        <v>1516.6390245636476</v>
      </c>
      <c r="R107" s="8">
        <f t="shared" ca="1" si="45"/>
        <v>1527.8752693040185</v>
      </c>
      <c r="S107" s="5">
        <f t="shared" ca="1" si="46"/>
        <v>4.4641974114367294E-2</v>
      </c>
      <c r="T107">
        <f t="shared" ca="1" si="47"/>
        <v>3.4701807572656028E-2</v>
      </c>
      <c r="U107" s="5">
        <f t="shared" ca="1" si="48"/>
        <v>3.5048812439564862E-2</v>
      </c>
    </row>
    <row r="108" spans="2:21" x14ac:dyDescent="0.25">
      <c r="B108">
        <f t="shared" si="31"/>
        <v>105</v>
      </c>
      <c r="C108">
        <f t="shared" si="53"/>
        <v>9</v>
      </c>
      <c r="D108">
        <f t="shared" si="54"/>
        <v>9</v>
      </c>
      <c r="E108" s="5">
        <f t="shared" ca="1" si="32"/>
        <v>8.8679999999999991E-3</v>
      </c>
      <c r="F108" s="5">
        <f t="shared" ca="1" si="33"/>
        <v>9.3349999999999995E-3</v>
      </c>
      <c r="G108" s="5">
        <f t="shared" ca="1" si="34"/>
        <v>1.1006E-2</v>
      </c>
      <c r="H108" s="5">
        <f t="shared" ca="1" si="35"/>
        <v>1.1897E-2</v>
      </c>
      <c r="I108" s="5">
        <f t="shared" ca="1" si="36"/>
        <v>1.2104999999999999E-2</v>
      </c>
      <c r="J108" s="5">
        <f t="shared" ca="1" si="37"/>
        <v>1.5219E-2</v>
      </c>
      <c r="K108" s="5">
        <f t="shared" ca="1" si="38"/>
        <v>1.6725E-2</v>
      </c>
      <c r="L108" s="5">
        <f t="shared" ca="1" si="39"/>
        <v>1.9741999999999999E-2</v>
      </c>
      <c r="M108" s="5">
        <f t="shared" ca="1" si="40"/>
        <v>2.2034000000000002E-2</v>
      </c>
      <c r="N108" s="5">
        <f t="shared" ca="1" si="41"/>
        <v>2.6082000000000001E-2</v>
      </c>
      <c r="O108" s="5">
        <f t="shared" ca="1" si="42"/>
        <v>2.8472999999999998E-2</v>
      </c>
      <c r="P108" s="8">
        <f t="shared" ca="1" si="43"/>
        <v>1018.6549131317465</v>
      </c>
      <c r="Q108" s="8">
        <f t="shared" ca="1" si="44"/>
        <v>1520.7980701731119</v>
      </c>
      <c r="R108" s="8">
        <f t="shared" ca="1" si="45"/>
        <v>1531.8379788316856</v>
      </c>
      <c r="S108" s="5">
        <f t="shared" ca="1" si="46"/>
        <v>1.3847746031004278E-2</v>
      </c>
      <c r="T108">
        <f t="shared" ca="1" si="47"/>
        <v>3.3408225037584185E-2</v>
      </c>
      <c r="U108" s="5">
        <f t="shared" ca="1" si="48"/>
        <v>3.15711257757193E-2</v>
      </c>
    </row>
    <row r="109" spans="2:21" x14ac:dyDescent="0.25">
      <c r="B109">
        <f t="shared" si="31"/>
        <v>106</v>
      </c>
      <c r="C109">
        <f t="shared" si="53"/>
        <v>9</v>
      </c>
      <c r="D109">
        <f t="shared" si="54"/>
        <v>10</v>
      </c>
      <c r="E109" s="5">
        <f t="shared" ca="1" si="32"/>
        <v>8.8579999999999996E-3</v>
      </c>
      <c r="F109" s="5">
        <f t="shared" ca="1" si="33"/>
        <v>9.3600000000000003E-3</v>
      </c>
      <c r="G109" s="5">
        <f t="shared" ca="1" si="34"/>
        <v>1.0943E-2</v>
      </c>
      <c r="H109" s="5">
        <f t="shared" ca="1" si="35"/>
        <v>1.1828999999999999E-2</v>
      </c>
      <c r="I109" s="5">
        <f t="shared" ca="1" si="36"/>
        <v>1.2052999999999999E-2</v>
      </c>
      <c r="J109" s="5">
        <f t="shared" ca="1" si="37"/>
        <v>1.5162E-2</v>
      </c>
      <c r="K109" s="5">
        <f t="shared" ca="1" si="38"/>
        <v>1.6736000000000001E-2</v>
      </c>
      <c r="L109" s="5">
        <f t="shared" ca="1" si="39"/>
        <v>1.9754000000000001E-2</v>
      </c>
      <c r="M109" s="5">
        <f t="shared" ca="1" si="40"/>
        <v>2.2106000000000001E-2</v>
      </c>
      <c r="N109" s="5">
        <f t="shared" ca="1" si="41"/>
        <v>2.6172000000000001E-2</v>
      </c>
      <c r="O109" s="5">
        <f t="shared" ca="1" si="42"/>
        <v>2.8509E-2</v>
      </c>
      <c r="P109" s="8">
        <f t="shared" ca="1" si="43"/>
        <v>1015.4970852756278</v>
      </c>
      <c r="Q109" s="8">
        <f t="shared" ca="1" si="44"/>
        <v>1526.0483604928918</v>
      </c>
      <c r="R109" s="8">
        <f t="shared" ca="1" si="45"/>
        <v>1535.2455841348333</v>
      </c>
      <c r="S109" s="5">
        <f t="shared" ca="1" si="46"/>
        <v>-3.6572221497635546E-2</v>
      </c>
      <c r="T109">
        <f t="shared" ca="1" si="47"/>
        <v>4.2223656338281394E-2</v>
      </c>
      <c r="U109" s="5">
        <f t="shared" ca="1" si="48"/>
        <v>2.7023282906367491E-2</v>
      </c>
    </row>
    <row r="110" spans="2:21" x14ac:dyDescent="0.25">
      <c r="B110">
        <f t="shared" si="31"/>
        <v>107</v>
      </c>
      <c r="C110">
        <f t="shared" si="53"/>
        <v>9</v>
      </c>
      <c r="D110">
        <f t="shared" si="54"/>
        <v>11</v>
      </c>
      <c r="E110" s="5">
        <f t="shared" ca="1" si="32"/>
        <v>8.8719999999999997E-3</v>
      </c>
      <c r="F110" s="5">
        <f t="shared" ca="1" si="33"/>
        <v>9.3559999999999997E-3</v>
      </c>
      <c r="G110" s="5">
        <f t="shared" ca="1" si="34"/>
        <v>1.0982E-2</v>
      </c>
      <c r="H110" s="5">
        <f t="shared" ca="1" si="35"/>
        <v>1.1853000000000001E-2</v>
      </c>
      <c r="I110" s="5">
        <f t="shared" ca="1" si="36"/>
        <v>1.2127000000000001E-2</v>
      </c>
      <c r="J110" s="5">
        <f t="shared" ca="1" si="37"/>
        <v>1.5214999999999999E-2</v>
      </c>
      <c r="K110" s="5">
        <f t="shared" ca="1" si="38"/>
        <v>1.6653000000000001E-2</v>
      </c>
      <c r="L110" s="5">
        <f t="shared" ca="1" si="39"/>
        <v>1.9667E-2</v>
      </c>
      <c r="M110" s="5">
        <f t="shared" ca="1" si="40"/>
        <v>2.2106000000000001E-2</v>
      </c>
      <c r="N110" s="5">
        <f t="shared" ca="1" si="41"/>
        <v>2.6089000000000001E-2</v>
      </c>
      <c r="O110" s="5">
        <f t="shared" ca="1" si="42"/>
        <v>2.8455999999999999E-2</v>
      </c>
      <c r="P110" s="8">
        <f t="shared" ca="1" si="43"/>
        <v>1016.8038430572793</v>
      </c>
      <c r="Q110" s="8">
        <f t="shared" ca="1" si="44"/>
        <v>1532.2285152316185</v>
      </c>
      <c r="R110" s="8">
        <f t="shared" ca="1" si="45"/>
        <v>1538.15209764477</v>
      </c>
      <c r="S110" s="5">
        <f t="shared" ca="1" si="46"/>
        <v>1.5551549854954255E-2</v>
      </c>
      <c r="T110">
        <f t="shared" ca="1" si="47"/>
        <v>4.9694509334913685E-2</v>
      </c>
      <c r="U110" s="5">
        <f t="shared" ca="1" si="48"/>
        <v>2.2956349646503893E-2</v>
      </c>
    </row>
    <row r="111" spans="2:21" x14ac:dyDescent="0.25">
      <c r="B111">
        <f t="shared" si="31"/>
        <v>108</v>
      </c>
      <c r="C111">
        <f t="shared" si="53"/>
        <v>9</v>
      </c>
      <c r="D111">
        <f t="shared" si="54"/>
        <v>12</v>
      </c>
      <c r="E111" s="5">
        <f t="shared" ca="1" si="32"/>
        <v>8.9610000000000002E-3</v>
      </c>
      <c r="F111" s="5">
        <f t="shared" ca="1" si="33"/>
        <v>9.3539999999999995E-3</v>
      </c>
      <c r="G111" s="5">
        <f t="shared" ca="1" si="34"/>
        <v>1.0973999999999999E-2</v>
      </c>
      <c r="H111" s="5">
        <f t="shared" ca="1" si="35"/>
        <v>1.1941E-2</v>
      </c>
      <c r="I111" s="5">
        <f t="shared" ca="1" si="36"/>
        <v>1.2099E-2</v>
      </c>
      <c r="J111" s="5">
        <f t="shared" ca="1" si="37"/>
        <v>1.5143999999999999E-2</v>
      </c>
      <c r="K111" s="5">
        <f t="shared" ca="1" si="38"/>
        <v>1.6587000000000001E-2</v>
      </c>
      <c r="L111" s="5">
        <f t="shared" ca="1" si="39"/>
        <v>1.9668000000000001E-2</v>
      </c>
      <c r="M111" s="5">
        <f t="shared" ca="1" si="40"/>
        <v>2.2081E-2</v>
      </c>
      <c r="N111" s="5">
        <f t="shared" ca="1" si="41"/>
        <v>2.6127000000000001E-2</v>
      </c>
      <c r="O111" s="5">
        <f t="shared" ca="1" si="42"/>
        <v>2.8525999999999999E-2</v>
      </c>
      <c r="P111" s="8">
        <f t="shared" ca="1" si="43"/>
        <v>1020.214977959623</v>
      </c>
      <c r="Q111" s="8">
        <f t="shared" ca="1" si="44"/>
        <v>1537.4612726352002</v>
      </c>
      <c r="R111" s="8">
        <f t="shared" ca="1" si="45"/>
        <v>1540.748089408743</v>
      </c>
      <c r="S111" s="5">
        <f t="shared" ca="1" si="46"/>
        <v>4.1008305693182284E-2</v>
      </c>
      <c r="T111">
        <f t="shared" ca="1" si="47"/>
        <v>4.1760138377308929E-2</v>
      </c>
      <c r="U111" s="5">
        <f t="shared" ca="1" si="48"/>
        <v>2.0441868462836729E-2</v>
      </c>
    </row>
    <row r="112" spans="2:21" x14ac:dyDescent="0.25">
      <c r="B112">
        <f t="shared" si="31"/>
        <v>109</v>
      </c>
      <c r="C112">
        <f>C111+1</f>
        <v>10</v>
      </c>
      <c r="D112">
        <v>1</v>
      </c>
      <c r="E112" s="5">
        <f t="shared" ca="1" si="32"/>
        <v>8.9060000000000007E-3</v>
      </c>
      <c r="F112" s="5">
        <f t="shared" ca="1" si="33"/>
        <v>9.417E-3</v>
      </c>
      <c r="G112" s="5">
        <f t="shared" ca="1" si="34"/>
        <v>1.0895999999999999E-2</v>
      </c>
      <c r="H112" s="5">
        <f t="shared" ca="1" si="35"/>
        <v>1.1845E-2</v>
      </c>
      <c r="I112" s="5">
        <f t="shared" ca="1" si="36"/>
        <v>1.2024999999999999E-2</v>
      </c>
      <c r="J112" s="5">
        <f t="shared" ca="1" si="37"/>
        <v>1.5152000000000001E-2</v>
      </c>
      <c r="K112" s="5">
        <f t="shared" ca="1" si="38"/>
        <v>1.6511000000000001E-2</v>
      </c>
      <c r="L112" s="5">
        <f t="shared" ca="1" si="39"/>
        <v>1.9667E-2</v>
      </c>
      <c r="M112" s="5">
        <f t="shared" ca="1" si="40"/>
        <v>2.1984E-2</v>
      </c>
      <c r="N112" s="5">
        <f t="shared" ca="1" si="41"/>
        <v>2.6113000000000001E-2</v>
      </c>
      <c r="O112" s="5">
        <f t="shared" ca="1" si="42"/>
        <v>2.8507999999999999E-2</v>
      </c>
      <c r="P112" s="8">
        <f t="shared" ca="1" si="43"/>
        <v>1019.9637941061915</v>
      </c>
      <c r="Q112" s="8">
        <f t="shared" ca="1" si="44"/>
        <v>1546.0250662976289</v>
      </c>
      <c r="R112" s="8">
        <f t="shared" ca="1" si="45"/>
        <v>1543.5246831517118</v>
      </c>
      <c r="S112" s="5">
        <f t="shared" ca="1" si="46"/>
        <v>-2.9504839714213664E-3</v>
      </c>
      <c r="T112">
        <f t="shared" ca="1" si="47"/>
        <v>6.8927256924075767E-2</v>
      </c>
      <c r="U112" s="5">
        <f t="shared" ca="1" si="48"/>
        <v>2.1840924263259624E-2</v>
      </c>
    </row>
    <row r="113" spans="2:21" x14ac:dyDescent="0.25">
      <c r="B113">
        <f t="shared" si="31"/>
        <v>110</v>
      </c>
      <c r="C113">
        <f>C112</f>
        <v>10</v>
      </c>
      <c r="D113">
        <v>2</v>
      </c>
      <c r="E113" s="5">
        <f t="shared" ca="1" si="32"/>
        <v>8.9189999999999998E-3</v>
      </c>
      <c r="F113" s="5">
        <f t="shared" ca="1" si="33"/>
        <v>9.4050000000000002E-3</v>
      </c>
      <c r="G113" s="5">
        <f t="shared" ca="1" si="34"/>
        <v>1.0812E-2</v>
      </c>
      <c r="H113" s="5">
        <f t="shared" ca="1" si="35"/>
        <v>1.1814E-2</v>
      </c>
      <c r="I113" s="5">
        <f t="shared" ca="1" si="36"/>
        <v>1.1965999999999999E-2</v>
      </c>
      <c r="J113" s="5">
        <f t="shared" ca="1" si="37"/>
        <v>1.5200999999999999E-2</v>
      </c>
      <c r="K113" s="5">
        <f t="shared" ca="1" si="38"/>
        <v>1.6417999999999999E-2</v>
      </c>
      <c r="L113" s="5">
        <f t="shared" ca="1" si="39"/>
        <v>1.9598000000000001E-2</v>
      </c>
      <c r="M113" s="5">
        <f t="shared" ca="1" si="40"/>
        <v>2.2043E-2</v>
      </c>
      <c r="N113" s="5">
        <f t="shared" ca="1" si="41"/>
        <v>2.6023999999999999E-2</v>
      </c>
      <c r="O113" s="5">
        <f t="shared" ca="1" si="42"/>
        <v>2.8441000000000001E-2</v>
      </c>
      <c r="P113" s="8">
        <f t="shared" ca="1" si="43"/>
        <v>1018.4201242580625</v>
      </c>
      <c r="Q113" s="8">
        <f t="shared" ca="1" si="44"/>
        <v>1553.967006647408</v>
      </c>
      <c r="R113" s="8">
        <f t="shared" ca="1" si="45"/>
        <v>1546.2354064683966</v>
      </c>
      <c r="S113" s="5">
        <f t="shared" ca="1" si="46"/>
        <v>-1.8011050327071572E-2</v>
      </c>
      <c r="T113">
        <f t="shared" ca="1" si="47"/>
        <v>6.3415908013719477E-2</v>
      </c>
      <c r="U113" s="5">
        <f t="shared" ca="1" si="48"/>
        <v>2.1279039334002582E-2</v>
      </c>
    </row>
    <row r="114" spans="2:21" x14ac:dyDescent="0.25">
      <c r="B114">
        <f t="shared" si="31"/>
        <v>111</v>
      </c>
      <c r="C114">
        <f t="shared" ref="C114:C123" si="55">C113</f>
        <v>10</v>
      </c>
      <c r="D114">
        <v>3</v>
      </c>
      <c r="E114" s="5">
        <f t="shared" ca="1" si="32"/>
        <v>8.9980000000000008E-3</v>
      </c>
      <c r="F114" s="5">
        <f t="shared" ca="1" si="33"/>
        <v>9.4750000000000008E-3</v>
      </c>
      <c r="G114" s="5">
        <f t="shared" ca="1" si="34"/>
        <v>1.0834E-2</v>
      </c>
      <c r="H114" s="5">
        <f t="shared" ca="1" si="35"/>
        <v>1.1854E-2</v>
      </c>
      <c r="I114" s="5">
        <f t="shared" ca="1" si="36"/>
        <v>1.1979999999999999E-2</v>
      </c>
      <c r="J114" s="5">
        <f t="shared" ca="1" si="37"/>
        <v>1.5223E-2</v>
      </c>
      <c r="K114" s="5">
        <f t="shared" ca="1" si="38"/>
        <v>1.6501999999999999E-2</v>
      </c>
      <c r="L114" s="5">
        <f t="shared" ca="1" si="39"/>
        <v>1.9675999999999999E-2</v>
      </c>
      <c r="M114" s="5">
        <f t="shared" ca="1" si="40"/>
        <v>2.2079999999999999E-2</v>
      </c>
      <c r="N114" s="5">
        <f t="shared" ca="1" si="41"/>
        <v>2.6074E-2</v>
      </c>
      <c r="O114" s="5">
        <f t="shared" ca="1" si="42"/>
        <v>2.8514999999999999E-2</v>
      </c>
      <c r="P114" s="8">
        <f t="shared" ca="1" si="43"/>
        <v>1019.9763123183641</v>
      </c>
      <c r="Q114" s="8">
        <f t="shared" ca="1" si="44"/>
        <v>1561.2428477012386</v>
      </c>
      <c r="R114" s="8">
        <f t="shared" ca="1" si="45"/>
        <v>1548.3709257454616</v>
      </c>
      <c r="S114" s="5">
        <f t="shared" ca="1" si="46"/>
        <v>1.8491387899385519E-2</v>
      </c>
      <c r="T114">
        <f t="shared" ca="1" si="47"/>
        <v>5.7654975370885632E-2</v>
      </c>
      <c r="U114" s="5">
        <f t="shared" ca="1" si="48"/>
        <v>1.6699779044311976E-2</v>
      </c>
    </row>
    <row r="115" spans="2:21" x14ac:dyDescent="0.25">
      <c r="B115">
        <f t="shared" si="31"/>
        <v>112</v>
      </c>
      <c r="C115">
        <f t="shared" si="55"/>
        <v>10</v>
      </c>
      <c r="D115">
        <f>D114+1</f>
        <v>4</v>
      </c>
      <c r="E115" s="5">
        <f t="shared" ca="1" si="32"/>
        <v>9.0310000000000008E-3</v>
      </c>
      <c r="F115" s="5">
        <f t="shared" ca="1" si="33"/>
        <v>9.4820000000000008E-3</v>
      </c>
      <c r="G115" s="5">
        <f t="shared" ca="1" si="34"/>
        <v>1.0886E-2</v>
      </c>
      <c r="H115" s="5">
        <f t="shared" ca="1" si="35"/>
        <v>1.1894E-2</v>
      </c>
      <c r="I115" s="5">
        <f t="shared" ca="1" si="36"/>
        <v>1.1918E-2</v>
      </c>
      <c r="J115" s="5">
        <f t="shared" ca="1" si="37"/>
        <v>1.5171E-2</v>
      </c>
      <c r="K115" s="5">
        <f t="shared" ca="1" si="38"/>
        <v>1.6546000000000002E-2</v>
      </c>
      <c r="L115" s="5">
        <f t="shared" ca="1" si="39"/>
        <v>1.9619999999999999E-2</v>
      </c>
      <c r="M115" s="5">
        <f t="shared" ca="1" si="40"/>
        <v>2.2165000000000001E-2</v>
      </c>
      <c r="N115" s="5">
        <f t="shared" ca="1" si="41"/>
        <v>2.605E-2</v>
      </c>
      <c r="O115" s="5">
        <f t="shared" ca="1" si="42"/>
        <v>2.8434999999999998E-2</v>
      </c>
      <c r="P115" s="8">
        <f t="shared" ca="1" si="43"/>
        <v>1017.8109219188026</v>
      </c>
      <c r="Q115" s="8">
        <f t="shared" ca="1" si="44"/>
        <v>1568.607624713231</v>
      </c>
      <c r="R115" s="8">
        <f t="shared" ca="1" si="45"/>
        <v>1550.4495123313363</v>
      </c>
      <c r="S115" s="5">
        <f t="shared" ca="1" si="46"/>
        <v>-2.5180402614724751E-2</v>
      </c>
      <c r="T115">
        <f t="shared" ca="1" si="47"/>
        <v>5.809903589348122E-2</v>
      </c>
      <c r="U115" s="5">
        <f t="shared" ca="1" si="48"/>
        <v>1.6228688735786399E-2</v>
      </c>
    </row>
    <row r="116" spans="2:21" x14ac:dyDescent="0.25">
      <c r="B116">
        <f t="shared" si="31"/>
        <v>113</v>
      </c>
      <c r="C116">
        <f t="shared" si="55"/>
        <v>10</v>
      </c>
      <c r="D116">
        <f t="shared" ref="D116:D123" si="56">D115+1</f>
        <v>5</v>
      </c>
      <c r="E116" s="5">
        <f t="shared" ca="1" si="32"/>
        <v>9.0830000000000008E-3</v>
      </c>
      <c r="F116" s="5">
        <f t="shared" ca="1" si="33"/>
        <v>9.5449999999999997E-3</v>
      </c>
      <c r="G116" s="5">
        <f t="shared" ca="1" si="34"/>
        <v>1.0796999999999999E-2</v>
      </c>
      <c r="H116" s="5">
        <f t="shared" ca="1" si="35"/>
        <v>1.1965999999999999E-2</v>
      </c>
      <c r="I116" s="5">
        <f t="shared" ca="1" si="36"/>
        <v>1.2007E-2</v>
      </c>
      <c r="J116" s="5">
        <f t="shared" ca="1" si="37"/>
        <v>1.5154000000000001E-2</v>
      </c>
      <c r="K116" s="5">
        <f t="shared" ca="1" si="38"/>
        <v>1.66E-2</v>
      </c>
      <c r="L116" s="5">
        <f t="shared" ca="1" si="39"/>
        <v>1.9618E-2</v>
      </c>
      <c r="M116" s="5">
        <f t="shared" ca="1" si="40"/>
        <v>2.2128999999999999E-2</v>
      </c>
      <c r="N116" s="5">
        <f t="shared" ca="1" si="41"/>
        <v>2.6141999999999999E-2</v>
      </c>
      <c r="O116" s="5">
        <f t="shared" ca="1" si="42"/>
        <v>2.8490000000000001E-2</v>
      </c>
      <c r="P116" s="8">
        <f t="shared" ca="1" si="43"/>
        <v>1018.7259241549206</v>
      </c>
      <c r="Q116" s="8">
        <f t="shared" ca="1" si="44"/>
        <v>1575.0039921259488</v>
      </c>
      <c r="R116" s="8">
        <f t="shared" ca="1" si="45"/>
        <v>1552.1048324292601</v>
      </c>
      <c r="S116" s="5">
        <f t="shared" ca="1" si="46"/>
        <v>1.0841384952108173E-2</v>
      </c>
      <c r="T116">
        <f t="shared" ca="1" si="47"/>
        <v>5.0045327198261672E-2</v>
      </c>
      <c r="U116" s="5">
        <f t="shared" ca="1" si="48"/>
        <v>1.2887164567500525E-2</v>
      </c>
    </row>
    <row r="117" spans="2:21" x14ac:dyDescent="0.25">
      <c r="B117">
        <f t="shared" si="31"/>
        <v>114</v>
      </c>
      <c r="C117">
        <f t="shared" si="55"/>
        <v>10</v>
      </c>
      <c r="D117">
        <f t="shared" si="56"/>
        <v>6</v>
      </c>
      <c r="E117" s="5">
        <f t="shared" ca="1" si="32"/>
        <v>8.9849999999999999E-3</v>
      </c>
      <c r="F117" s="5">
        <f t="shared" ca="1" si="33"/>
        <v>9.5329999999999998E-3</v>
      </c>
      <c r="G117" s="5">
        <f t="shared" ca="1" si="34"/>
        <v>1.0847000000000001E-2</v>
      </c>
      <c r="H117" s="5">
        <f t="shared" ca="1" si="35"/>
        <v>1.2031E-2</v>
      </c>
      <c r="I117" s="5">
        <f t="shared" ca="1" si="36"/>
        <v>1.1918E-2</v>
      </c>
      <c r="J117" s="5">
        <f t="shared" ca="1" si="37"/>
        <v>1.5252999999999999E-2</v>
      </c>
      <c r="K117" s="5">
        <f t="shared" ca="1" si="38"/>
        <v>1.6556000000000001E-2</v>
      </c>
      <c r="L117" s="5">
        <f t="shared" ca="1" si="39"/>
        <v>1.9713999999999999E-2</v>
      </c>
      <c r="M117" s="5">
        <f t="shared" ca="1" si="40"/>
        <v>2.2128999999999999E-2</v>
      </c>
      <c r="N117" s="5">
        <f t="shared" ca="1" si="41"/>
        <v>2.6179999999999998E-2</v>
      </c>
      <c r="O117" s="5">
        <f t="shared" ca="1" si="42"/>
        <v>2.8486999999999998E-2</v>
      </c>
      <c r="P117" s="8">
        <f t="shared" ca="1" si="43"/>
        <v>1019.6772312329725</v>
      </c>
      <c r="Q117" s="8">
        <f t="shared" ca="1" si="44"/>
        <v>1579.5784439556498</v>
      </c>
      <c r="R117" s="8">
        <f t="shared" ca="1" si="45"/>
        <v>1553.9304652966318</v>
      </c>
      <c r="S117" s="5">
        <f t="shared" ca="1" si="46"/>
        <v>1.1263578014927162E-2</v>
      </c>
      <c r="T117">
        <f t="shared" ca="1" si="47"/>
        <v>3.541505153346744E-2</v>
      </c>
      <c r="U117" s="5">
        <f t="shared" ca="1" si="48"/>
        <v>1.4206435787423454E-2</v>
      </c>
    </row>
    <row r="118" spans="2:21" x14ac:dyDescent="0.25">
      <c r="B118">
        <f t="shared" si="31"/>
        <v>115</v>
      </c>
      <c r="C118">
        <f t="shared" si="55"/>
        <v>10</v>
      </c>
      <c r="D118">
        <f t="shared" si="56"/>
        <v>7</v>
      </c>
      <c r="E118" s="5">
        <f t="shared" ca="1" si="32"/>
        <v>8.8900000000000003E-3</v>
      </c>
      <c r="F118" s="5">
        <f t="shared" ca="1" si="33"/>
        <v>9.5099999999999994E-3</v>
      </c>
      <c r="G118" s="5">
        <f t="shared" ca="1" si="34"/>
        <v>1.0841E-2</v>
      </c>
      <c r="H118" s="5">
        <f t="shared" ca="1" si="35"/>
        <v>1.2094000000000001E-2</v>
      </c>
      <c r="I118" s="5">
        <f t="shared" ca="1" si="36"/>
        <v>1.1953999999999999E-2</v>
      </c>
      <c r="J118" s="5">
        <f t="shared" ca="1" si="37"/>
        <v>1.5299999999999999E-2</v>
      </c>
      <c r="K118" s="5">
        <f t="shared" ca="1" si="38"/>
        <v>1.6553999999999999E-2</v>
      </c>
      <c r="L118" s="5">
        <f t="shared" ca="1" si="39"/>
        <v>1.9636000000000001E-2</v>
      </c>
      <c r="M118" s="5">
        <f t="shared" ca="1" si="40"/>
        <v>2.2114999999999999E-2</v>
      </c>
      <c r="N118" s="5">
        <f t="shared" ca="1" si="41"/>
        <v>2.6131999999999999E-2</v>
      </c>
      <c r="O118" s="5">
        <f t="shared" ca="1" si="42"/>
        <v>2.8521999999999999E-2</v>
      </c>
      <c r="P118" s="8">
        <f t="shared" ca="1" si="43"/>
        <v>1020.9745850355046</v>
      </c>
      <c r="Q118" s="8">
        <f t="shared" ca="1" si="44"/>
        <v>1585.9303950630649</v>
      </c>
      <c r="R118" s="8">
        <f t="shared" ca="1" si="45"/>
        <v>1555.8847448013012</v>
      </c>
      <c r="S118" s="5">
        <f t="shared" ca="1" si="46"/>
        <v>1.5375112037730081E-2</v>
      </c>
      <c r="T118">
        <f t="shared" ca="1" si="47"/>
        <v>4.933725169734287E-2</v>
      </c>
      <c r="U118" s="5">
        <f t="shared" ca="1" si="48"/>
        <v>1.5196464415816926E-2</v>
      </c>
    </row>
    <row r="119" spans="2:21" x14ac:dyDescent="0.25">
      <c r="B119">
        <f t="shared" si="31"/>
        <v>116</v>
      </c>
      <c r="C119">
        <f t="shared" si="55"/>
        <v>10</v>
      </c>
      <c r="D119">
        <f t="shared" si="56"/>
        <v>8</v>
      </c>
      <c r="E119" s="5">
        <f t="shared" ca="1" si="32"/>
        <v>8.9610000000000002E-3</v>
      </c>
      <c r="F119" s="5">
        <f t="shared" ca="1" si="33"/>
        <v>9.4500000000000001E-3</v>
      </c>
      <c r="G119" s="5">
        <f t="shared" ca="1" si="34"/>
        <v>1.0782999999999999E-2</v>
      </c>
      <c r="H119" s="5">
        <f t="shared" ca="1" si="35"/>
        <v>1.2156E-2</v>
      </c>
      <c r="I119" s="5">
        <f t="shared" ca="1" si="36"/>
        <v>1.2045E-2</v>
      </c>
      <c r="J119" s="5">
        <f t="shared" ca="1" si="37"/>
        <v>1.523E-2</v>
      </c>
      <c r="K119" s="5">
        <f t="shared" ca="1" si="38"/>
        <v>1.6515999999999999E-2</v>
      </c>
      <c r="L119" s="5">
        <f t="shared" ca="1" si="39"/>
        <v>1.9564000000000002E-2</v>
      </c>
      <c r="M119" s="5">
        <f t="shared" ca="1" si="40"/>
        <v>2.2207000000000001E-2</v>
      </c>
      <c r="N119" s="5">
        <f t="shared" ca="1" si="41"/>
        <v>2.6048999999999999E-2</v>
      </c>
      <c r="O119" s="5">
        <f t="shared" ca="1" si="42"/>
        <v>2.8492E-2</v>
      </c>
      <c r="P119" s="8">
        <f t="shared" ca="1" si="43"/>
        <v>1019.9803654978977</v>
      </c>
      <c r="Q119" s="8">
        <f t="shared" ca="1" si="44"/>
        <v>1593.5465657509178</v>
      </c>
      <c r="R119" s="8">
        <f t="shared" ca="1" si="45"/>
        <v>1557.9100031327464</v>
      </c>
      <c r="S119" s="5">
        <f t="shared" ca="1" si="46"/>
        <v>-1.1623151697930389E-2</v>
      </c>
      <c r="T119">
        <f t="shared" ca="1" si="47"/>
        <v>5.9174784005805017E-2</v>
      </c>
      <c r="U119" s="5">
        <f t="shared" ca="1" si="48"/>
        <v>1.5732430337662355E-2</v>
      </c>
    </row>
    <row r="120" spans="2:21" x14ac:dyDescent="0.25">
      <c r="B120">
        <f t="shared" si="31"/>
        <v>117</v>
      </c>
      <c r="C120">
        <f t="shared" si="55"/>
        <v>10</v>
      </c>
      <c r="D120">
        <f t="shared" si="56"/>
        <v>9</v>
      </c>
      <c r="E120" s="5">
        <f t="shared" ca="1" si="32"/>
        <v>8.9990000000000001E-3</v>
      </c>
      <c r="F120" s="5">
        <f t="shared" ca="1" si="33"/>
        <v>9.469E-3</v>
      </c>
      <c r="G120" s="5">
        <f t="shared" ca="1" si="34"/>
        <v>1.0704999999999999E-2</v>
      </c>
      <c r="H120" s="5">
        <f t="shared" ca="1" si="35"/>
        <v>1.2203E-2</v>
      </c>
      <c r="I120" s="5">
        <f t="shared" ca="1" si="36"/>
        <v>1.2050999999999999E-2</v>
      </c>
      <c r="J120" s="5">
        <f t="shared" ca="1" si="37"/>
        <v>1.5223E-2</v>
      </c>
      <c r="K120" s="5">
        <f t="shared" ca="1" si="38"/>
        <v>1.6593E-2</v>
      </c>
      <c r="L120" s="5">
        <f t="shared" ca="1" si="39"/>
        <v>1.9588999999999999E-2</v>
      </c>
      <c r="M120" s="5">
        <f t="shared" ca="1" si="40"/>
        <v>2.2133E-2</v>
      </c>
      <c r="N120" s="5">
        <f t="shared" ca="1" si="41"/>
        <v>2.6040000000000001E-2</v>
      </c>
      <c r="O120" s="5">
        <f t="shared" ca="1" si="42"/>
        <v>2.8493000000000001E-2</v>
      </c>
      <c r="P120" s="8">
        <f t="shared" ca="1" si="43"/>
        <v>1020.3725527699444</v>
      </c>
      <c r="Q120" s="8">
        <f t="shared" ca="1" si="44"/>
        <v>1602.1452163973429</v>
      </c>
      <c r="R120" s="8">
        <f t="shared" ca="1" si="45"/>
        <v>1560.4265252913485</v>
      </c>
      <c r="S120" s="5">
        <f t="shared" ca="1" si="46"/>
        <v>4.6238269382858346E-3</v>
      </c>
      <c r="T120">
        <f t="shared" ca="1" si="47"/>
        <v>6.6707686650269174E-2</v>
      </c>
      <c r="U120" s="5">
        <f t="shared" ca="1" si="48"/>
        <v>1.9556973649009098E-2</v>
      </c>
    </row>
    <row r="121" spans="2:21" x14ac:dyDescent="0.25">
      <c r="B121">
        <f t="shared" si="31"/>
        <v>118</v>
      </c>
      <c r="C121">
        <f t="shared" si="55"/>
        <v>10</v>
      </c>
      <c r="D121">
        <f t="shared" si="56"/>
        <v>10</v>
      </c>
      <c r="E121" s="5">
        <f t="shared" ca="1" si="32"/>
        <v>9.0130000000000002E-3</v>
      </c>
      <c r="F121" s="5">
        <f t="shared" ca="1" si="33"/>
        <v>9.4809999999999998E-3</v>
      </c>
      <c r="G121" s="5">
        <f t="shared" ca="1" si="34"/>
        <v>1.0685E-2</v>
      </c>
      <c r="H121" s="5">
        <f t="shared" ca="1" si="35"/>
        <v>1.2279999999999999E-2</v>
      </c>
      <c r="I121" s="5">
        <f t="shared" ca="1" si="36"/>
        <v>1.2019999999999999E-2</v>
      </c>
      <c r="J121" s="5">
        <f t="shared" ca="1" si="37"/>
        <v>1.5153E-2</v>
      </c>
      <c r="K121" s="5">
        <f t="shared" ca="1" si="38"/>
        <v>1.6621E-2</v>
      </c>
      <c r="L121" s="5">
        <f t="shared" ca="1" si="39"/>
        <v>1.9554999999999999E-2</v>
      </c>
      <c r="M121" s="5">
        <f t="shared" ca="1" si="40"/>
        <v>2.2102E-2</v>
      </c>
      <c r="N121" s="5">
        <f t="shared" ca="1" si="41"/>
        <v>2.5965999999999999E-2</v>
      </c>
      <c r="O121" s="5">
        <f t="shared" ca="1" si="42"/>
        <v>2.8437E-2</v>
      </c>
      <c r="P121" s="8">
        <f t="shared" ca="1" si="43"/>
        <v>1022.6551541355876</v>
      </c>
      <c r="Q121" s="8">
        <f t="shared" ca="1" si="44"/>
        <v>1607.1492614514914</v>
      </c>
      <c r="R121" s="8">
        <f t="shared" ca="1" si="45"/>
        <v>1562.4754615400911</v>
      </c>
      <c r="S121" s="5">
        <f t="shared" ca="1" si="46"/>
        <v>2.7177087410829907E-2</v>
      </c>
      <c r="T121">
        <f t="shared" ca="1" si="47"/>
        <v>3.8130683507773808E-2</v>
      </c>
      <c r="U121" s="5">
        <f t="shared" ca="1" si="48"/>
        <v>1.5871032131374977E-2</v>
      </c>
    </row>
    <row r="122" spans="2:21" x14ac:dyDescent="0.25">
      <c r="B122">
        <f t="shared" si="31"/>
        <v>119</v>
      </c>
      <c r="C122">
        <f t="shared" si="55"/>
        <v>10</v>
      </c>
      <c r="D122">
        <f t="shared" si="56"/>
        <v>11</v>
      </c>
      <c r="E122" s="5">
        <f t="shared" ca="1" si="32"/>
        <v>9.0109999999999999E-3</v>
      </c>
      <c r="F122" s="5">
        <f t="shared" ca="1" si="33"/>
        <v>9.4900000000000002E-3</v>
      </c>
      <c r="G122" s="5">
        <f t="shared" ca="1" si="34"/>
        <v>1.0593E-2</v>
      </c>
      <c r="H122" s="5">
        <f t="shared" ca="1" si="35"/>
        <v>1.2292000000000001E-2</v>
      </c>
      <c r="I122" s="5">
        <f t="shared" ca="1" si="36"/>
        <v>1.2054E-2</v>
      </c>
      <c r="J122" s="5">
        <f t="shared" ca="1" si="37"/>
        <v>1.5249E-2</v>
      </c>
      <c r="K122" s="5">
        <f t="shared" ca="1" si="38"/>
        <v>1.6712000000000001E-2</v>
      </c>
      <c r="L122" s="5">
        <f t="shared" ca="1" si="39"/>
        <v>1.9515999999999999E-2</v>
      </c>
      <c r="M122" s="5">
        <f t="shared" ca="1" si="40"/>
        <v>2.2135999999999999E-2</v>
      </c>
      <c r="N122" s="5">
        <f t="shared" ca="1" si="41"/>
        <v>2.6058999999999999E-2</v>
      </c>
      <c r="O122" s="5">
        <f t="shared" ca="1" si="42"/>
        <v>2.8479000000000001E-2</v>
      </c>
      <c r="P122" s="8">
        <f t="shared" ca="1" si="43"/>
        <v>1026.7445754885714</v>
      </c>
      <c r="Q122" s="8">
        <f t="shared" ca="1" si="44"/>
        <v>1614.6922072179195</v>
      </c>
      <c r="R122" s="8">
        <f t="shared" ca="1" si="45"/>
        <v>1564.7530883476836</v>
      </c>
      <c r="S122" s="5">
        <f t="shared" ca="1" si="46"/>
        <v>4.9055503560923593E-2</v>
      </c>
      <c r="T122">
        <f t="shared" ca="1" si="47"/>
        <v>5.7797253329737903E-2</v>
      </c>
      <c r="U122" s="5">
        <f t="shared" ca="1" si="48"/>
        <v>1.7633375751981342E-2</v>
      </c>
    </row>
    <row r="123" spans="2:21" x14ac:dyDescent="0.25">
      <c r="B123">
        <f t="shared" si="31"/>
        <v>120</v>
      </c>
      <c r="C123">
        <f t="shared" si="55"/>
        <v>10</v>
      </c>
      <c r="D123">
        <f t="shared" si="56"/>
        <v>12</v>
      </c>
      <c r="E123" s="5">
        <f t="shared" ca="1" si="32"/>
        <v>8.9289999999999994E-3</v>
      </c>
      <c r="F123" s="5">
        <f t="shared" ca="1" si="33"/>
        <v>9.5289999999999993E-3</v>
      </c>
      <c r="G123" s="5">
        <f t="shared" ca="1" si="34"/>
        <v>1.0522E-2</v>
      </c>
      <c r="H123" s="5">
        <f t="shared" ca="1" si="35"/>
        <v>1.2387E-2</v>
      </c>
      <c r="I123" s="5">
        <f t="shared" ca="1" si="36"/>
        <v>1.2141000000000001E-2</v>
      </c>
      <c r="J123" s="5">
        <f t="shared" ca="1" si="37"/>
        <v>1.5252E-2</v>
      </c>
      <c r="K123" s="5">
        <f t="shared" ca="1" si="38"/>
        <v>1.6716000000000002E-2</v>
      </c>
      <c r="L123" s="5">
        <f t="shared" ca="1" si="39"/>
        <v>1.9504000000000001E-2</v>
      </c>
      <c r="M123" s="5">
        <f t="shared" ca="1" si="40"/>
        <v>2.2185E-2</v>
      </c>
      <c r="N123" s="5">
        <f t="shared" ca="1" si="41"/>
        <v>2.6093999999999999E-2</v>
      </c>
      <c r="O123" s="5">
        <f t="shared" ca="1" si="42"/>
        <v>2.8472999999999998E-2</v>
      </c>
      <c r="P123" s="8">
        <f t="shared" ca="1" si="43"/>
        <v>1026.4420183855636</v>
      </c>
      <c r="Q123" s="8">
        <f t="shared" ca="1" si="44"/>
        <v>1620.888195974841</v>
      </c>
      <c r="R123" s="8">
        <f t="shared" ca="1" si="45"/>
        <v>1567.1334485915502</v>
      </c>
      <c r="S123" s="5">
        <f t="shared" ca="1" si="46"/>
        <v>-3.5303879654911404E-3</v>
      </c>
      <c r="T123">
        <f t="shared" ca="1" si="47"/>
        <v>4.7031440425040219E-2</v>
      </c>
      <c r="U123" s="5">
        <f t="shared" ca="1" si="48"/>
        <v>1.8408355445731842E-2</v>
      </c>
    </row>
    <row r="124" spans="2:21" x14ac:dyDescent="0.25">
      <c r="B124">
        <f t="shared" si="31"/>
        <v>121</v>
      </c>
      <c r="C124">
        <f>C123+1</f>
        <v>11</v>
      </c>
      <c r="D124">
        <v>1</v>
      </c>
      <c r="E124" s="5">
        <f t="shared" ca="1" si="32"/>
        <v>8.8970000000000004E-3</v>
      </c>
      <c r="F124" s="5">
        <f t="shared" ca="1" si="33"/>
        <v>9.5060000000000006E-3</v>
      </c>
      <c r="G124" s="5">
        <f t="shared" ca="1" si="34"/>
        <v>1.0614999999999999E-2</v>
      </c>
      <c r="H124" s="5">
        <f t="shared" ca="1" si="35"/>
        <v>1.2403000000000001E-2</v>
      </c>
      <c r="I124" s="5">
        <f t="shared" ca="1" si="36"/>
        <v>1.2168E-2</v>
      </c>
      <c r="J124" s="5">
        <f t="shared" ca="1" si="37"/>
        <v>1.5159000000000001E-2</v>
      </c>
      <c r="K124" s="5">
        <f t="shared" ca="1" si="38"/>
        <v>1.6730999999999999E-2</v>
      </c>
      <c r="L124" s="5">
        <f t="shared" ca="1" si="39"/>
        <v>1.9522000000000001E-2</v>
      </c>
      <c r="M124" s="5">
        <f t="shared" ca="1" si="40"/>
        <v>2.2089999999999999E-2</v>
      </c>
      <c r="N124" s="5">
        <f t="shared" ca="1" si="41"/>
        <v>2.6092000000000001E-2</v>
      </c>
      <c r="O124" s="5">
        <f t="shared" ca="1" si="42"/>
        <v>2.8417000000000001E-2</v>
      </c>
      <c r="P124" s="8">
        <f t="shared" ca="1" si="43"/>
        <v>1024.2418755770198</v>
      </c>
      <c r="Q124" s="8">
        <f t="shared" ca="1" si="44"/>
        <v>1627.8758489965221</v>
      </c>
      <c r="R124" s="8">
        <f t="shared" ca="1" si="45"/>
        <v>1569.967455424739</v>
      </c>
      <c r="S124" s="5">
        <f t="shared" ca="1" si="46"/>
        <v>-2.5420506022520589E-2</v>
      </c>
      <c r="T124">
        <f t="shared" ca="1" si="47"/>
        <v>5.2976420978210682E-2</v>
      </c>
      <c r="U124" s="5">
        <f t="shared" ca="1" si="48"/>
        <v>2.1917968019663735E-2</v>
      </c>
    </row>
    <row r="125" spans="2:21" x14ac:dyDescent="0.25">
      <c r="B125">
        <f t="shared" si="31"/>
        <v>122</v>
      </c>
      <c r="C125">
        <f>C124</f>
        <v>11</v>
      </c>
      <c r="D125">
        <v>2</v>
      </c>
      <c r="E125" s="5">
        <f t="shared" ca="1" si="32"/>
        <v>8.9859999999999992E-3</v>
      </c>
      <c r="F125" s="5">
        <f t="shared" ca="1" si="33"/>
        <v>9.4990000000000005E-3</v>
      </c>
      <c r="G125" s="5">
        <f t="shared" ca="1" si="34"/>
        <v>1.0689000000000001E-2</v>
      </c>
      <c r="H125" s="5">
        <f t="shared" ca="1" si="35"/>
        <v>1.2343E-2</v>
      </c>
      <c r="I125" s="5">
        <f t="shared" ca="1" si="36"/>
        <v>1.2125E-2</v>
      </c>
      <c r="J125" s="5">
        <f t="shared" ca="1" si="37"/>
        <v>1.5099E-2</v>
      </c>
      <c r="K125" s="5">
        <f t="shared" ca="1" si="38"/>
        <v>1.6721E-2</v>
      </c>
      <c r="L125" s="5">
        <f t="shared" ca="1" si="39"/>
        <v>1.9517E-2</v>
      </c>
      <c r="M125" s="5">
        <f t="shared" ca="1" si="40"/>
        <v>2.2081E-2</v>
      </c>
      <c r="N125" s="5">
        <f t="shared" ca="1" si="41"/>
        <v>2.6137000000000001E-2</v>
      </c>
      <c r="O125" s="5">
        <f t="shared" ca="1" si="42"/>
        <v>2.836E-2</v>
      </c>
      <c r="P125" s="8">
        <f t="shared" ca="1" si="43"/>
        <v>1022.4673769005024</v>
      </c>
      <c r="Q125" s="8">
        <f t="shared" ca="1" si="44"/>
        <v>1632.6873216564034</v>
      </c>
      <c r="R125" s="8">
        <f t="shared" ca="1" si="45"/>
        <v>1572.7134182076866</v>
      </c>
      <c r="S125" s="5">
        <f t="shared" ca="1" si="46"/>
        <v>-2.0593032596803021E-2</v>
      </c>
      <c r="T125">
        <f t="shared" ca="1" si="47"/>
        <v>3.6050400913430466E-2</v>
      </c>
      <c r="U125" s="5">
        <f t="shared" ca="1" si="48"/>
        <v>2.1191774706033555E-2</v>
      </c>
    </row>
    <row r="126" spans="2:21" x14ac:dyDescent="0.25">
      <c r="B126">
        <f t="shared" si="31"/>
        <v>123</v>
      </c>
      <c r="C126">
        <f t="shared" ref="C126:C135" si="57">C125</f>
        <v>11</v>
      </c>
      <c r="D126">
        <v>3</v>
      </c>
      <c r="E126" s="5">
        <f t="shared" ca="1" si="32"/>
        <v>8.9200000000000008E-3</v>
      </c>
      <c r="F126" s="5">
        <f t="shared" ca="1" si="33"/>
        <v>9.5680000000000001E-3</v>
      </c>
      <c r="G126" s="5">
        <f t="shared" ca="1" si="34"/>
        <v>1.0687E-2</v>
      </c>
      <c r="H126" s="5">
        <f t="shared" ca="1" si="35"/>
        <v>1.23E-2</v>
      </c>
      <c r="I126" s="5">
        <f t="shared" ca="1" si="36"/>
        <v>1.2107E-2</v>
      </c>
      <c r="J126" s="5">
        <f t="shared" ca="1" si="37"/>
        <v>1.5093000000000001E-2</v>
      </c>
      <c r="K126" s="5">
        <f t="shared" ca="1" si="38"/>
        <v>1.6691999999999999E-2</v>
      </c>
      <c r="L126" s="5">
        <f t="shared" ca="1" si="39"/>
        <v>1.9601E-2</v>
      </c>
      <c r="M126" s="5">
        <f t="shared" ca="1" si="40"/>
        <v>2.2168E-2</v>
      </c>
      <c r="N126" s="5">
        <f t="shared" ca="1" si="41"/>
        <v>2.6078E-2</v>
      </c>
      <c r="O126" s="5">
        <f t="shared" ca="1" si="42"/>
        <v>2.8368000000000001E-2</v>
      </c>
      <c r="P126" s="8">
        <f t="shared" ca="1" si="43"/>
        <v>1020.2300328947813</v>
      </c>
      <c r="Q126" s="8">
        <f t="shared" ca="1" si="44"/>
        <v>1637.9894509796547</v>
      </c>
      <c r="R126" s="8">
        <f t="shared" ca="1" si="45"/>
        <v>1575.4309654071765</v>
      </c>
      <c r="S126" s="5">
        <f t="shared" ca="1" si="46"/>
        <v>-2.5944452365780649E-2</v>
      </c>
      <c r="T126">
        <f t="shared" ca="1" si="47"/>
        <v>3.9673469718880479E-2</v>
      </c>
      <c r="U126" s="5">
        <f t="shared" ca="1" si="48"/>
        <v>2.0933424537329361E-2</v>
      </c>
    </row>
    <row r="127" spans="2:21" x14ac:dyDescent="0.25">
      <c r="B127">
        <f t="shared" si="31"/>
        <v>124</v>
      </c>
      <c r="C127">
        <f t="shared" si="57"/>
        <v>11</v>
      </c>
      <c r="D127">
        <f>D126+1</f>
        <v>4</v>
      </c>
      <c r="E127" s="5">
        <f t="shared" ca="1" si="32"/>
        <v>8.9130000000000008E-3</v>
      </c>
      <c r="F127" s="5">
        <f t="shared" ca="1" si="33"/>
        <v>9.6670000000000002E-3</v>
      </c>
      <c r="G127" s="5">
        <f t="shared" ca="1" si="34"/>
        <v>1.074E-2</v>
      </c>
      <c r="H127" s="5">
        <f t="shared" ca="1" si="35"/>
        <v>1.2239999999999999E-2</v>
      </c>
      <c r="I127" s="5">
        <f t="shared" ca="1" si="36"/>
        <v>1.2059E-2</v>
      </c>
      <c r="J127" s="5">
        <f t="shared" ca="1" si="37"/>
        <v>1.5017000000000001E-2</v>
      </c>
      <c r="K127" s="5">
        <f t="shared" ca="1" si="38"/>
        <v>1.6598000000000002E-2</v>
      </c>
      <c r="L127" s="5">
        <f t="shared" ca="1" si="39"/>
        <v>1.9526000000000002E-2</v>
      </c>
      <c r="M127" s="5">
        <f t="shared" ca="1" si="40"/>
        <v>2.2249000000000001E-2</v>
      </c>
      <c r="N127" s="5">
        <f t="shared" ca="1" si="41"/>
        <v>2.6065000000000001E-2</v>
      </c>
      <c r="O127" s="5">
        <f t="shared" ca="1" si="42"/>
        <v>2.8466999999999999E-2</v>
      </c>
      <c r="P127" s="8">
        <f t="shared" ca="1" si="43"/>
        <v>1021.5250816095538</v>
      </c>
      <c r="Q127" s="8">
        <f t="shared" ca="1" si="44"/>
        <v>1643.7854162997262</v>
      </c>
      <c r="R127" s="8">
        <f t="shared" ca="1" si="45"/>
        <v>1577.6968630534595</v>
      </c>
      <c r="S127" s="5">
        <f t="shared" ca="1" si="46"/>
        <v>1.5339228939288447E-2</v>
      </c>
      <c r="T127">
        <f t="shared" ca="1" si="47"/>
        <v>4.3297750421277169E-2</v>
      </c>
      <c r="U127" s="5">
        <f t="shared" ca="1" si="48"/>
        <v>1.7396445379571013E-2</v>
      </c>
    </row>
    <row r="128" spans="2:21" x14ac:dyDescent="0.25">
      <c r="B128">
        <f t="shared" si="31"/>
        <v>125</v>
      </c>
      <c r="C128">
        <f t="shared" si="57"/>
        <v>11</v>
      </c>
      <c r="D128">
        <f t="shared" ref="D128:D135" si="58">D127+1</f>
        <v>5</v>
      </c>
      <c r="E128" s="5">
        <f t="shared" ca="1" si="32"/>
        <v>8.8439999999999994E-3</v>
      </c>
      <c r="F128" s="5">
        <f t="shared" ca="1" si="33"/>
        <v>9.6080000000000002E-3</v>
      </c>
      <c r="G128" s="5">
        <f t="shared" ca="1" si="34"/>
        <v>1.0697E-2</v>
      </c>
      <c r="H128" s="5">
        <f t="shared" ca="1" si="35"/>
        <v>1.2231000000000001E-2</v>
      </c>
      <c r="I128" s="5">
        <f t="shared" ca="1" si="36"/>
        <v>1.1964000000000001E-2</v>
      </c>
      <c r="J128" s="5">
        <f t="shared" ca="1" si="37"/>
        <v>1.4925000000000001E-2</v>
      </c>
      <c r="K128" s="5">
        <f t="shared" ca="1" si="38"/>
        <v>1.6625999999999998E-2</v>
      </c>
      <c r="L128" s="5">
        <f t="shared" ca="1" si="39"/>
        <v>1.9532999999999998E-2</v>
      </c>
      <c r="M128" s="5">
        <f t="shared" ca="1" si="40"/>
        <v>2.2154E-2</v>
      </c>
      <c r="N128" s="5">
        <f t="shared" ca="1" si="41"/>
        <v>2.5975000000000002E-2</v>
      </c>
      <c r="O128" s="5">
        <f t="shared" ca="1" si="42"/>
        <v>2.8466000000000002E-2</v>
      </c>
      <c r="P128" s="8">
        <f t="shared" ca="1" si="43"/>
        <v>1019.6851813829666</v>
      </c>
      <c r="Q128" s="8">
        <f t="shared" ca="1" si="44"/>
        <v>1651.2276997559711</v>
      </c>
      <c r="R128" s="8">
        <f t="shared" ca="1" si="45"/>
        <v>1579.6366561931718</v>
      </c>
      <c r="S128" s="5">
        <f t="shared" ca="1" si="46"/>
        <v>-2.1400740401712446E-2</v>
      </c>
      <c r="T128">
        <f t="shared" ca="1" si="47"/>
        <v>5.5703856826647365E-2</v>
      </c>
      <c r="U128" s="5">
        <f t="shared" ca="1" si="48"/>
        <v>1.4854294721727031E-2</v>
      </c>
    </row>
    <row r="129" spans="2:21" x14ac:dyDescent="0.25">
      <c r="B129">
        <f t="shared" si="31"/>
        <v>126</v>
      </c>
      <c r="C129">
        <f t="shared" si="57"/>
        <v>11</v>
      </c>
      <c r="D129">
        <f t="shared" si="58"/>
        <v>6</v>
      </c>
      <c r="E129" s="5">
        <f t="shared" ca="1" si="32"/>
        <v>8.8079999999999999E-3</v>
      </c>
      <c r="F129" s="5">
        <f t="shared" ca="1" si="33"/>
        <v>9.5519999999999997E-3</v>
      </c>
      <c r="G129" s="5">
        <f t="shared" ca="1" si="34"/>
        <v>1.0713E-2</v>
      </c>
      <c r="H129" s="5">
        <f t="shared" ca="1" si="35"/>
        <v>1.2289E-2</v>
      </c>
      <c r="I129" s="5">
        <f t="shared" ca="1" si="36"/>
        <v>1.2014E-2</v>
      </c>
      <c r="J129" s="5">
        <f t="shared" ca="1" si="37"/>
        <v>1.4893999999999999E-2</v>
      </c>
      <c r="K129" s="5">
        <f t="shared" ca="1" si="38"/>
        <v>1.6541E-2</v>
      </c>
      <c r="L129" s="5">
        <f t="shared" ca="1" si="39"/>
        <v>1.9595999999999999E-2</v>
      </c>
      <c r="M129" s="5">
        <f t="shared" ca="1" si="40"/>
        <v>2.2172000000000001E-2</v>
      </c>
      <c r="N129" s="5">
        <f t="shared" ca="1" si="41"/>
        <v>2.6048000000000002E-2</v>
      </c>
      <c r="O129" s="5">
        <f t="shared" ca="1" si="42"/>
        <v>2.8549999999999999E-2</v>
      </c>
      <c r="P129" s="8">
        <f t="shared" ca="1" si="43"/>
        <v>1023.4655944440507</v>
      </c>
      <c r="Q129" s="8">
        <f t="shared" ca="1" si="44"/>
        <v>1656.7707622356229</v>
      </c>
      <c r="R129" s="8">
        <f t="shared" ca="1" si="45"/>
        <v>1581.7207317845871</v>
      </c>
      <c r="S129" s="5">
        <f t="shared" ca="1" si="46"/>
        <v>4.540765742692765E-2</v>
      </c>
      <c r="T129">
        <f t="shared" ca="1" si="47"/>
        <v>4.1035348582743832E-2</v>
      </c>
      <c r="U129" s="5">
        <f t="shared" ca="1" si="48"/>
        <v>1.5947452944381955E-2</v>
      </c>
    </row>
    <row r="130" spans="2:21" x14ac:dyDescent="0.25">
      <c r="B130">
        <f t="shared" si="31"/>
        <v>127</v>
      </c>
      <c r="C130">
        <f t="shared" si="57"/>
        <v>11</v>
      </c>
      <c r="D130">
        <f t="shared" si="58"/>
        <v>7</v>
      </c>
      <c r="E130" s="5">
        <f t="shared" ca="1" si="32"/>
        <v>8.7819999999999999E-3</v>
      </c>
      <c r="F130" s="5">
        <f t="shared" ca="1" si="33"/>
        <v>9.6170000000000005E-3</v>
      </c>
      <c r="G130" s="5">
        <f t="shared" ca="1" si="34"/>
        <v>1.0617E-2</v>
      </c>
      <c r="H130" s="5">
        <f t="shared" ca="1" si="35"/>
        <v>1.2204E-2</v>
      </c>
      <c r="I130" s="5">
        <f t="shared" ca="1" si="36"/>
        <v>1.2003E-2</v>
      </c>
      <c r="J130" s="5">
        <f t="shared" ca="1" si="37"/>
        <v>1.4848999999999999E-2</v>
      </c>
      <c r="K130" s="5">
        <f t="shared" ca="1" si="38"/>
        <v>1.6497999999999999E-2</v>
      </c>
      <c r="L130" s="5">
        <f t="shared" ca="1" si="39"/>
        <v>1.9571999999999999E-2</v>
      </c>
      <c r="M130" s="5">
        <f t="shared" ca="1" si="40"/>
        <v>2.2203000000000001E-2</v>
      </c>
      <c r="N130" s="5">
        <f t="shared" ca="1" si="41"/>
        <v>2.6040000000000001E-2</v>
      </c>
      <c r="O130" s="5">
        <f t="shared" ca="1" si="42"/>
        <v>2.8649999999999998E-2</v>
      </c>
      <c r="P130" s="8">
        <f t="shared" ca="1" si="43"/>
        <v>1021.4247377567389</v>
      </c>
      <c r="Q130" s="8">
        <f t="shared" ca="1" si="44"/>
        <v>1661.1819221382236</v>
      </c>
      <c r="R130" s="8">
        <f t="shared" ca="1" si="45"/>
        <v>1583.8174415127537</v>
      </c>
      <c r="S130" s="5">
        <f t="shared" ca="1" si="46"/>
        <v>-2.3668078416056053E-2</v>
      </c>
      <c r="T130">
        <f t="shared" ca="1" si="47"/>
        <v>3.2422102906216936E-2</v>
      </c>
      <c r="U130" s="5">
        <f t="shared" ca="1" si="48"/>
        <v>1.602354183462984E-2</v>
      </c>
    </row>
    <row r="131" spans="2:21" x14ac:dyDescent="0.25">
      <c r="B131">
        <f t="shared" si="31"/>
        <v>128</v>
      </c>
      <c r="C131">
        <f t="shared" si="57"/>
        <v>11</v>
      </c>
      <c r="D131">
        <f t="shared" si="58"/>
        <v>8</v>
      </c>
      <c r="E131" s="5">
        <f t="shared" ca="1" si="32"/>
        <v>8.8339999999999998E-3</v>
      </c>
      <c r="F131" s="5">
        <f t="shared" ca="1" si="33"/>
        <v>9.6279999999999994E-3</v>
      </c>
      <c r="G131" s="5">
        <f t="shared" ca="1" si="34"/>
        <v>1.0628E-2</v>
      </c>
      <c r="H131" s="5">
        <f t="shared" ca="1" si="35"/>
        <v>1.2196E-2</v>
      </c>
      <c r="I131" s="5">
        <f t="shared" ca="1" si="36"/>
        <v>1.21E-2</v>
      </c>
      <c r="J131" s="5">
        <f t="shared" ca="1" si="37"/>
        <v>1.4800000000000001E-2</v>
      </c>
      <c r="K131" s="5">
        <f t="shared" ca="1" si="38"/>
        <v>1.6567999999999999E-2</v>
      </c>
      <c r="L131" s="5">
        <f t="shared" ca="1" si="39"/>
        <v>1.9594E-2</v>
      </c>
      <c r="M131" s="5">
        <f t="shared" ca="1" si="40"/>
        <v>2.2123E-2</v>
      </c>
      <c r="N131" s="5">
        <f t="shared" ca="1" si="41"/>
        <v>2.6017999999999999E-2</v>
      </c>
      <c r="O131" s="5">
        <f t="shared" ca="1" si="42"/>
        <v>2.8608999999999999E-2</v>
      </c>
      <c r="P131" s="8">
        <f t="shared" ca="1" si="43"/>
        <v>1020.2942540681443</v>
      </c>
      <c r="Q131" s="8">
        <f t="shared" ca="1" si="44"/>
        <v>1666.3452008765448</v>
      </c>
      <c r="R131" s="8">
        <f t="shared" ca="1" si="45"/>
        <v>1586.2073936770894</v>
      </c>
      <c r="S131" s="5">
        <f t="shared" ca="1" si="46"/>
        <v>-1.3200708104556176E-2</v>
      </c>
      <c r="T131">
        <f t="shared" ca="1" si="47"/>
        <v>3.7942620810197988E-2</v>
      </c>
      <c r="U131" s="5">
        <f t="shared" ca="1" si="48"/>
        <v>1.8258827436472922E-2</v>
      </c>
    </row>
    <row r="132" spans="2:21" x14ac:dyDescent="0.25">
      <c r="B132">
        <f t="shared" si="31"/>
        <v>129</v>
      </c>
      <c r="C132">
        <f t="shared" si="57"/>
        <v>11</v>
      </c>
      <c r="D132">
        <f t="shared" si="58"/>
        <v>9</v>
      </c>
      <c r="E132" s="5">
        <f t="shared" ca="1" si="32"/>
        <v>8.7650000000000002E-3</v>
      </c>
      <c r="F132" s="5">
        <f t="shared" ca="1" si="33"/>
        <v>9.6919999999999992E-3</v>
      </c>
      <c r="G132" s="5">
        <f t="shared" ca="1" si="34"/>
        <v>1.0536999999999999E-2</v>
      </c>
      <c r="H132" s="5">
        <f t="shared" ca="1" si="35"/>
        <v>1.2159E-2</v>
      </c>
      <c r="I132" s="5">
        <f t="shared" ca="1" si="36"/>
        <v>1.2026E-2</v>
      </c>
      <c r="J132" s="5">
        <f t="shared" ca="1" si="37"/>
        <v>1.4807000000000001E-2</v>
      </c>
      <c r="K132" s="5">
        <f t="shared" ca="1" si="38"/>
        <v>1.6469999999999999E-2</v>
      </c>
      <c r="L132" s="5">
        <f t="shared" ca="1" si="39"/>
        <v>1.9647999999999999E-2</v>
      </c>
      <c r="M132" s="5">
        <f t="shared" ca="1" si="40"/>
        <v>2.2082999999999998E-2</v>
      </c>
      <c r="N132" s="5">
        <f t="shared" ca="1" si="41"/>
        <v>2.6114999999999999E-2</v>
      </c>
      <c r="O132" s="5">
        <f t="shared" ca="1" si="42"/>
        <v>2.8639999999999999E-2</v>
      </c>
      <c r="P132" s="8">
        <f t="shared" ca="1" si="43"/>
        <v>1024.2978659445737</v>
      </c>
      <c r="Q132" s="8">
        <f t="shared" ca="1" si="44"/>
        <v>1674.8949748101818</v>
      </c>
      <c r="R132" s="8">
        <f t="shared" ca="1" si="45"/>
        <v>1589.1405615748561</v>
      </c>
      <c r="S132" s="5">
        <f t="shared" ca="1" si="46"/>
        <v>4.811738423425941E-2</v>
      </c>
      <c r="T132">
        <f t="shared" ca="1" si="47"/>
        <v>6.3337803676966342E-2</v>
      </c>
      <c r="U132" s="5">
        <f t="shared" ca="1" si="48"/>
        <v>2.2417125205076559E-2</v>
      </c>
    </row>
    <row r="133" spans="2:21" x14ac:dyDescent="0.25">
      <c r="B133">
        <f t="shared" ref="B133:B196" si="59">B132+1</f>
        <v>130</v>
      </c>
      <c r="C133">
        <f t="shared" si="57"/>
        <v>11</v>
      </c>
      <c r="D133">
        <f t="shared" si="58"/>
        <v>10</v>
      </c>
      <c r="E133" s="5">
        <f t="shared" ref="E133:E196" ca="1" si="60">ROUND(E132+(RAND()*2-1+0.01)/10^4,6)</f>
        <v>8.7880000000000007E-3</v>
      </c>
      <c r="F133" s="5">
        <f t="shared" ref="F133:F196" ca="1" si="61">ROUND(F132+(RAND()*2-1+0.01)/10^4,6)</f>
        <v>9.6989999999999993E-3</v>
      </c>
      <c r="G133" s="5">
        <f t="shared" ref="G133:G196" ca="1" si="62">ROUND(G132+(RAND()*2-1+0.01)/10^4,6)</f>
        <v>1.0547000000000001E-2</v>
      </c>
      <c r="H133" s="5">
        <f t="shared" ref="H133:H196" ca="1" si="63">ROUND(H132+(RAND()*2-1+0.01)/10^4,6)</f>
        <v>1.2148000000000001E-2</v>
      </c>
      <c r="I133" s="5">
        <f t="shared" ref="I133:I196" ca="1" si="64">ROUND(I132+(RAND()*2-1+0.01)/10^4,6)</f>
        <v>1.2067E-2</v>
      </c>
      <c r="J133" s="5">
        <f t="shared" ref="J133:J196" ca="1" si="65">ROUND(J132+(RAND()*2-1+0.01)/10^4,6)</f>
        <v>1.4796E-2</v>
      </c>
      <c r="K133" s="5">
        <f t="shared" ref="K133:K196" ca="1" si="66">ROUND(K132+(RAND()*2-1+0.01)/10^4,6)</f>
        <v>1.6490999999999999E-2</v>
      </c>
      <c r="L133" s="5">
        <f t="shared" ref="L133:L196" ca="1" si="67">ROUND(L132+(RAND()*2-1+0.01)/10^4,6)</f>
        <v>1.9595999999999999E-2</v>
      </c>
      <c r="M133" s="5">
        <f t="shared" ref="M133:M196" ca="1" si="68">ROUND(M132+(RAND()*2-1+0.01)/10^4,6)</f>
        <v>2.1996000000000002E-2</v>
      </c>
      <c r="N133" s="5">
        <f t="shared" ref="N133:N196" ca="1" si="69">ROUND(N132+(RAND()*2-1+0.01)/10^4,6)</f>
        <v>2.6119E-2</v>
      </c>
      <c r="O133" s="5">
        <f t="shared" ref="O133:O196" ca="1" si="70">ROUND(O132+(RAND()*2-1+0.01)/10^4,6)</f>
        <v>2.8726999999999999E-2</v>
      </c>
      <c r="P133" s="8">
        <f t="shared" ref="P133:P196" ca="1" si="71">P132*(1+S133)^(1/12)</f>
        <v>1026.3366008223261</v>
      </c>
      <c r="Q133" s="8">
        <f t="shared" ref="Q133:Q196" ca="1" si="72">Q132*(1+T133)^(1/12)</f>
        <v>1683.1701616876455</v>
      </c>
      <c r="R133" s="8">
        <f t="shared" ref="R133:R196" ca="1" si="73">R132*(1+U133)^(1/12)</f>
        <v>1592.649875240545</v>
      </c>
      <c r="S133" s="5">
        <f t="shared" ref="S133:S196" ca="1" si="74">RAND()*10/100-5/100+S132/10</f>
        <v>2.4147683824539218E-2</v>
      </c>
      <c r="T133">
        <f t="shared" ref="T133:T196" ca="1" si="75">M133+RAND()*4/100+0.01</f>
        <v>6.0926576187068905E-2</v>
      </c>
      <c r="U133" s="5">
        <f t="shared" ref="U133:U196" ca="1" si="76">RAND()*1/100-0.5/100+U132</f>
        <v>2.6823948527984538E-2</v>
      </c>
    </row>
    <row r="134" spans="2:21" x14ac:dyDescent="0.25">
      <c r="B134">
        <f t="shared" si="59"/>
        <v>131</v>
      </c>
      <c r="C134">
        <f t="shared" si="57"/>
        <v>11</v>
      </c>
      <c r="D134">
        <f t="shared" si="58"/>
        <v>11</v>
      </c>
      <c r="E134" s="5">
        <f t="shared" ca="1" si="60"/>
        <v>8.829E-3</v>
      </c>
      <c r="F134" s="5">
        <f t="shared" ca="1" si="61"/>
        <v>9.6089999999999995E-3</v>
      </c>
      <c r="G134" s="5">
        <f t="shared" ca="1" si="62"/>
        <v>1.0618000000000001E-2</v>
      </c>
      <c r="H134" s="5">
        <f t="shared" ca="1" si="63"/>
        <v>1.2076E-2</v>
      </c>
      <c r="I134" s="5">
        <f t="shared" ca="1" si="64"/>
        <v>1.2071E-2</v>
      </c>
      <c r="J134" s="5">
        <f t="shared" ca="1" si="65"/>
        <v>1.47E-2</v>
      </c>
      <c r="K134" s="5">
        <f t="shared" ca="1" si="66"/>
        <v>1.6567999999999999E-2</v>
      </c>
      <c r="L134" s="5">
        <f t="shared" ca="1" si="67"/>
        <v>1.9569E-2</v>
      </c>
      <c r="M134" s="5">
        <f t="shared" ca="1" si="68"/>
        <v>2.1989000000000002E-2</v>
      </c>
      <c r="N134" s="5">
        <f t="shared" ca="1" si="69"/>
        <v>2.6207000000000001E-2</v>
      </c>
      <c r="O134" s="5">
        <f t="shared" ca="1" si="70"/>
        <v>2.8760999999999998E-2</v>
      </c>
      <c r="P134" s="8">
        <f t="shared" ca="1" si="71"/>
        <v>1029.9701942777983</v>
      </c>
      <c r="Q134" s="8">
        <f t="shared" ca="1" si="72"/>
        <v>1692.3549058770548</v>
      </c>
      <c r="R134" s="8">
        <f t="shared" ca="1" si="73"/>
        <v>1596.0593861968321</v>
      </c>
      <c r="S134" s="5">
        <f t="shared" ca="1" si="74"/>
        <v>4.3321322334077809E-2</v>
      </c>
      <c r="T134">
        <f t="shared" ca="1" si="75"/>
        <v>6.748321034288228E-2</v>
      </c>
      <c r="U134" s="5">
        <f t="shared" ca="1" si="76"/>
        <v>2.5993987076550377E-2</v>
      </c>
    </row>
    <row r="135" spans="2:21" x14ac:dyDescent="0.25">
      <c r="B135">
        <f t="shared" si="59"/>
        <v>132</v>
      </c>
      <c r="C135">
        <f t="shared" si="57"/>
        <v>11</v>
      </c>
      <c r="D135">
        <f t="shared" si="58"/>
        <v>12</v>
      </c>
      <c r="E135" s="5">
        <f t="shared" ca="1" si="60"/>
        <v>8.8100000000000001E-3</v>
      </c>
      <c r="F135" s="5">
        <f t="shared" ca="1" si="61"/>
        <v>9.5399999999999999E-3</v>
      </c>
      <c r="G135" s="5">
        <f t="shared" ca="1" si="62"/>
        <v>1.0699999999999999E-2</v>
      </c>
      <c r="H135" s="5">
        <f t="shared" ca="1" si="63"/>
        <v>1.1988E-2</v>
      </c>
      <c r="I135" s="5">
        <f t="shared" ca="1" si="64"/>
        <v>1.2062E-2</v>
      </c>
      <c r="J135" s="5">
        <f t="shared" ca="1" si="65"/>
        <v>1.4737999999999999E-2</v>
      </c>
      <c r="K135" s="5">
        <f t="shared" ca="1" si="66"/>
        <v>1.6594000000000001E-2</v>
      </c>
      <c r="L135" s="5">
        <f t="shared" ca="1" si="67"/>
        <v>1.958E-2</v>
      </c>
      <c r="M135" s="5">
        <f t="shared" ca="1" si="68"/>
        <v>2.2058000000000001E-2</v>
      </c>
      <c r="N135" s="5">
        <f t="shared" ca="1" si="69"/>
        <v>2.6121999999999999E-2</v>
      </c>
      <c r="O135" s="5">
        <f t="shared" ca="1" si="70"/>
        <v>2.8698999999999999E-2</v>
      </c>
      <c r="P135" s="8">
        <f t="shared" ca="1" si="71"/>
        <v>1026.5067563182349</v>
      </c>
      <c r="Q135" s="8">
        <f t="shared" ca="1" si="72"/>
        <v>1700.1200525053698</v>
      </c>
      <c r="R135" s="8">
        <f t="shared" ca="1" si="73"/>
        <v>1599.51814015066</v>
      </c>
      <c r="S135" s="5">
        <f t="shared" ca="1" si="74"/>
        <v>-3.9613910207130558E-2</v>
      </c>
      <c r="T135">
        <f t="shared" ca="1" si="75"/>
        <v>5.6471391404032976E-2</v>
      </c>
      <c r="U135" s="5">
        <f t="shared" ca="1" si="76"/>
        <v>2.6316896449205384E-2</v>
      </c>
    </row>
    <row r="136" spans="2:21" x14ac:dyDescent="0.25">
      <c r="B136">
        <f t="shared" si="59"/>
        <v>133</v>
      </c>
      <c r="C136">
        <f>C135+1</f>
        <v>12</v>
      </c>
      <c r="D136">
        <v>1</v>
      </c>
      <c r="E136" s="5">
        <f t="shared" ca="1" si="60"/>
        <v>8.8629999999999994E-3</v>
      </c>
      <c r="F136" s="5">
        <f t="shared" ca="1" si="61"/>
        <v>9.6279999999999994E-3</v>
      </c>
      <c r="G136" s="5">
        <f t="shared" ca="1" si="62"/>
        <v>1.0612E-2</v>
      </c>
      <c r="H136" s="5">
        <f t="shared" ca="1" si="63"/>
        <v>1.2022E-2</v>
      </c>
      <c r="I136" s="5">
        <f t="shared" ca="1" si="64"/>
        <v>1.2134000000000001E-2</v>
      </c>
      <c r="J136" s="5">
        <f t="shared" ca="1" si="65"/>
        <v>1.4723999999999999E-2</v>
      </c>
      <c r="K136" s="5">
        <f t="shared" ca="1" si="66"/>
        <v>1.6549000000000001E-2</v>
      </c>
      <c r="L136" s="5">
        <f t="shared" ca="1" si="67"/>
        <v>1.9594E-2</v>
      </c>
      <c r="M136" s="5">
        <f t="shared" ca="1" si="68"/>
        <v>2.2141999999999998E-2</v>
      </c>
      <c r="N136" s="5">
        <f t="shared" ca="1" si="69"/>
        <v>2.6210000000000001E-2</v>
      </c>
      <c r="O136" s="5">
        <f t="shared" ca="1" si="70"/>
        <v>2.8635000000000001E-2</v>
      </c>
      <c r="P136" s="8">
        <f t="shared" ca="1" si="71"/>
        <v>1022.8655981468756</v>
      </c>
      <c r="Q136" s="8">
        <f t="shared" ca="1" si="72"/>
        <v>1709.3022613408161</v>
      </c>
      <c r="R136" s="8">
        <f t="shared" ca="1" si="73"/>
        <v>1603.4241153327723</v>
      </c>
      <c r="S136" s="5">
        <f t="shared" ca="1" si="74"/>
        <v>-4.1744939260120253E-2</v>
      </c>
      <c r="T136">
        <f t="shared" ca="1" si="75"/>
        <v>6.6771313821296294E-2</v>
      </c>
      <c r="U136" s="5">
        <f t="shared" ca="1" si="76"/>
        <v>2.970043265812328E-2</v>
      </c>
    </row>
    <row r="137" spans="2:21" x14ac:dyDescent="0.25">
      <c r="B137">
        <f t="shared" si="59"/>
        <v>134</v>
      </c>
      <c r="C137">
        <f>C136</f>
        <v>12</v>
      </c>
      <c r="D137">
        <v>2</v>
      </c>
      <c r="E137" s="5">
        <f t="shared" ca="1" si="60"/>
        <v>8.8090000000000009E-3</v>
      </c>
      <c r="F137" s="5">
        <f t="shared" ca="1" si="61"/>
        <v>9.5919999999999998E-3</v>
      </c>
      <c r="G137" s="5">
        <f t="shared" ca="1" si="62"/>
        <v>1.0647E-2</v>
      </c>
      <c r="H137" s="5">
        <f t="shared" ca="1" si="63"/>
        <v>1.197E-2</v>
      </c>
      <c r="I137" s="5">
        <f t="shared" ca="1" si="64"/>
        <v>1.2189E-2</v>
      </c>
      <c r="J137" s="5">
        <f t="shared" ca="1" si="65"/>
        <v>1.4824E-2</v>
      </c>
      <c r="K137" s="5">
        <f t="shared" ca="1" si="66"/>
        <v>1.6580999999999999E-2</v>
      </c>
      <c r="L137" s="5">
        <f t="shared" ca="1" si="67"/>
        <v>1.9598000000000001E-2</v>
      </c>
      <c r="M137" s="5">
        <f t="shared" ca="1" si="68"/>
        <v>2.2155000000000001E-2</v>
      </c>
      <c r="N137" s="5">
        <f t="shared" ca="1" si="69"/>
        <v>2.6237E-2</v>
      </c>
      <c r="O137" s="5">
        <f t="shared" ca="1" si="70"/>
        <v>2.8733999999999999E-2</v>
      </c>
      <c r="P137" s="8">
        <f t="shared" ca="1" si="71"/>
        <v>1026.3065322082496</v>
      </c>
      <c r="Q137" s="8">
        <f t="shared" ca="1" si="72"/>
        <v>1718.4411058763126</v>
      </c>
      <c r="R137" s="8">
        <f t="shared" ca="1" si="73"/>
        <v>1607.2148285474489</v>
      </c>
      <c r="S137" s="5">
        <f t="shared" ca="1" si="74"/>
        <v>4.1123500310831E-2</v>
      </c>
      <c r="T137">
        <f t="shared" ca="1" si="75"/>
        <v>6.6079091300251788E-2</v>
      </c>
      <c r="U137" s="5">
        <f t="shared" ca="1" si="76"/>
        <v>2.8741441814487539E-2</v>
      </c>
    </row>
    <row r="138" spans="2:21" x14ac:dyDescent="0.25">
      <c r="B138">
        <f t="shared" si="59"/>
        <v>135</v>
      </c>
      <c r="C138">
        <f t="shared" ref="C138:C147" si="77">C137</f>
        <v>12</v>
      </c>
      <c r="D138">
        <v>3</v>
      </c>
      <c r="E138" s="5">
        <f t="shared" ca="1" si="60"/>
        <v>8.7290000000000006E-3</v>
      </c>
      <c r="F138" s="5">
        <f t="shared" ca="1" si="61"/>
        <v>9.6229999999999996E-3</v>
      </c>
      <c r="G138" s="5">
        <f t="shared" ca="1" si="62"/>
        <v>1.0682000000000001E-2</v>
      </c>
      <c r="H138" s="5">
        <f t="shared" ca="1" si="63"/>
        <v>1.1901E-2</v>
      </c>
      <c r="I138" s="5">
        <f t="shared" ca="1" si="64"/>
        <v>1.2144E-2</v>
      </c>
      <c r="J138" s="5">
        <f t="shared" ca="1" si="65"/>
        <v>1.4789E-2</v>
      </c>
      <c r="K138" s="5">
        <f t="shared" ca="1" si="66"/>
        <v>1.6624E-2</v>
      </c>
      <c r="L138" s="5">
        <f t="shared" ca="1" si="67"/>
        <v>1.9698E-2</v>
      </c>
      <c r="M138" s="5">
        <f t="shared" ca="1" si="68"/>
        <v>2.2218999999999999E-2</v>
      </c>
      <c r="N138" s="5">
        <f t="shared" ca="1" si="69"/>
        <v>2.6287999999999999E-2</v>
      </c>
      <c r="O138" s="5">
        <f t="shared" ca="1" si="70"/>
        <v>2.8809999999999999E-2</v>
      </c>
      <c r="P138" s="8">
        <f t="shared" ca="1" si="71"/>
        <v>1023.0726228825423</v>
      </c>
      <c r="Q138" s="8">
        <f t="shared" ca="1" si="72"/>
        <v>1726.7491331525423</v>
      </c>
      <c r="R138" s="8">
        <f t="shared" ca="1" si="73"/>
        <v>1610.5725074139725</v>
      </c>
      <c r="S138" s="5">
        <f t="shared" ca="1" si="74"/>
        <v>-3.7163730413667918E-2</v>
      </c>
      <c r="T138">
        <f t="shared" ca="1" si="75"/>
        <v>5.9583356495241477E-2</v>
      </c>
      <c r="U138" s="5">
        <f t="shared" ca="1" si="76"/>
        <v>2.535961592021654E-2</v>
      </c>
    </row>
    <row r="139" spans="2:21" x14ac:dyDescent="0.25">
      <c r="B139">
        <f t="shared" si="59"/>
        <v>136</v>
      </c>
      <c r="C139">
        <f t="shared" si="77"/>
        <v>12</v>
      </c>
      <c r="D139">
        <f>D138+1</f>
        <v>4</v>
      </c>
      <c r="E139" s="5">
        <f t="shared" ca="1" si="60"/>
        <v>8.7760000000000008E-3</v>
      </c>
      <c r="F139" s="5">
        <f t="shared" ca="1" si="61"/>
        <v>9.5960000000000004E-3</v>
      </c>
      <c r="G139" s="5">
        <f t="shared" ca="1" si="62"/>
        <v>1.0598E-2</v>
      </c>
      <c r="H139" s="5">
        <f t="shared" ca="1" si="63"/>
        <v>1.1948E-2</v>
      </c>
      <c r="I139" s="5">
        <f t="shared" ca="1" si="64"/>
        <v>1.2127000000000001E-2</v>
      </c>
      <c r="J139" s="5">
        <f t="shared" ca="1" si="65"/>
        <v>1.4793000000000001E-2</v>
      </c>
      <c r="K139" s="5">
        <f t="shared" ca="1" si="66"/>
        <v>1.6712999999999999E-2</v>
      </c>
      <c r="L139" s="5">
        <f t="shared" ca="1" si="67"/>
        <v>1.9758000000000001E-2</v>
      </c>
      <c r="M139" s="5">
        <f t="shared" ca="1" si="68"/>
        <v>2.2172999999999998E-2</v>
      </c>
      <c r="N139" s="5">
        <f t="shared" ca="1" si="69"/>
        <v>2.6259999999999999E-2</v>
      </c>
      <c r="O139" s="5">
        <f t="shared" ca="1" si="70"/>
        <v>2.8885000000000001E-2</v>
      </c>
      <c r="P139" s="8">
        <f t="shared" ca="1" si="71"/>
        <v>1019.4631851822877</v>
      </c>
      <c r="Q139" s="8">
        <f t="shared" ca="1" si="72"/>
        <v>1732.7669108205014</v>
      </c>
      <c r="R139" s="8">
        <f t="shared" ca="1" si="73"/>
        <v>1613.895920979759</v>
      </c>
      <c r="S139" s="5">
        <f t="shared" ca="1" si="74"/>
        <v>-4.1524519626176197E-2</v>
      </c>
      <c r="T139">
        <f t="shared" ca="1" si="75"/>
        <v>4.2631381150303162E-2</v>
      </c>
      <c r="U139" s="5">
        <f t="shared" ca="1" si="76"/>
        <v>2.5044950786402943E-2</v>
      </c>
    </row>
    <row r="140" spans="2:21" x14ac:dyDescent="0.25">
      <c r="B140">
        <f t="shared" si="59"/>
        <v>137</v>
      </c>
      <c r="C140">
        <f t="shared" si="77"/>
        <v>12</v>
      </c>
      <c r="D140">
        <f t="shared" ref="D140:D147" si="78">D139+1</f>
        <v>5</v>
      </c>
      <c r="E140" s="5">
        <f t="shared" ca="1" si="60"/>
        <v>8.7060000000000002E-3</v>
      </c>
      <c r="F140" s="5">
        <f t="shared" ca="1" si="61"/>
        <v>9.5180000000000004E-3</v>
      </c>
      <c r="G140" s="5">
        <f t="shared" ca="1" si="62"/>
        <v>1.0506E-2</v>
      </c>
      <c r="H140" s="5">
        <f t="shared" ca="1" si="63"/>
        <v>1.1849E-2</v>
      </c>
      <c r="I140" s="5">
        <f t="shared" ca="1" si="64"/>
        <v>1.2189E-2</v>
      </c>
      <c r="J140" s="5">
        <f t="shared" ca="1" si="65"/>
        <v>1.4884E-2</v>
      </c>
      <c r="K140" s="5">
        <f t="shared" ca="1" si="66"/>
        <v>1.6735E-2</v>
      </c>
      <c r="L140" s="5">
        <f t="shared" ca="1" si="67"/>
        <v>1.9726E-2</v>
      </c>
      <c r="M140" s="5">
        <f t="shared" ca="1" si="68"/>
        <v>2.2079999999999999E-2</v>
      </c>
      <c r="N140" s="5">
        <f t="shared" ca="1" si="69"/>
        <v>2.6336999999999999E-2</v>
      </c>
      <c r="O140" s="5">
        <f t="shared" ca="1" si="70"/>
        <v>2.8809999999999999E-2</v>
      </c>
      <c r="P140" s="8">
        <f t="shared" ca="1" si="71"/>
        <v>1015.1234275481443</v>
      </c>
      <c r="Q140" s="8">
        <f t="shared" ca="1" si="72"/>
        <v>1741.0943487540062</v>
      </c>
      <c r="R140" s="8">
        <f t="shared" ca="1" si="73"/>
        <v>1617.8196811988573</v>
      </c>
      <c r="S140" s="5">
        <f t="shared" ca="1" si="74"/>
        <v>-4.9903664263164539E-2</v>
      </c>
      <c r="T140">
        <f t="shared" ca="1" si="75"/>
        <v>5.9219380772235188E-2</v>
      </c>
      <c r="U140" s="5">
        <f t="shared" ca="1" si="76"/>
        <v>2.9568118344764426E-2</v>
      </c>
    </row>
    <row r="141" spans="2:21" x14ac:dyDescent="0.25">
      <c r="B141">
        <f t="shared" si="59"/>
        <v>138</v>
      </c>
      <c r="C141">
        <f t="shared" si="77"/>
        <v>12</v>
      </c>
      <c r="D141">
        <f t="shared" si="78"/>
        <v>6</v>
      </c>
      <c r="E141" s="5">
        <f t="shared" ca="1" si="60"/>
        <v>8.6169999999999997E-3</v>
      </c>
      <c r="F141" s="5">
        <f t="shared" ca="1" si="61"/>
        <v>9.5139999999999999E-3</v>
      </c>
      <c r="G141" s="5">
        <f t="shared" ca="1" si="62"/>
        <v>1.0499E-2</v>
      </c>
      <c r="H141" s="5">
        <f t="shared" ca="1" si="63"/>
        <v>1.1825E-2</v>
      </c>
      <c r="I141" s="5">
        <f t="shared" ca="1" si="64"/>
        <v>1.2191E-2</v>
      </c>
      <c r="J141" s="5">
        <f t="shared" ca="1" si="65"/>
        <v>1.4929E-2</v>
      </c>
      <c r="K141" s="5">
        <f t="shared" ca="1" si="66"/>
        <v>1.6688999999999999E-2</v>
      </c>
      <c r="L141" s="5">
        <f t="shared" ca="1" si="67"/>
        <v>1.9661000000000001E-2</v>
      </c>
      <c r="M141" s="5">
        <f t="shared" ca="1" si="68"/>
        <v>2.2079999999999999E-2</v>
      </c>
      <c r="N141" s="5">
        <f t="shared" ca="1" si="69"/>
        <v>2.6381999999999999E-2</v>
      </c>
      <c r="O141" s="5">
        <f t="shared" ca="1" si="70"/>
        <v>2.8864999999999998E-2</v>
      </c>
      <c r="P141" s="8">
        <f t="shared" ca="1" si="71"/>
        <v>1013.2972181191343</v>
      </c>
      <c r="Q141" s="8">
        <f t="shared" ca="1" si="72"/>
        <v>1748.5602780324559</v>
      </c>
      <c r="R141" s="8">
        <f t="shared" ca="1" si="73"/>
        <v>1622.3892130941288</v>
      </c>
      <c r="S141" s="5">
        <f t="shared" ca="1" si="74"/>
        <v>-2.1375700882682164E-2</v>
      </c>
      <c r="T141">
        <f t="shared" ca="1" si="75"/>
        <v>5.2687895478504186E-2</v>
      </c>
      <c r="U141" s="5">
        <f t="shared" ca="1" si="76"/>
        <v>3.4425525363095663E-2</v>
      </c>
    </row>
    <row r="142" spans="2:21" x14ac:dyDescent="0.25">
      <c r="B142">
        <f t="shared" si="59"/>
        <v>139</v>
      </c>
      <c r="C142">
        <f t="shared" si="77"/>
        <v>12</v>
      </c>
      <c r="D142">
        <f t="shared" si="78"/>
        <v>7</v>
      </c>
      <c r="E142" s="5">
        <f t="shared" ca="1" si="60"/>
        <v>8.5220000000000001E-3</v>
      </c>
      <c r="F142" s="5">
        <f t="shared" ca="1" si="61"/>
        <v>9.4380000000000002E-3</v>
      </c>
      <c r="G142" s="5">
        <f t="shared" ca="1" si="62"/>
        <v>1.0573000000000001E-2</v>
      </c>
      <c r="H142" s="5">
        <f t="shared" ca="1" si="63"/>
        <v>1.1797999999999999E-2</v>
      </c>
      <c r="I142" s="5">
        <f t="shared" ca="1" si="64"/>
        <v>1.2104999999999999E-2</v>
      </c>
      <c r="J142" s="5">
        <f t="shared" ca="1" si="65"/>
        <v>1.4844E-2</v>
      </c>
      <c r="K142" s="5">
        <f t="shared" ca="1" si="66"/>
        <v>1.6781999999999998E-2</v>
      </c>
      <c r="L142" s="5">
        <f t="shared" ca="1" si="67"/>
        <v>1.9578000000000002E-2</v>
      </c>
      <c r="M142" s="5">
        <f t="shared" ca="1" si="68"/>
        <v>2.2001E-2</v>
      </c>
      <c r="N142" s="5">
        <f t="shared" ca="1" si="69"/>
        <v>2.6432000000000001E-2</v>
      </c>
      <c r="O142" s="5">
        <f t="shared" ca="1" si="70"/>
        <v>2.8951000000000001E-2</v>
      </c>
      <c r="P142" s="8">
        <f t="shared" ca="1" si="71"/>
        <v>1010.0598512661152</v>
      </c>
      <c r="Q142" s="8">
        <f t="shared" ca="1" si="72"/>
        <v>1754.1502200624466</v>
      </c>
      <c r="R142" s="8">
        <f t="shared" ca="1" si="73"/>
        <v>1627.3540002220791</v>
      </c>
      <c r="S142" s="5">
        <f t="shared" ca="1" si="74"/>
        <v>-3.7672047925484092E-2</v>
      </c>
      <c r="T142">
        <f t="shared" ca="1" si="75"/>
        <v>3.9044355657229225E-2</v>
      </c>
      <c r="U142" s="5">
        <f t="shared" ca="1" si="76"/>
        <v>3.7346457039656722E-2</v>
      </c>
    </row>
    <row r="143" spans="2:21" x14ac:dyDescent="0.25">
      <c r="B143">
        <f t="shared" si="59"/>
        <v>140</v>
      </c>
      <c r="C143">
        <f t="shared" si="77"/>
        <v>12</v>
      </c>
      <c r="D143">
        <f t="shared" si="78"/>
        <v>8</v>
      </c>
      <c r="E143" s="5">
        <f t="shared" ca="1" si="60"/>
        <v>8.5170000000000003E-3</v>
      </c>
      <c r="F143" s="5">
        <f t="shared" ca="1" si="61"/>
        <v>9.5300000000000003E-3</v>
      </c>
      <c r="G143" s="5">
        <f t="shared" ca="1" si="62"/>
        <v>1.0521000000000001E-2</v>
      </c>
      <c r="H143" s="5">
        <f t="shared" ca="1" si="63"/>
        <v>1.189E-2</v>
      </c>
      <c r="I143" s="5">
        <f t="shared" ca="1" si="64"/>
        <v>1.2023000000000001E-2</v>
      </c>
      <c r="J143" s="5">
        <f t="shared" ca="1" si="65"/>
        <v>1.4772E-2</v>
      </c>
      <c r="K143" s="5">
        <f t="shared" ca="1" si="66"/>
        <v>1.6827999999999999E-2</v>
      </c>
      <c r="L143" s="5">
        <f t="shared" ca="1" si="67"/>
        <v>1.9619999999999999E-2</v>
      </c>
      <c r="M143" s="5">
        <f t="shared" ca="1" si="68"/>
        <v>2.2095E-2</v>
      </c>
      <c r="N143" s="5">
        <f t="shared" ca="1" si="69"/>
        <v>2.6443999999999999E-2</v>
      </c>
      <c r="O143" s="5">
        <f t="shared" ca="1" si="70"/>
        <v>2.8927999999999999E-2</v>
      </c>
      <c r="P143" s="8">
        <f t="shared" ca="1" si="71"/>
        <v>1006.111233446555</v>
      </c>
      <c r="Q143" s="8">
        <f t="shared" ca="1" si="72"/>
        <v>1762.5593914931783</v>
      </c>
      <c r="R143" s="8">
        <f t="shared" ca="1" si="73"/>
        <v>1632.5784767413052</v>
      </c>
      <c r="S143" s="5">
        <f t="shared" ca="1" si="74"/>
        <v>-4.5915871320036959E-2</v>
      </c>
      <c r="T143">
        <f t="shared" ca="1" si="75"/>
        <v>5.9067723003755394E-2</v>
      </c>
      <c r="U143" s="5">
        <f t="shared" ca="1" si="76"/>
        <v>3.9212519370605541E-2</v>
      </c>
    </row>
    <row r="144" spans="2:21" x14ac:dyDescent="0.25">
      <c r="B144">
        <f t="shared" si="59"/>
        <v>141</v>
      </c>
      <c r="C144">
        <f t="shared" si="77"/>
        <v>12</v>
      </c>
      <c r="D144">
        <f t="shared" si="78"/>
        <v>9</v>
      </c>
      <c r="E144" s="5">
        <f t="shared" ca="1" si="60"/>
        <v>8.5819999999999994E-3</v>
      </c>
      <c r="F144" s="5">
        <f t="shared" ca="1" si="61"/>
        <v>9.6109999999999998E-3</v>
      </c>
      <c r="G144" s="5">
        <f t="shared" ca="1" si="62"/>
        <v>1.0586E-2</v>
      </c>
      <c r="H144" s="5">
        <f t="shared" ca="1" si="63"/>
        <v>1.1932999999999999E-2</v>
      </c>
      <c r="I144" s="5">
        <f t="shared" ca="1" si="64"/>
        <v>1.21E-2</v>
      </c>
      <c r="J144" s="5">
        <f t="shared" ca="1" si="65"/>
        <v>1.4735E-2</v>
      </c>
      <c r="K144" s="5">
        <f t="shared" ca="1" si="66"/>
        <v>1.6913000000000001E-2</v>
      </c>
      <c r="L144" s="5">
        <f t="shared" ca="1" si="67"/>
        <v>1.9588000000000001E-2</v>
      </c>
      <c r="M144" s="5">
        <f t="shared" ca="1" si="68"/>
        <v>2.2020000000000001E-2</v>
      </c>
      <c r="N144" s="5">
        <f t="shared" ca="1" si="69"/>
        <v>2.6387000000000001E-2</v>
      </c>
      <c r="O144" s="5">
        <f t="shared" ca="1" si="70"/>
        <v>2.8943E-2</v>
      </c>
      <c r="P144" s="8">
        <f t="shared" ca="1" si="71"/>
        <v>1002.5949940768789</v>
      </c>
      <c r="Q144" s="8">
        <f t="shared" ca="1" si="72"/>
        <v>1772.3170971517911</v>
      </c>
      <c r="R144" s="8">
        <f t="shared" ca="1" si="73"/>
        <v>1638.30074280182</v>
      </c>
      <c r="S144" s="5">
        <f t="shared" ca="1" si="74"/>
        <v>-4.1141756842154834E-2</v>
      </c>
      <c r="T144">
        <f t="shared" ca="1" si="75"/>
        <v>6.8493796123302614E-2</v>
      </c>
      <c r="U144" s="5">
        <f t="shared" ca="1" si="76"/>
        <v>4.2880959398017351E-2</v>
      </c>
    </row>
    <row r="145" spans="2:21" x14ac:dyDescent="0.25">
      <c r="B145">
        <f t="shared" si="59"/>
        <v>142</v>
      </c>
      <c r="C145">
        <f t="shared" si="77"/>
        <v>12</v>
      </c>
      <c r="D145">
        <f t="shared" si="78"/>
        <v>10</v>
      </c>
      <c r="E145" s="5">
        <f t="shared" ca="1" si="60"/>
        <v>8.6040000000000005E-3</v>
      </c>
      <c r="F145" s="5">
        <f t="shared" ca="1" si="61"/>
        <v>9.6329999999999992E-3</v>
      </c>
      <c r="G145" s="5">
        <f t="shared" ca="1" si="62"/>
        <v>1.0626999999999999E-2</v>
      </c>
      <c r="H145" s="5">
        <f t="shared" ca="1" si="63"/>
        <v>1.1854E-2</v>
      </c>
      <c r="I145" s="5">
        <f t="shared" ca="1" si="64"/>
        <v>1.2085E-2</v>
      </c>
      <c r="J145" s="5">
        <f t="shared" ca="1" si="65"/>
        <v>1.4662E-2</v>
      </c>
      <c r="K145" s="5">
        <f t="shared" ca="1" si="66"/>
        <v>1.7007000000000001E-2</v>
      </c>
      <c r="L145" s="5">
        <f t="shared" ca="1" si="67"/>
        <v>1.9577000000000001E-2</v>
      </c>
      <c r="M145" s="5">
        <f t="shared" ca="1" si="68"/>
        <v>2.2009000000000001E-2</v>
      </c>
      <c r="N145" s="5">
        <f t="shared" ca="1" si="69"/>
        <v>2.6307000000000001E-2</v>
      </c>
      <c r="O145" s="5">
        <f t="shared" ca="1" si="70"/>
        <v>2.9014000000000002E-2</v>
      </c>
      <c r="P145" s="8">
        <f t="shared" ca="1" si="71"/>
        <v>1003.0845524334144</v>
      </c>
      <c r="Q145" s="8">
        <f t="shared" ca="1" si="72"/>
        <v>1781.4471829934914</v>
      </c>
      <c r="R145" s="8">
        <f t="shared" ca="1" si="73"/>
        <v>1644.6840998662472</v>
      </c>
      <c r="S145" s="5">
        <f t="shared" ca="1" si="74"/>
        <v>5.875256835259521E-3</v>
      </c>
      <c r="T145">
        <f t="shared" ca="1" si="75"/>
        <v>6.3599891881725254E-2</v>
      </c>
      <c r="U145" s="5">
        <f t="shared" ca="1" si="76"/>
        <v>4.7771034756231921E-2</v>
      </c>
    </row>
    <row r="146" spans="2:21" x14ac:dyDescent="0.25">
      <c r="B146">
        <f t="shared" si="59"/>
        <v>143</v>
      </c>
      <c r="C146">
        <f t="shared" si="77"/>
        <v>12</v>
      </c>
      <c r="D146">
        <f t="shared" si="78"/>
        <v>11</v>
      </c>
      <c r="E146" s="5">
        <f t="shared" ca="1" si="60"/>
        <v>8.6040000000000005E-3</v>
      </c>
      <c r="F146" s="5">
        <f t="shared" ca="1" si="61"/>
        <v>9.5720000000000006E-3</v>
      </c>
      <c r="G146" s="5">
        <f t="shared" ca="1" si="62"/>
        <v>1.0591E-2</v>
      </c>
      <c r="H146" s="5">
        <f t="shared" ca="1" si="63"/>
        <v>1.1879000000000001E-2</v>
      </c>
      <c r="I146" s="5">
        <f t="shared" ca="1" si="64"/>
        <v>1.2090999999999999E-2</v>
      </c>
      <c r="J146" s="5">
        <f t="shared" ca="1" si="65"/>
        <v>1.4648E-2</v>
      </c>
      <c r="K146" s="5">
        <f t="shared" ca="1" si="66"/>
        <v>1.6972000000000001E-2</v>
      </c>
      <c r="L146" s="5">
        <f t="shared" ca="1" si="67"/>
        <v>1.9524E-2</v>
      </c>
      <c r="M146" s="5">
        <f t="shared" ca="1" si="68"/>
        <v>2.2013999999999999E-2</v>
      </c>
      <c r="N146" s="5">
        <f t="shared" ca="1" si="69"/>
        <v>2.6324E-2</v>
      </c>
      <c r="O146" s="5">
        <f t="shared" ca="1" si="70"/>
        <v>2.9090000000000001E-2</v>
      </c>
      <c r="P146" s="8">
        <f t="shared" ca="1" si="71"/>
        <v>1000.0483248517002</v>
      </c>
      <c r="Q146" s="8">
        <f t="shared" ca="1" si="72"/>
        <v>1787.6080286865372</v>
      </c>
      <c r="R146" s="8">
        <f t="shared" ca="1" si="73"/>
        <v>1650.6100457430055</v>
      </c>
      <c r="S146" s="5">
        <f t="shared" ca="1" si="74"/>
        <v>-3.5724054996930744E-2</v>
      </c>
      <c r="T146">
        <f t="shared" ca="1" si="75"/>
        <v>4.2298588008456178E-2</v>
      </c>
      <c r="U146" s="5">
        <f t="shared" ca="1" si="76"/>
        <v>4.4104291601176321E-2</v>
      </c>
    </row>
    <row r="147" spans="2:21" x14ac:dyDescent="0.25">
      <c r="B147">
        <f t="shared" si="59"/>
        <v>144</v>
      </c>
      <c r="C147">
        <f t="shared" si="77"/>
        <v>12</v>
      </c>
      <c r="D147">
        <f t="shared" si="78"/>
        <v>12</v>
      </c>
      <c r="E147" s="5">
        <f t="shared" ca="1" si="60"/>
        <v>8.5240000000000003E-3</v>
      </c>
      <c r="F147" s="5">
        <f t="shared" ca="1" si="61"/>
        <v>9.6340000000000002E-3</v>
      </c>
      <c r="G147" s="5">
        <f t="shared" ca="1" si="62"/>
        <v>1.0684000000000001E-2</v>
      </c>
      <c r="H147" s="5">
        <f t="shared" ca="1" si="63"/>
        <v>1.188E-2</v>
      </c>
      <c r="I147" s="5">
        <f t="shared" ca="1" si="64"/>
        <v>1.2115000000000001E-2</v>
      </c>
      <c r="J147" s="5">
        <f t="shared" ca="1" si="65"/>
        <v>1.4567E-2</v>
      </c>
      <c r="K147" s="5">
        <f t="shared" ca="1" si="66"/>
        <v>1.6969999999999999E-2</v>
      </c>
      <c r="L147" s="5">
        <f t="shared" ca="1" si="67"/>
        <v>1.9432999999999999E-2</v>
      </c>
      <c r="M147" s="5">
        <f t="shared" ca="1" si="68"/>
        <v>2.2083999999999999E-2</v>
      </c>
      <c r="N147" s="5">
        <f t="shared" ca="1" si="69"/>
        <v>2.6242999999999999E-2</v>
      </c>
      <c r="O147" s="5">
        <f t="shared" ca="1" si="70"/>
        <v>2.9097000000000001E-2</v>
      </c>
      <c r="P147" s="8">
        <f t="shared" ca="1" si="71"/>
        <v>1002.1482397052741</v>
      </c>
      <c r="Q147" s="8">
        <f t="shared" ca="1" si="72"/>
        <v>1795.2975208856553</v>
      </c>
      <c r="R147" s="8">
        <f t="shared" ca="1" si="73"/>
        <v>1656.1472102642563</v>
      </c>
      <c r="S147" s="5">
        <f t="shared" ca="1" si="74"/>
        <v>2.5490815368862638E-2</v>
      </c>
      <c r="T147">
        <f t="shared" ca="1" si="75"/>
        <v>5.2857549488655647E-2</v>
      </c>
      <c r="U147" s="5">
        <f t="shared" ca="1" si="76"/>
        <v>4.1006500306883235E-2</v>
      </c>
    </row>
    <row r="148" spans="2:21" x14ac:dyDescent="0.25">
      <c r="B148">
        <f t="shared" si="59"/>
        <v>145</v>
      </c>
      <c r="C148">
        <f>C147+1</f>
        <v>13</v>
      </c>
      <c r="D148">
        <v>1</v>
      </c>
      <c r="E148" s="5">
        <f t="shared" ca="1" si="60"/>
        <v>8.4320000000000003E-3</v>
      </c>
      <c r="F148" s="5">
        <f t="shared" ca="1" si="61"/>
        <v>9.6509999999999999E-3</v>
      </c>
      <c r="G148" s="5">
        <f t="shared" ca="1" si="62"/>
        <v>1.0756E-2</v>
      </c>
      <c r="H148" s="5">
        <f t="shared" ca="1" si="63"/>
        <v>1.1934999999999999E-2</v>
      </c>
      <c r="I148" s="5">
        <f t="shared" ca="1" si="64"/>
        <v>1.2171E-2</v>
      </c>
      <c r="J148" s="5">
        <f t="shared" ca="1" si="65"/>
        <v>1.4484E-2</v>
      </c>
      <c r="K148" s="5">
        <f t="shared" ca="1" si="66"/>
        <v>1.6885000000000001E-2</v>
      </c>
      <c r="L148" s="5">
        <f t="shared" ca="1" si="67"/>
        <v>1.9351E-2</v>
      </c>
      <c r="M148" s="5">
        <f t="shared" ca="1" si="68"/>
        <v>2.206E-2</v>
      </c>
      <c r="N148" s="5">
        <f t="shared" ca="1" si="69"/>
        <v>2.6204999999999999E-2</v>
      </c>
      <c r="O148" s="5">
        <f t="shared" ca="1" si="70"/>
        <v>2.9198000000000002E-2</v>
      </c>
      <c r="P148" s="8">
        <f t="shared" ca="1" si="71"/>
        <v>1005.6175416795843</v>
      </c>
      <c r="Q148" s="8">
        <f t="shared" ca="1" si="72"/>
        <v>1804.7675557741607</v>
      </c>
      <c r="R148" s="8">
        <f t="shared" ca="1" si="73"/>
        <v>1662.0752618676318</v>
      </c>
      <c r="S148" s="5">
        <f t="shared" ca="1" si="74"/>
        <v>4.2342557356729843E-2</v>
      </c>
      <c r="T148">
        <f t="shared" ca="1" si="75"/>
        <v>6.5168039524703389E-2</v>
      </c>
      <c r="U148" s="5">
        <f t="shared" ca="1" si="76"/>
        <v>4.380885820875656E-2</v>
      </c>
    </row>
    <row r="149" spans="2:21" x14ac:dyDescent="0.25">
      <c r="B149">
        <f t="shared" si="59"/>
        <v>146</v>
      </c>
      <c r="C149">
        <f>C148</f>
        <v>13</v>
      </c>
      <c r="D149">
        <v>2</v>
      </c>
      <c r="E149" s="5">
        <f t="shared" ca="1" si="60"/>
        <v>8.4659999999999996E-3</v>
      </c>
      <c r="F149" s="5">
        <f t="shared" ca="1" si="61"/>
        <v>9.6019999999999994E-3</v>
      </c>
      <c r="G149" s="5">
        <f t="shared" ca="1" si="62"/>
        <v>1.0717000000000001E-2</v>
      </c>
      <c r="H149" s="5">
        <f t="shared" ca="1" si="63"/>
        <v>1.2028E-2</v>
      </c>
      <c r="I149" s="5">
        <f t="shared" ca="1" si="64"/>
        <v>1.2128999999999999E-2</v>
      </c>
      <c r="J149" s="5">
        <f t="shared" ca="1" si="65"/>
        <v>1.4572999999999999E-2</v>
      </c>
      <c r="K149" s="5">
        <f t="shared" ca="1" si="66"/>
        <v>1.6884E-2</v>
      </c>
      <c r="L149" s="5">
        <f t="shared" ca="1" si="67"/>
        <v>1.9394000000000002E-2</v>
      </c>
      <c r="M149" s="5">
        <f t="shared" ca="1" si="68"/>
        <v>2.2082999999999998E-2</v>
      </c>
      <c r="N149" s="5">
        <f t="shared" ca="1" si="69"/>
        <v>2.6128999999999999E-2</v>
      </c>
      <c r="O149" s="5">
        <f t="shared" ca="1" si="70"/>
        <v>2.9127E-2</v>
      </c>
      <c r="P149" s="8">
        <f t="shared" ca="1" si="71"/>
        <v>1003.5872917348672</v>
      </c>
      <c r="Q149" s="8">
        <f t="shared" ca="1" si="72"/>
        <v>1812.047556800135</v>
      </c>
      <c r="R149" s="8">
        <f t="shared" ca="1" si="73"/>
        <v>1667.4857411685866</v>
      </c>
      <c r="S149" s="5">
        <f t="shared" ca="1" si="74"/>
        <v>-2.3959690411572497E-2</v>
      </c>
      <c r="T149">
        <f t="shared" ca="1" si="75"/>
        <v>4.9493604787046661E-2</v>
      </c>
      <c r="U149" s="5">
        <f t="shared" ca="1" si="76"/>
        <v>3.9770089671610893E-2</v>
      </c>
    </row>
    <row r="150" spans="2:21" x14ac:dyDescent="0.25">
      <c r="B150">
        <f t="shared" si="59"/>
        <v>147</v>
      </c>
      <c r="C150">
        <f t="shared" ref="C150:C159" si="79">C149</f>
        <v>13</v>
      </c>
      <c r="D150">
        <v>3</v>
      </c>
      <c r="E150" s="5">
        <f t="shared" ca="1" si="60"/>
        <v>8.4399999999999996E-3</v>
      </c>
      <c r="F150" s="5">
        <f t="shared" ca="1" si="61"/>
        <v>9.6959999999999998E-3</v>
      </c>
      <c r="G150" s="5">
        <f t="shared" ca="1" si="62"/>
        <v>1.0791E-2</v>
      </c>
      <c r="H150" s="5">
        <f t="shared" ca="1" si="63"/>
        <v>1.204E-2</v>
      </c>
      <c r="I150" s="5">
        <f t="shared" ca="1" si="64"/>
        <v>1.2076999999999999E-2</v>
      </c>
      <c r="J150" s="5">
        <f t="shared" ca="1" si="65"/>
        <v>1.4609E-2</v>
      </c>
      <c r="K150" s="5">
        <f t="shared" ca="1" si="66"/>
        <v>1.6785000000000001E-2</v>
      </c>
      <c r="L150" s="5">
        <f t="shared" ca="1" si="67"/>
        <v>1.9307000000000001E-2</v>
      </c>
      <c r="M150" s="5">
        <f t="shared" ca="1" si="68"/>
        <v>2.2151000000000001E-2</v>
      </c>
      <c r="N150" s="5">
        <f t="shared" ca="1" si="69"/>
        <v>2.6218000000000002E-2</v>
      </c>
      <c r="O150" s="5">
        <f t="shared" ca="1" si="70"/>
        <v>2.9215000000000001E-2</v>
      </c>
      <c r="P150" s="8">
        <f t="shared" ca="1" si="71"/>
        <v>1000.3408840261379</v>
      </c>
      <c r="Q150" s="8">
        <f t="shared" ca="1" si="72"/>
        <v>1819.4634370907522</v>
      </c>
      <c r="R150" s="8">
        <f t="shared" ca="1" si="73"/>
        <v>1672.3752114109018</v>
      </c>
      <c r="S150" s="5">
        <f t="shared" ca="1" si="74"/>
        <v>-3.8134414167092991E-2</v>
      </c>
      <c r="T150">
        <f t="shared" ca="1" si="75"/>
        <v>5.0231148143451677E-2</v>
      </c>
      <c r="U150" s="5">
        <f t="shared" ca="1" si="76"/>
        <v>3.5759947136217433E-2</v>
      </c>
    </row>
    <row r="151" spans="2:21" x14ac:dyDescent="0.25">
      <c r="B151">
        <f t="shared" si="59"/>
        <v>148</v>
      </c>
      <c r="C151">
        <f t="shared" si="79"/>
        <v>13</v>
      </c>
      <c r="D151">
        <f>D150+1</f>
        <v>4</v>
      </c>
      <c r="E151" s="5">
        <f t="shared" ca="1" si="60"/>
        <v>8.3999999999999995E-3</v>
      </c>
      <c r="F151" s="5">
        <f t="shared" ca="1" si="61"/>
        <v>9.7249999999999993E-3</v>
      </c>
      <c r="G151" s="5">
        <f t="shared" ca="1" si="62"/>
        <v>1.0806E-2</v>
      </c>
      <c r="H151" s="5">
        <f t="shared" ca="1" si="63"/>
        <v>1.2036E-2</v>
      </c>
      <c r="I151" s="5">
        <f t="shared" ca="1" si="64"/>
        <v>1.208E-2</v>
      </c>
      <c r="J151" s="5">
        <f t="shared" ca="1" si="65"/>
        <v>1.4630000000000001E-2</v>
      </c>
      <c r="K151" s="5">
        <f t="shared" ca="1" si="66"/>
        <v>1.6802999999999998E-2</v>
      </c>
      <c r="L151" s="5">
        <f t="shared" ca="1" si="67"/>
        <v>1.9272999999999998E-2</v>
      </c>
      <c r="M151" s="5">
        <f t="shared" ca="1" si="68"/>
        <v>2.2225999999999999E-2</v>
      </c>
      <c r="N151" s="5">
        <f t="shared" ca="1" si="69"/>
        <v>2.6259999999999999E-2</v>
      </c>
      <c r="O151" s="5">
        <f t="shared" ca="1" si="70"/>
        <v>2.9141E-2</v>
      </c>
      <c r="P151" s="8">
        <f t="shared" ca="1" si="71"/>
        <v>997.58311141314402</v>
      </c>
      <c r="Q151" s="8">
        <f t="shared" ca="1" si="72"/>
        <v>1824.3415783101188</v>
      </c>
      <c r="R151" s="8">
        <f t="shared" ca="1" si="73"/>
        <v>1677.0368407355384</v>
      </c>
      <c r="S151" s="5">
        <f t="shared" ca="1" si="74"/>
        <v>-3.2584966860945114E-2</v>
      </c>
      <c r="T151">
        <f t="shared" ca="1" si="75"/>
        <v>3.2651742457357615E-2</v>
      </c>
      <c r="U151" s="5">
        <f t="shared" ca="1" si="76"/>
        <v>3.3966762880736988E-2</v>
      </c>
    </row>
    <row r="152" spans="2:21" x14ac:dyDescent="0.25">
      <c r="B152">
        <f t="shared" si="59"/>
        <v>149</v>
      </c>
      <c r="C152">
        <f t="shared" si="79"/>
        <v>13</v>
      </c>
      <c r="D152">
        <f t="shared" ref="D152:D159" si="80">D151+1</f>
        <v>5</v>
      </c>
      <c r="E152" s="5">
        <f t="shared" ca="1" si="60"/>
        <v>8.3999999999999995E-3</v>
      </c>
      <c r="F152" s="5">
        <f t="shared" ca="1" si="61"/>
        <v>9.7420000000000007E-3</v>
      </c>
      <c r="G152" s="5">
        <f t="shared" ca="1" si="62"/>
        <v>1.0855E-2</v>
      </c>
      <c r="H152" s="5">
        <f t="shared" ca="1" si="63"/>
        <v>1.2109999999999999E-2</v>
      </c>
      <c r="I152" s="5">
        <f t="shared" ca="1" si="64"/>
        <v>1.2064999999999999E-2</v>
      </c>
      <c r="J152" s="5">
        <f t="shared" ca="1" si="65"/>
        <v>1.4567999999999999E-2</v>
      </c>
      <c r="K152" s="5">
        <f t="shared" ca="1" si="66"/>
        <v>1.6771999999999999E-2</v>
      </c>
      <c r="L152" s="5">
        <f t="shared" ca="1" si="67"/>
        <v>1.9272999999999998E-2</v>
      </c>
      <c r="M152" s="5">
        <f t="shared" ca="1" si="68"/>
        <v>2.2225000000000002E-2</v>
      </c>
      <c r="N152" s="5">
        <f t="shared" ca="1" si="69"/>
        <v>2.6325000000000001E-2</v>
      </c>
      <c r="O152" s="5">
        <f t="shared" ca="1" si="70"/>
        <v>2.9232999999999999E-2</v>
      </c>
      <c r="P152" s="8">
        <f t="shared" ca="1" si="71"/>
        <v>996.08365144960817</v>
      </c>
      <c r="Q152" s="8">
        <f t="shared" ca="1" si="72"/>
        <v>1833.7334150730321</v>
      </c>
      <c r="R152" s="8">
        <f t="shared" ca="1" si="73"/>
        <v>1682.1453513109657</v>
      </c>
      <c r="S152" s="5">
        <f t="shared" ca="1" si="74"/>
        <v>-1.7888744837212641E-2</v>
      </c>
      <c r="T152">
        <f t="shared" ca="1" si="75"/>
        <v>6.3556370368925488E-2</v>
      </c>
      <c r="U152" s="5">
        <f t="shared" ca="1" si="76"/>
        <v>3.7172512703312711E-2</v>
      </c>
    </row>
    <row r="153" spans="2:21" x14ac:dyDescent="0.25">
      <c r="B153">
        <f t="shared" si="59"/>
        <v>150</v>
      </c>
      <c r="C153">
        <f t="shared" si="79"/>
        <v>13</v>
      </c>
      <c r="D153">
        <f t="shared" si="80"/>
        <v>6</v>
      </c>
      <c r="E153" s="5">
        <f t="shared" ca="1" si="60"/>
        <v>8.3490000000000005E-3</v>
      </c>
      <c r="F153" s="5">
        <f t="shared" ca="1" si="61"/>
        <v>9.757E-3</v>
      </c>
      <c r="G153" s="5">
        <f t="shared" ca="1" si="62"/>
        <v>1.0895E-2</v>
      </c>
      <c r="H153" s="5">
        <f t="shared" ca="1" si="63"/>
        <v>1.2181000000000001E-2</v>
      </c>
      <c r="I153" s="5">
        <f t="shared" ca="1" si="64"/>
        <v>1.2119E-2</v>
      </c>
      <c r="J153" s="5">
        <f t="shared" ca="1" si="65"/>
        <v>1.456E-2</v>
      </c>
      <c r="K153" s="5">
        <f t="shared" ca="1" si="66"/>
        <v>1.6759E-2</v>
      </c>
      <c r="L153" s="5">
        <f t="shared" ca="1" si="67"/>
        <v>1.9217999999999999E-2</v>
      </c>
      <c r="M153" s="5">
        <f t="shared" ca="1" si="68"/>
        <v>2.223E-2</v>
      </c>
      <c r="N153" s="5">
        <f t="shared" ca="1" si="69"/>
        <v>2.6348E-2</v>
      </c>
      <c r="O153" s="5">
        <f t="shared" ca="1" si="70"/>
        <v>2.9180999999999999E-2</v>
      </c>
      <c r="P153" s="8">
        <f t="shared" ca="1" si="71"/>
        <v>999.12274161977746</v>
      </c>
      <c r="Q153" s="8">
        <f t="shared" ca="1" si="72"/>
        <v>1838.9125339804805</v>
      </c>
      <c r="R153" s="8">
        <f t="shared" ca="1" si="73"/>
        <v>1687.7550694626291</v>
      </c>
      <c r="S153" s="5">
        <f t="shared" ca="1" si="74"/>
        <v>3.7233144110378841E-2</v>
      </c>
      <c r="T153">
        <f t="shared" ca="1" si="75"/>
        <v>3.4423761144142709E-2</v>
      </c>
      <c r="U153" s="5">
        <f t="shared" ca="1" si="76"/>
        <v>4.0760538020475634E-2</v>
      </c>
    </row>
    <row r="154" spans="2:21" x14ac:dyDescent="0.25">
      <c r="B154">
        <f t="shared" si="59"/>
        <v>151</v>
      </c>
      <c r="C154">
        <f t="shared" si="79"/>
        <v>13</v>
      </c>
      <c r="D154">
        <f t="shared" si="80"/>
        <v>7</v>
      </c>
      <c r="E154" s="5">
        <f t="shared" ca="1" si="60"/>
        <v>8.4419999999999999E-3</v>
      </c>
      <c r="F154" s="5">
        <f t="shared" ca="1" si="61"/>
        <v>9.7040000000000008E-3</v>
      </c>
      <c r="G154" s="5">
        <f t="shared" ca="1" si="62"/>
        <v>1.0985E-2</v>
      </c>
      <c r="H154" s="5">
        <f t="shared" ca="1" si="63"/>
        <v>1.2257000000000001E-2</v>
      </c>
      <c r="I154" s="5">
        <f t="shared" ca="1" si="64"/>
        <v>1.2160000000000001E-2</v>
      </c>
      <c r="J154" s="5">
        <f t="shared" ca="1" si="65"/>
        <v>1.4465E-2</v>
      </c>
      <c r="K154" s="5">
        <f t="shared" ca="1" si="66"/>
        <v>1.6788000000000001E-2</v>
      </c>
      <c r="L154" s="5">
        <f t="shared" ca="1" si="67"/>
        <v>1.9262999999999999E-2</v>
      </c>
      <c r="M154" s="5">
        <f t="shared" ca="1" si="68"/>
        <v>2.2282E-2</v>
      </c>
      <c r="N154" s="5">
        <f t="shared" ca="1" si="69"/>
        <v>2.6391000000000001E-2</v>
      </c>
      <c r="O154" s="5">
        <f t="shared" ca="1" si="70"/>
        <v>2.9270000000000001E-2</v>
      </c>
      <c r="P154" s="8">
        <f t="shared" ca="1" si="71"/>
        <v>999.01546323814398</v>
      </c>
      <c r="Q154" s="8">
        <f t="shared" ca="1" si="72"/>
        <v>1844.9895300044159</v>
      </c>
      <c r="R154" s="8">
        <f t="shared" ca="1" si="73"/>
        <v>1693.9549677897132</v>
      </c>
      <c r="S154" s="5">
        <f t="shared" ca="1" si="74"/>
        <v>-1.2877102683546819E-3</v>
      </c>
      <c r="T154">
        <f t="shared" ca="1" si="75"/>
        <v>4.0384794089004222E-2</v>
      </c>
      <c r="U154" s="5">
        <f t="shared" ca="1" si="76"/>
        <v>4.4983122755444582E-2</v>
      </c>
    </row>
    <row r="155" spans="2:21" x14ac:dyDescent="0.25">
      <c r="B155">
        <f t="shared" si="59"/>
        <v>152</v>
      </c>
      <c r="C155">
        <f t="shared" si="79"/>
        <v>13</v>
      </c>
      <c r="D155">
        <f t="shared" si="80"/>
        <v>8</v>
      </c>
      <c r="E155" s="5">
        <f t="shared" ca="1" si="60"/>
        <v>8.5039999999999994E-3</v>
      </c>
      <c r="F155" s="5">
        <f t="shared" ca="1" si="61"/>
        <v>9.6790000000000001E-3</v>
      </c>
      <c r="G155" s="5">
        <f t="shared" ca="1" si="62"/>
        <v>1.108E-2</v>
      </c>
      <c r="H155" s="5">
        <f t="shared" ca="1" si="63"/>
        <v>1.2243E-2</v>
      </c>
      <c r="I155" s="5">
        <f t="shared" ca="1" si="64"/>
        <v>1.2248999999999999E-2</v>
      </c>
      <c r="J155" s="5">
        <f t="shared" ca="1" si="65"/>
        <v>1.4512000000000001E-2</v>
      </c>
      <c r="K155" s="5">
        <f t="shared" ca="1" si="66"/>
        <v>1.6767000000000001E-2</v>
      </c>
      <c r="L155" s="5">
        <f t="shared" ca="1" si="67"/>
        <v>1.9278E-2</v>
      </c>
      <c r="M155" s="5">
        <f t="shared" ca="1" si="68"/>
        <v>2.2245999999999998E-2</v>
      </c>
      <c r="N155" s="5">
        <f t="shared" ca="1" si="69"/>
        <v>2.6405000000000001E-2</v>
      </c>
      <c r="O155" s="5">
        <f t="shared" ca="1" si="70"/>
        <v>2.9219999999999999E-2</v>
      </c>
      <c r="P155" s="8">
        <f t="shared" ca="1" si="71"/>
        <v>998.86349664873057</v>
      </c>
      <c r="Q155" s="8">
        <f t="shared" ca="1" si="72"/>
        <v>1852.3622109351222</v>
      </c>
      <c r="R155" s="8">
        <f t="shared" ca="1" si="73"/>
        <v>1699.8566376196181</v>
      </c>
      <c r="S155" s="5">
        <f t="shared" ca="1" si="74"/>
        <v>-1.8238698173640197E-3</v>
      </c>
      <c r="T155">
        <f t="shared" ca="1" si="75"/>
        <v>4.9020752277007355E-2</v>
      </c>
      <c r="U155" s="5">
        <f t="shared" ca="1" si="76"/>
        <v>4.2617992062143846E-2</v>
      </c>
    </row>
    <row r="156" spans="2:21" x14ac:dyDescent="0.25">
      <c r="B156">
        <f t="shared" si="59"/>
        <v>153</v>
      </c>
      <c r="C156">
        <f t="shared" si="79"/>
        <v>13</v>
      </c>
      <c r="D156">
        <f t="shared" si="80"/>
        <v>9</v>
      </c>
      <c r="E156" s="5">
        <f t="shared" ca="1" si="60"/>
        <v>8.4779999999999994E-3</v>
      </c>
      <c r="F156" s="5">
        <f t="shared" ca="1" si="61"/>
        <v>9.7149999999999997E-3</v>
      </c>
      <c r="G156" s="5">
        <f t="shared" ca="1" si="62"/>
        <v>1.1165E-2</v>
      </c>
      <c r="H156" s="5">
        <f t="shared" ca="1" si="63"/>
        <v>1.2179000000000001E-2</v>
      </c>
      <c r="I156" s="5">
        <f t="shared" ca="1" si="64"/>
        <v>1.2330000000000001E-2</v>
      </c>
      <c r="J156" s="5">
        <f t="shared" ca="1" si="65"/>
        <v>1.447E-2</v>
      </c>
      <c r="K156" s="5">
        <f t="shared" ca="1" si="66"/>
        <v>1.6813999999999999E-2</v>
      </c>
      <c r="L156" s="5">
        <f t="shared" ca="1" si="67"/>
        <v>1.9213999999999998E-2</v>
      </c>
      <c r="M156" s="5">
        <f t="shared" ca="1" si="68"/>
        <v>2.2329000000000002E-2</v>
      </c>
      <c r="N156" s="5">
        <f t="shared" ca="1" si="69"/>
        <v>2.6321000000000001E-2</v>
      </c>
      <c r="O156" s="5">
        <f t="shared" ca="1" si="70"/>
        <v>2.9145999999999998E-2</v>
      </c>
      <c r="P156" s="8">
        <f t="shared" ca="1" si="71"/>
        <v>999.84496865778362</v>
      </c>
      <c r="Q156" s="8">
        <f t="shared" ca="1" si="72"/>
        <v>1859.4545667264199</v>
      </c>
      <c r="R156" s="8">
        <f t="shared" ca="1" si="73"/>
        <v>1705.8039106451474</v>
      </c>
      <c r="S156" s="5">
        <f t="shared" ca="1" si="74"/>
        <v>1.1854995582484621E-2</v>
      </c>
      <c r="T156">
        <f t="shared" ca="1" si="75"/>
        <v>4.6925808123463059E-2</v>
      </c>
      <c r="U156" s="5">
        <f t="shared" ca="1" si="76"/>
        <v>4.2801683174440656E-2</v>
      </c>
    </row>
    <row r="157" spans="2:21" x14ac:dyDescent="0.25">
      <c r="B157">
        <f t="shared" si="59"/>
        <v>154</v>
      </c>
      <c r="C157">
        <f t="shared" si="79"/>
        <v>13</v>
      </c>
      <c r="D157">
        <f t="shared" si="80"/>
        <v>10</v>
      </c>
      <c r="E157" s="5">
        <f t="shared" ca="1" si="60"/>
        <v>8.4609999999999998E-3</v>
      </c>
      <c r="F157" s="5">
        <f t="shared" ca="1" si="61"/>
        <v>9.7890000000000008E-3</v>
      </c>
      <c r="G157" s="5">
        <f t="shared" ca="1" si="62"/>
        <v>1.1076000000000001E-2</v>
      </c>
      <c r="H157" s="5">
        <f t="shared" ca="1" si="63"/>
        <v>1.2227E-2</v>
      </c>
      <c r="I157" s="5">
        <f t="shared" ca="1" si="64"/>
        <v>1.2418999999999999E-2</v>
      </c>
      <c r="J157" s="5">
        <f t="shared" ca="1" si="65"/>
        <v>1.4447E-2</v>
      </c>
      <c r="K157" s="5">
        <f t="shared" ca="1" si="66"/>
        <v>1.6811E-2</v>
      </c>
      <c r="L157" s="5">
        <f t="shared" ca="1" si="67"/>
        <v>1.9213000000000001E-2</v>
      </c>
      <c r="M157" s="5">
        <f t="shared" ca="1" si="68"/>
        <v>2.2325999999999999E-2</v>
      </c>
      <c r="N157" s="5">
        <f t="shared" ca="1" si="69"/>
        <v>2.6405999999999999E-2</v>
      </c>
      <c r="O157" s="5">
        <f t="shared" ca="1" si="70"/>
        <v>2.9176000000000001E-2</v>
      </c>
      <c r="P157" s="8">
        <f t="shared" ca="1" si="71"/>
        <v>1002.1397521151168</v>
      </c>
      <c r="Q157" s="8">
        <f t="shared" ca="1" si="72"/>
        <v>1864.4479435121391</v>
      </c>
      <c r="R157" s="8">
        <f t="shared" ca="1" si="73"/>
        <v>1711.6576944233941</v>
      </c>
      <c r="S157" s="5">
        <f t="shared" ca="1" si="74"/>
        <v>2.7892010744859454E-2</v>
      </c>
      <c r="T157">
        <f t="shared" ca="1" si="75"/>
        <v>3.2705020205741682E-2</v>
      </c>
      <c r="U157" s="5">
        <f t="shared" ca="1" si="76"/>
        <v>4.1966441631154053E-2</v>
      </c>
    </row>
    <row r="158" spans="2:21" x14ac:dyDescent="0.25">
      <c r="B158">
        <f t="shared" si="59"/>
        <v>155</v>
      </c>
      <c r="C158">
        <f t="shared" si="79"/>
        <v>13</v>
      </c>
      <c r="D158">
        <f t="shared" si="80"/>
        <v>11</v>
      </c>
      <c r="E158" s="5">
        <f t="shared" ca="1" si="60"/>
        <v>8.5220000000000001E-3</v>
      </c>
      <c r="F158" s="5">
        <f t="shared" ca="1" si="61"/>
        <v>9.7389999999999994E-3</v>
      </c>
      <c r="G158" s="5">
        <f t="shared" ca="1" si="62"/>
        <v>1.1051E-2</v>
      </c>
      <c r="H158" s="5">
        <f t="shared" ca="1" si="63"/>
        <v>1.2300999999999999E-2</v>
      </c>
      <c r="I158" s="5">
        <f t="shared" ca="1" si="64"/>
        <v>1.2329E-2</v>
      </c>
      <c r="J158" s="5">
        <f t="shared" ca="1" si="65"/>
        <v>1.4357999999999999E-2</v>
      </c>
      <c r="K158" s="5">
        <f t="shared" ca="1" si="66"/>
        <v>1.6882000000000001E-2</v>
      </c>
      <c r="L158" s="5">
        <f t="shared" ca="1" si="67"/>
        <v>1.9313E-2</v>
      </c>
      <c r="M158" s="5">
        <f t="shared" ca="1" si="68"/>
        <v>2.2415000000000001E-2</v>
      </c>
      <c r="N158" s="5">
        <f t="shared" ca="1" si="69"/>
        <v>2.6426999999999999E-2</v>
      </c>
      <c r="O158" s="5">
        <f t="shared" ca="1" si="70"/>
        <v>2.9262E-2</v>
      </c>
      <c r="P158" s="8">
        <f t="shared" ca="1" si="71"/>
        <v>1006.3590665748533</v>
      </c>
      <c r="Q158" s="8">
        <f t="shared" ca="1" si="72"/>
        <v>1870.330895773862</v>
      </c>
      <c r="R158" s="8">
        <f t="shared" ca="1" si="73"/>
        <v>1717.032204352276</v>
      </c>
      <c r="S158" s="5">
        <f t="shared" ca="1" si="74"/>
        <v>5.1710201981710231E-2</v>
      </c>
      <c r="T158">
        <f t="shared" ca="1" si="75"/>
        <v>3.8528048528760898E-2</v>
      </c>
      <c r="U158" s="5">
        <f t="shared" ca="1" si="76"/>
        <v>3.8336901903639038E-2</v>
      </c>
    </row>
    <row r="159" spans="2:21" x14ac:dyDescent="0.25">
      <c r="B159">
        <f t="shared" si="59"/>
        <v>156</v>
      </c>
      <c r="C159">
        <f t="shared" si="79"/>
        <v>13</v>
      </c>
      <c r="D159">
        <f t="shared" si="80"/>
        <v>12</v>
      </c>
      <c r="E159" s="5">
        <f t="shared" ca="1" si="60"/>
        <v>8.5780000000000006E-3</v>
      </c>
      <c r="F159" s="5">
        <f t="shared" ca="1" si="61"/>
        <v>9.7059999999999994E-3</v>
      </c>
      <c r="G159" s="5">
        <f t="shared" ca="1" si="62"/>
        <v>1.1086E-2</v>
      </c>
      <c r="H159" s="5">
        <f t="shared" ca="1" si="63"/>
        <v>1.2203E-2</v>
      </c>
      <c r="I159" s="5">
        <f t="shared" ca="1" si="64"/>
        <v>1.2315E-2</v>
      </c>
      <c r="J159" s="5">
        <f t="shared" ca="1" si="65"/>
        <v>1.4435E-2</v>
      </c>
      <c r="K159" s="5">
        <f t="shared" ca="1" si="66"/>
        <v>1.6936E-2</v>
      </c>
      <c r="L159" s="5">
        <f t="shared" ca="1" si="67"/>
        <v>1.9217999999999999E-2</v>
      </c>
      <c r="M159" s="5">
        <f t="shared" ca="1" si="68"/>
        <v>2.2379E-2</v>
      </c>
      <c r="N159" s="5">
        <f t="shared" ca="1" si="69"/>
        <v>2.6513999999999999E-2</v>
      </c>
      <c r="O159" s="5">
        <f t="shared" ca="1" si="70"/>
        <v>2.9212999999999999E-2</v>
      </c>
      <c r="P159" s="8">
        <f t="shared" ca="1" si="71"/>
        <v>1005.7969035611325</v>
      </c>
      <c r="Q159" s="8">
        <f t="shared" ca="1" si="72"/>
        <v>1878.1696055045302</v>
      </c>
      <c r="R159" s="8">
        <f t="shared" ca="1" si="73"/>
        <v>1722.0539600338293</v>
      </c>
      <c r="S159" s="5">
        <f t="shared" ca="1" si="74"/>
        <v>-6.6827725126866917E-3</v>
      </c>
      <c r="T159">
        <f t="shared" ca="1" si="75"/>
        <v>5.1468631791292262E-2</v>
      </c>
      <c r="U159" s="5">
        <f t="shared" ca="1" si="76"/>
        <v>3.5666146317435476E-2</v>
      </c>
    </row>
    <row r="160" spans="2:21" x14ac:dyDescent="0.25">
      <c r="B160">
        <f t="shared" si="59"/>
        <v>157</v>
      </c>
      <c r="C160">
        <f>C159+1</f>
        <v>14</v>
      </c>
      <c r="D160">
        <v>1</v>
      </c>
      <c r="E160" s="5">
        <f t="shared" ca="1" si="60"/>
        <v>8.6300000000000005E-3</v>
      </c>
      <c r="F160" s="5">
        <f t="shared" ca="1" si="61"/>
        <v>9.7099999999999999E-3</v>
      </c>
      <c r="G160" s="5">
        <f t="shared" ca="1" si="62"/>
        <v>1.1145E-2</v>
      </c>
      <c r="H160" s="5">
        <f t="shared" ca="1" si="63"/>
        <v>1.2130999999999999E-2</v>
      </c>
      <c r="I160" s="5">
        <f t="shared" ca="1" si="64"/>
        <v>1.2271000000000001E-2</v>
      </c>
      <c r="J160" s="5">
        <f t="shared" ca="1" si="65"/>
        <v>1.4411999999999999E-2</v>
      </c>
      <c r="K160" s="5">
        <f t="shared" ca="1" si="66"/>
        <v>1.6985E-2</v>
      </c>
      <c r="L160" s="5">
        <f t="shared" ca="1" si="67"/>
        <v>1.9168999999999999E-2</v>
      </c>
      <c r="M160" s="5">
        <f t="shared" ca="1" si="68"/>
        <v>2.2314000000000001E-2</v>
      </c>
      <c r="N160" s="5">
        <f t="shared" ca="1" si="69"/>
        <v>2.6509999999999999E-2</v>
      </c>
      <c r="O160" s="5">
        <f t="shared" ca="1" si="70"/>
        <v>2.9203E-2</v>
      </c>
      <c r="P160" s="8">
        <f t="shared" ca="1" si="71"/>
        <v>1007.3844064260937</v>
      </c>
      <c r="Q160" s="8">
        <f t="shared" ca="1" si="72"/>
        <v>1885.1962241313872</v>
      </c>
      <c r="R160" s="8">
        <f t="shared" ca="1" si="73"/>
        <v>1726.8384426384177</v>
      </c>
      <c r="S160" s="5">
        <f t="shared" ca="1" si="74"/>
        <v>1.9105526898899688E-2</v>
      </c>
      <c r="T160">
        <f t="shared" ca="1" si="75"/>
        <v>4.582986163692071E-2</v>
      </c>
      <c r="U160" s="5">
        <f t="shared" ca="1" si="76"/>
        <v>3.3854517472271056E-2</v>
      </c>
    </row>
    <row r="161" spans="2:21" x14ac:dyDescent="0.25">
      <c r="B161">
        <f t="shared" si="59"/>
        <v>158</v>
      </c>
      <c r="C161">
        <f>C160</f>
        <v>14</v>
      </c>
      <c r="D161">
        <v>2</v>
      </c>
      <c r="E161" s="5">
        <f t="shared" ca="1" si="60"/>
        <v>8.6840000000000007E-3</v>
      </c>
      <c r="F161" s="5">
        <f t="shared" ca="1" si="61"/>
        <v>9.6860000000000002E-3</v>
      </c>
      <c r="G161" s="5">
        <f t="shared" ca="1" si="62"/>
        <v>1.1096999999999999E-2</v>
      </c>
      <c r="H161" s="5">
        <f t="shared" ca="1" si="63"/>
        <v>1.2078999999999999E-2</v>
      </c>
      <c r="I161" s="5">
        <f t="shared" ca="1" si="64"/>
        <v>1.2357999999999999E-2</v>
      </c>
      <c r="J161" s="5">
        <f t="shared" ca="1" si="65"/>
        <v>1.4423E-2</v>
      </c>
      <c r="K161" s="5">
        <f t="shared" ca="1" si="66"/>
        <v>1.7044E-2</v>
      </c>
      <c r="L161" s="5">
        <f t="shared" ca="1" si="67"/>
        <v>1.9179999999999999E-2</v>
      </c>
      <c r="M161" s="5">
        <f t="shared" ca="1" si="68"/>
        <v>2.2270000000000002E-2</v>
      </c>
      <c r="N161" s="5">
        <f t="shared" ca="1" si="69"/>
        <v>2.648E-2</v>
      </c>
      <c r="O161" s="5">
        <f t="shared" ca="1" si="70"/>
        <v>2.9182E-2</v>
      </c>
      <c r="P161" s="8">
        <f t="shared" ca="1" si="71"/>
        <v>1004.6837600335263</v>
      </c>
      <c r="Q161" s="8">
        <f t="shared" ca="1" si="72"/>
        <v>1895.9919830309441</v>
      </c>
      <c r="R161" s="8">
        <f t="shared" ca="1" si="73"/>
        <v>1732.0852595028887</v>
      </c>
      <c r="S161" s="5">
        <f t="shared" ca="1" si="74"/>
        <v>-3.1700073091164238E-2</v>
      </c>
      <c r="T161">
        <f t="shared" ca="1" si="75"/>
        <v>7.0925414018008531E-2</v>
      </c>
      <c r="U161" s="5">
        <f t="shared" ca="1" si="76"/>
        <v>3.7076252049570324E-2</v>
      </c>
    </row>
    <row r="162" spans="2:21" x14ac:dyDescent="0.25">
      <c r="B162">
        <f t="shared" si="59"/>
        <v>159</v>
      </c>
      <c r="C162">
        <f t="shared" ref="C162:C171" si="81">C161</f>
        <v>14</v>
      </c>
      <c r="D162">
        <v>3</v>
      </c>
      <c r="E162" s="5">
        <f t="shared" ca="1" si="60"/>
        <v>8.7410000000000005E-3</v>
      </c>
      <c r="F162" s="5">
        <f t="shared" ca="1" si="61"/>
        <v>9.7780000000000002E-3</v>
      </c>
      <c r="G162" s="5">
        <f t="shared" ca="1" si="62"/>
        <v>1.1018999999999999E-2</v>
      </c>
      <c r="H162" s="5">
        <f t="shared" ca="1" si="63"/>
        <v>1.1993999999999999E-2</v>
      </c>
      <c r="I162" s="5">
        <f t="shared" ca="1" si="64"/>
        <v>1.2341E-2</v>
      </c>
      <c r="J162" s="5">
        <f t="shared" ca="1" si="65"/>
        <v>1.4374E-2</v>
      </c>
      <c r="K162" s="5">
        <f t="shared" ca="1" si="66"/>
        <v>1.7121999999999998E-2</v>
      </c>
      <c r="L162" s="5">
        <f t="shared" ca="1" si="67"/>
        <v>1.9092000000000001E-2</v>
      </c>
      <c r="M162" s="5">
        <f t="shared" ca="1" si="68"/>
        <v>2.2173999999999999E-2</v>
      </c>
      <c r="N162" s="5">
        <f t="shared" ca="1" si="69"/>
        <v>2.6401999999999998E-2</v>
      </c>
      <c r="O162" s="5">
        <f t="shared" ca="1" si="70"/>
        <v>2.9127E-2</v>
      </c>
      <c r="P162" s="8">
        <f t="shared" ca="1" si="71"/>
        <v>1007.2443595937391</v>
      </c>
      <c r="Q162" s="8">
        <f t="shared" ca="1" si="72"/>
        <v>1907.018262427918</v>
      </c>
      <c r="R162" s="8">
        <f t="shared" ca="1" si="73"/>
        <v>1737.6194498031998</v>
      </c>
      <c r="S162" s="5">
        <f t="shared" ca="1" si="74"/>
        <v>3.1016324817679457E-2</v>
      </c>
      <c r="T162">
        <f t="shared" ca="1" si="75"/>
        <v>7.2062894917811648E-2</v>
      </c>
      <c r="U162" s="5">
        <f t="shared" ca="1" si="76"/>
        <v>3.9022233207560958E-2</v>
      </c>
    </row>
    <row r="163" spans="2:21" x14ac:dyDescent="0.25">
      <c r="B163">
        <f t="shared" si="59"/>
        <v>160</v>
      </c>
      <c r="C163">
        <f t="shared" si="81"/>
        <v>14</v>
      </c>
      <c r="D163">
        <f>D162+1</f>
        <v>4</v>
      </c>
      <c r="E163" s="5">
        <f t="shared" ca="1" si="60"/>
        <v>8.6669999999999994E-3</v>
      </c>
      <c r="F163" s="5">
        <f t="shared" ca="1" si="61"/>
        <v>9.776E-3</v>
      </c>
      <c r="G163" s="5">
        <f t="shared" ca="1" si="62"/>
        <v>1.1095000000000001E-2</v>
      </c>
      <c r="H163" s="5">
        <f t="shared" ca="1" si="63"/>
        <v>1.2026E-2</v>
      </c>
      <c r="I163" s="5">
        <f t="shared" ca="1" si="64"/>
        <v>1.2314E-2</v>
      </c>
      <c r="J163" s="5">
        <f t="shared" ca="1" si="65"/>
        <v>1.4437999999999999E-2</v>
      </c>
      <c r="K163" s="5">
        <f t="shared" ca="1" si="66"/>
        <v>1.7167999999999999E-2</v>
      </c>
      <c r="L163" s="5">
        <f t="shared" ca="1" si="67"/>
        <v>1.917E-2</v>
      </c>
      <c r="M163" s="5">
        <f t="shared" ca="1" si="68"/>
        <v>2.2114999999999999E-2</v>
      </c>
      <c r="N163" s="5">
        <f t="shared" ca="1" si="69"/>
        <v>2.6419000000000002E-2</v>
      </c>
      <c r="O163" s="5">
        <f t="shared" ca="1" si="70"/>
        <v>2.9038999999999999E-2</v>
      </c>
      <c r="P163" s="8">
        <f t="shared" ca="1" si="71"/>
        <v>1008.5065003272504</v>
      </c>
      <c r="Q163" s="8">
        <f t="shared" ca="1" si="72"/>
        <v>1912.7490157890372</v>
      </c>
      <c r="R163" s="8">
        <f t="shared" ca="1" si="73"/>
        <v>1743.6688895901605</v>
      </c>
      <c r="S163" s="5">
        <f t="shared" ca="1" si="74"/>
        <v>1.5140822233021628E-2</v>
      </c>
      <c r="T163">
        <f t="shared" ca="1" si="75"/>
        <v>3.6663055198960036E-2</v>
      </c>
      <c r="U163" s="5">
        <f t="shared" ca="1" si="76"/>
        <v>4.258674172438142E-2</v>
      </c>
    </row>
    <row r="164" spans="2:21" x14ac:dyDescent="0.25">
      <c r="B164">
        <f t="shared" si="59"/>
        <v>161</v>
      </c>
      <c r="C164">
        <f t="shared" si="81"/>
        <v>14</v>
      </c>
      <c r="D164">
        <f t="shared" ref="D164:D171" si="82">D163+1</f>
        <v>5</v>
      </c>
      <c r="E164" s="5">
        <f t="shared" ca="1" si="60"/>
        <v>8.7530000000000004E-3</v>
      </c>
      <c r="F164" s="5">
        <f t="shared" ca="1" si="61"/>
        <v>9.6900000000000007E-3</v>
      </c>
      <c r="G164" s="5">
        <f t="shared" ca="1" si="62"/>
        <v>1.1195E-2</v>
      </c>
      <c r="H164" s="5">
        <f t="shared" ca="1" si="63"/>
        <v>1.1939999999999999E-2</v>
      </c>
      <c r="I164" s="5">
        <f t="shared" ca="1" si="64"/>
        <v>1.2333E-2</v>
      </c>
      <c r="J164" s="5">
        <f t="shared" ca="1" si="65"/>
        <v>1.4392E-2</v>
      </c>
      <c r="K164" s="5">
        <f t="shared" ca="1" si="66"/>
        <v>1.7165E-2</v>
      </c>
      <c r="L164" s="5">
        <f t="shared" ca="1" si="67"/>
        <v>1.9178000000000001E-2</v>
      </c>
      <c r="M164" s="5">
        <f t="shared" ca="1" si="68"/>
        <v>2.2041000000000002E-2</v>
      </c>
      <c r="N164" s="5">
        <f t="shared" ca="1" si="69"/>
        <v>2.6325999999999999E-2</v>
      </c>
      <c r="O164" s="5">
        <f t="shared" ca="1" si="70"/>
        <v>2.9069000000000001E-2</v>
      </c>
      <c r="P164" s="8">
        <f t="shared" ca="1" si="71"/>
        <v>1010.1439003677837</v>
      </c>
      <c r="Q164" s="8">
        <f t="shared" ca="1" si="72"/>
        <v>1923.1021730531784</v>
      </c>
      <c r="R164" s="8">
        <f t="shared" ca="1" si="73"/>
        <v>1749.69770642566</v>
      </c>
      <c r="S164" s="5">
        <f t="shared" ca="1" si="74"/>
        <v>1.9657991496768841E-2</v>
      </c>
      <c r="T164">
        <f t="shared" ca="1" si="75"/>
        <v>6.6921476443764741E-2</v>
      </c>
      <c r="U164" s="5">
        <f t="shared" ca="1" si="76"/>
        <v>4.228873204804174E-2</v>
      </c>
    </row>
    <row r="165" spans="2:21" x14ac:dyDescent="0.25">
      <c r="B165">
        <f t="shared" si="59"/>
        <v>162</v>
      </c>
      <c r="C165">
        <f t="shared" si="81"/>
        <v>14</v>
      </c>
      <c r="D165">
        <f t="shared" si="82"/>
        <v>6</v>
      </c>
      <c r="E165" s="5">
        <f t="shared" ca="1" si="60"/>
        <v>8.7290000000000006E-3</v>
      </c>
      <c r="F165" s="5">
        <f t="shared" ca="1" si="61"/>
        <v>9.6430000000000005E-3</v>
      </c>
      <c r="G165" s="5">
        <f t="shared" ca="1" si="62"/>
        <v>1.1102000000000001E-2</v>
      </c>
      <c r="H165" s="5">
        <f t="shared" ca="1" si="63"/>
        <v>1.1887E-2</v>
      </c>
      <c r="I165" s="5">
        <f t="shared" ca="1" si="64"/>
        <v>1.2241999999999999E-2</v>
      </c>
      <c r="J165" s="5">
        <f t="shared" ca="1" si="65"/>
        <v>1.4454E-2</v>
      </c>
      <c r="K165" s="5">
        <f t="shared" ca="1" si="66"/>
        <v>1.7117E-2</v>
      </c>
      <c r="L165" s="5">
        <f t="shared" ca="1" si="67"/>
        <v>1.9227000000000001E-2</v>
      </c>
      <c r="M165" s="5">
        <f t="shared" ca="1" si="68"/>
        <v>2.2006000000000001E-2</v>
      </c>
      <c r="N165" s="5">
        <f t="shared" ca="1" si="69"/>
        <v>2.6306E-2</v>
      </c>
      <c r="O165" s="5">
        <f t="shared" ca="1" si="70"/>
        <v>2.8992E-2</v>
      </c>
      <c r="P165" s="8">
        <f t="shared" ca="1" si="71"/>
        <v>1011.2732918164536</v>
      </c>
      <c r="Q165" s="8">
        <f t="shared" ca="1" si="72"/>
        <v>1931.3865804197767</v>
      </c>
      <c r="R165" s="8">
        <f t="shared" ca="1" si="73"/>
        <v>1755.7943885717159</v>
      </c>
      <c r="S165" s="5">
        <f t="shared" ca="1" si="74"/>
        <v>1.3499411342362279E-2</v>
      </c>
      <c r="T165">
        <f t="shared" ca="1" si="75"/>
        <v>5.2936573555713982E-2</v>
      </c>
      <c r="U165" s="5">
        <f t="shared" ca="1" si="76"/>
        <v>4.2623741836952909E-2</v>
      </c>
    </row>
    <row r="166" spans="2:21" x14ac:dyDescent="0.25">
      <c r="B166">
        <f t="shared" si="59"/>
        <v>163</v>
      </c>
      <c r="C166">
        <f t="shared" si="81"/>
        <v>14</v>
      </c>
      <c r="D166">
        <f t="shared" si="82"/>
        <v>7</v>
      </c>
      <c r="E166" s="5">
        <f t="shared" ca="1" si="60"/>
        <v>8.8199999999999997E-3</v>
      </c>
      <c r="F166" s="5">
        <f t="shared" ca="1" si="61"/>
        <v>9.7199999999999995E-3</v>
      </c>
      <c r="G166" s="5">
        <f t="shared" ca="1" si="62"/>
        <v>1.111E-2</v>
      </c>
      <c r="H166" s="5">
        <f t="shared" ca="1" si="63"/>
        <v>1.191E-2</v>
      </c>
      <c r="I166" s="5">
        <f t="shared" ca="1" si="64"/>
        <v>1.2322E-2</v>
      </c>
      <c r="J166" s="5">
        <f t="shared" ca="1" si="65"/>
        <v>1.4385E-2</v>
      </c>
      <c r="K166" s="5">
        <f t="shared" ca="1" si="66"/>
        <v>1.7184000000000001E-2</v>
      </c>
      <c r="L166" s="5">
        <f t="shared" ca="1" si="67"/>
        <v>1.9313E-2</v>
      </c>
      <c r="M166" s="5">
        <f t="shared" ca="1" si="68"/>
        <v>2.1998E-2</v>
      </c>
      <c r="N166" s="5">
        <f t="shared" ca="1" si="69"/>
        <v>2.6231000000000001E-2</v>
      </c>
      <c r="O166" s="5">
        <f t="shared" ca="1" si="70"/>
        <v>2.8986999999999999E-2</v>
      </c>
      <c r="P166" s="8">
        <f t="shared" ca="1" si="71"/>
        <v>1012.4410966315727</v>
      </c>
      <c r="Q166" s="8">
        <f t="shared" ca="1" si="72"/>
        <v>1938.9542094047549</v>
      </c>
      <c r="R166" s="8">
        <f t="shared" ca="1" si="73"/>
        <v>1762.0725093458675</v>
      </c>
      <c r="S166" s="5">
        <f t="shared" ca="1" si="74"/>
        <v>1.3945791612773943E-2</v>
      </c>
      <c r="T166">
        <f t="shared" ca="1" si="75"/>
        <v>4.8045456953639772E-2</v>
      </c>
      <c r="U166" s="5">
        <f t="shared" ca="1" si="76"/>
        <v>4.3761870394203442E-2</v>
      </c>
    </row>
    <row r="167" spans="2:21" x14ac:dyDescent="0.25">
      <c r="B167">
        <f t="shared" si="59"/>
        <v>164</v>
      </c>
      <c r="C167">
        <f t="shared" si="81"/>
        <v>14</v>
      </c>
      <c r="D167">
        <f t="shared" si="82"/>
        <v>8</v>
      </c>
      <c r="E167" s="5">
        <f t="shared" ca="1" si="60"/>
        <v>8.7530000000000004E-3</v>
      </c>
      <c r="F167" s="5">
        <f t="shared" ca="1" si="61"/>
        <v>9.7719999999999994E-3</v>
      </c>
      <c r="G167" s="5">
        <f t="shared" ca="1" si="62"/>
        <v>1.1198E-2</v>
      </c>
      <c r="H167" s="5">
        <f t="shared" ca="1" si="63"/>
        <v>1.1861E-2</v>
      </c>
      <c r="I167" s="5">
        <f t="shared" ca="1" si="64"/>
        <v>1.2411E-2</v>
      </c>
      <c r="J167" s="5">
        <f t="shared" ca="1" si="65"/>
        <v>1.4449E-2</v>
      </c>
      <c r="K167" s="5">
        <f t="shared" ca="1" si="66"/>
        <v>1.7174999999999999E-2</v>
      </c>
      <c r="L167" s="5">
        <f t="shared" ca="1" si="67"/>
        <v>1.934E-2</v>
      </c>
      <c r="M167" s="5">
        <f t="shared" ca="1" si="68"/>
        <v>2.2016999999999998E-2</v>
      </c>
      <c r="N167" s="5">
        <f t="shared" ca="1" si="69"/>
        <v>2.6256000000000002E-2</v>
      </c>
      <c r="O167" s="5">
        <f t="shared" ca="1" si="70"/>
        <v>2.9041000000000001E-2</v>
      </c>
      <c r="P167" s="8">
        <f t="shared" ca="1" si="71"/>
        <v>1015.0762454965039</v>
      </c>
      <c r="Q167" s="8">
        <f t="shared" ca="1" si="72"/>
        <v>1944.5452764450324</v>
      </c>
      <c r="R167" s="8">
        <f t="shared" ca="1" si="73"/>
        <v>1768.5145708860275</v>
      </c>
      <c r="S167" s="5">
        <f t="shared" ca="1" si="74"/>
        <v>3.1684223215528225E-2</v>
      </c>
      <c r="T167">
        <f t="shared" ca="1" si="75"/>
        <v>3.5156662053096428E-2</v>
      </c>
      <c r="U167" s="5">
        <f t="shared" ca="1" si="76"/>
        <v>4.476448233315039E-2</v>
      </c>
    </row>
    <row r="168" spans="2:21" x14ac:dyDescent="0.25">
      <c r="B168">
        <f t="shared" si="59"/>
        <v>165</v>
      </c>
      <c r="C168">
        <f t="shared" si="81"/>
        <v>14</v>
      </c>
      <c r="D168">
        <f t="shared" si="82"/>
        <v>9</v>
      </c>
      <c r="E168" s="5">
        <f t="shared" ca="1" si="60"/>
        <v>8.7539999999999996E-3</v>
      </c>
      <c r="F168" s="5">
        <f t="shared" ca="1" si="61"/>
        <v>9.7079999999999996E-3</v>
      </c>
      <c r="G168" s="5">
        <f t="shared" ca="1" si="62"/>
        <v>1.1269E-2</v>
      </c>
      <c r="H168" s="5">
        <f t="shared" ca="1" si="63"/>
        <v>1.1923E-2</v>
      </c>
      <c r="I168" s="5">
        <f t="shared" ca="1" si="64"/>
        <v>1.2479000000000001E-2</v>
      </c>
      <c r="J168" s="5">
        <f t="shared" ca="1" si="65"/>
        <v>1.4447E-2</v>
      </c>
      <c r="K168" s="5">
        <f t="shared" ca="1" si="66"/>
        <v>1.7108000000000002E-2</v>
      </c>
      <c r="L168" s="5">
        <f t="shared" ca="1" si="67"/>
        <v>1.9302E-2</v>
      </c>
      <c r="M168" s="5">
        <f t="shared" ca="1" si="68"/>
        <v>2.1932E-2</v>
      </c>
      <c r="N168" s="5">
        <f t="shared" ca="1" si="69"/>
        <v>2.6224000000000001E-2</v>
      </c>
      <c r="O168" s="5">
        <f t="shared" ca="1" si="70"/>
        <v>2.9118000000000002E-2</v>
      </c>
      <c r="P168" s="8">
        <f t="shared" ca="1" si="71"/>
        <v>1018.6427811627244</v>
      </c>
      <c r="Q168" s="8">
        <f t="shared" ca="1" si="72"/>
        <v>1952.5522172059179</v>
      </c>
      <c r="R168" s="8">
        <f t="shared" ca="1" si="73"/>
        <v>1774.3988300564597</v>
      </c>
      <c r="S168" s="5">
        <f t="shared" ca="1" si="74"/>
        <v>4.2987169009445679E-2</v>
      </c>
      <c r="T168">
        <f t="shared" ca="1" si="75"/>
        <v>5.0546231338404121E-2</v>
      </c>
      <c r="U168" s="5">
        <f t="shared" ca="1" si="76"/>
        <v>4.0665605997596554E-2</v>
      </c>
    </row>
    <row r="169" spans="2:21" x14ac:dyDescent="0.25">
      <c r="B169">
        <f t="shared" si="59"/>
        <v>166</v>
      </c>
      <c r="C169">
        <f t="shared" si="81"/>
        <v>14</v>
      </c>
      <c r="D169">
        <f t="shared" si="82"/>
        <v>10</v>
      </c>
      <c r="E169" s="5">
        <f t="shared" ca="1" si="60"/>
        <v>8.8070000000000006E-3</v>
      </c>
      <c r="F169" s="5">
        <f t="shared" ca="1" si="61"/>
        <v>9.7769999999999992E-3</v>
      </c>
      <c r="G169" s="5">
        <f t="shared" ca="1" si="62"/>
        <v>1.1232000000000001E-2</v>
      </c>
      <c r="H169" s="5">
        <f t="shared" ca="1" si="63"/>
        <v>1.1946E-2</v>
      </c>
      <c r="I169" s="5">
        <f t="shared" ca="1" si="64"/>
        <v>1.2385E-2</v>
      </c>
      <c r="J169" s="5">
        <f t="shared" ca="1" si="65"/>
        <v>1.4437999999999999E-2</v>
      </c>
      <c r="K169" s="5">
        <f t="shared" ca="1" si="66"/>
        <v>1.7068E-2</v>
      </c>
      <c r="L169" s="5">
        <f t="shared" ca="1" si="67"/>
        <v>1.9328999999999999E-2</v>
      </c>
      <c r="M169" s="5">
        <f t="shared" ca="1" si="68"/>
        <v>2.198E-2</v>
      </c>
      <c r="N169" s="5">
        <f t="shared" ca="1" si="69"/>
        <v>2.6147E-2</v>
      </c>
      <c r="O169" s="5">
        <f t="shared" ca="1" si="70"/>
        <v>2.9104000000000001E-2</v>
      </c>
      <c r="P169" s="8">
        <f t="shared" ca="1" si="71"/>
        <v>1014.9238668736102</v>
      </c>
      <c r="Q169" s="8">
        <f t="shared" ca="1" si="72"/>
        <v>1962.9968173917819</v>
      </c>
      <c r="R169" s="8">
        <f t="shared" ca="1" si="73"/>
        <v>1780.2879990142044</v>
      </c>
      <c r="S169" s="5">
        <f t="shared" ca="1" si="74"/>
        <v>-4.2941149368349585E-2</v>
      </c>
      <c r="T169">
        <f t="shared" ca="1" si="75"/>
        <v>6.611305369184961E-2</v>
      </c>
      <c r="U169" s="5">
        <f t="shared" ca="1" si="76"/>
        <v>4.0562717942543847E-2</v>
      </c>
    </row>
    <row r="170" spans="2:21" x14ac:dyDescent="0.25">
      <c r="B170">
        <f t="shared" si="59"/>
        <v>167</v>
      </c>
      <c r="C170">
        <f t="shared" si="81"/>
        <v>14</v>
      </c>
      <c r="D170">
        <f t="shared" si="82"/>
        <v>11</v>
      </c>
      <c r="E170" s="5">
        <f t="shared" ca="1" si="60"/>
        <v>8.8690000000000001E-3</v>
      </c>
      <c r="F170" s="5">
        <f t="shared" ca="1" si="61"/>
        <v>9.8560000000000002E-3</v>
      </c>
      <c r="G170" s="5">
        <f t="shared" ca="1" si="62"/>
        <v>1.1169999999999999E-2</v>
      </c>
      <c r="H170" s="5">
        <f t="shared" ca="1" si="63"/>
        <v>1.1908999999999999E-2</v>
      </c>
      <c r="I170" s="5">
        <f t="shared" ca="1" si="64"/>
        <v>1.2318000000000001E-2</v>
      </c>
      <c r="J170" s="5">
        <f t="shared" ca="1" si="65"/>
        <v>1.4458E-2</v>
      </c>
      <c r="K170" s="5">
        <f t="shared" ca="1" si="66"/>
        <v>1.7151E-2</v>
      </c>
      <c r="L170" s="5">
        <f t="shared" ca="1" si="67"/>
        <v>1.9418999999999999E-2</v>
      </c>
      <c r="M170" s="5">
        <f t="shared" ca="1" si="68"/>
        <v>2.1930000000000002E-2</v>
      </c>
      <c r="N170" s="5">
        <f t="shared" ca="1" si="69"/>
        <v>2.6093000000000002E-2</v>
      </c>
      <c r="O170" s="5">
        <f t="shared" ca="1" si="70"/>
        <v>2.9031000000000001E-2</v>
      </c>
      <c r="P170" s="8">
        <f t="shared" ca="1" si="71"/>
        <v>1012.5154202093114</v>
      </c>
      <c r="Q170" s="8">
        <f t="shared" ca="1" si="72"/>
        <v>1968.2631774243716</v>
      </c>
      <c r="R170" s="8">
        <f t="shared" ca="1" si="73"/>
        <v>1786.7787838236029</v>
      </c>
      <c r="S170" s="5">
        <f t="shared" ca="1" si="74"/>
        <v>-2.8107642010482818E-2</v>
      </c>
      <c r="T170">
        <f t="shared" ca="1" si="75"/>
        <v>3.2673105774377313E-2</v>
      </c>
      <c r="U170" s="5">
        <f t="shared" ca="1" si="76"/>
        <v>4.4639090736530482E-2</v>
      </c>
    </row>
    <row r="171" spans="2:21" x14ac:dyDescent="0.25">
      <c r="B171">
        <f t="shared" si="59"/>
        <v>168</v>
      </c>
      <c r="C171">
        <f t="shared" si="81"/>
        <v>14</v>
      </c>
      <c r="D171">
        <f t="shared" si="82"/>
        <v>12</v>
      </c>
      <c r="E171" s="5">
        <f t="shared" ca="1" si="60"/>
        <v>8.8409999999999999E-3</v>
      </c>
      <c r="F171" s="5">
        <f t="shared" ca="1" si="61"/>
        <v>9.9209999999999993E-3</v>
      </c>
      <c r="G171" s="5">
        <f t="shared" ca="1" si="62"/>
        <v>1.1122999999999999E-2</v>
      </c>
      <c r="H171" s="5">
        <f t="shared" ca="1" si="63"/>
        <v>1.1847999999999999E-2</v>
      </c>
      <c r="I171" s="5">
        <f t="shared" ca="1" si="64"/>
        <v>1.2377000000000001E-2</v>
      </c>
      <c r="J171" s="5">
        <f t="shared" ca="1" si="65"/>
        <v>1.4499E-2</v>
      </c>
      <c r="K171" s="5">
        <f t="shared" ca="1" si="66"/>
        <v>1.7125999999999999E-2</v>
      </c>
      <c r="L171" s="5">
        <f t="shared" ca="1" si="67"/>
        <v>1.9334E-2</v>
      </c>
      <c r="M171" s="5">
        <f t="shared" ca="1" si="68"/>
        <v>2.1967E-2</v>
      </c>
      <c r="N171" s="5">
        <f t="shared" ca="1" si="69"/>
        <v>2.6178E-2</v>
      </c>
      <c r="O171" s="5">
        <f t="shared" ca="1" si="70"/>
        <v>2.8953E-2</v>
      </c>
      <c r="P171" s="8">
        <f t="shared" ca="1" si="71"/>
        <v>1014.4645653516199</v>
      </c>
      <c r="Q171" s="8">
        <f t="shared" ca="1" si="72"/>
        <v>1975.6705116922114</v>
      </c>
      <c r="R171" s="8">
        <f t="shared" ca="1" si="73"/>
        <v>1792.9218922340026</v>
      </c>
      <c r="S171" s="5">
        <f t="shared" ca="1" si="74"/>
        <v>2.3346788465200288E-2</v>
      </c>
      <c r="T171">
        <f t="shared" ca="1" si="75"/>
        <v>4.6107222189334406E-2</v>
      </c>
      <c r="U171" s="5">
        <f t="shared" ca="1" si="76"/>
        <v>4.2046255788190212E-2</v>
      </c>
    </row>
    <row r="172" spans="2:21" x14ac:dyDescent="0.25">
      <c r="B172">
        <f t="shared" si="59"/>
        <v>169</v>
      </c>
      <c r="C172">
        <f>C171+1</f>
        <v>15</v>
      </c>
      <c r="D172">
        <v>1</v>
      </c>
      <c r="E172" s="5">
        <f t="shared" ca="1" si="60"/>
        <v>8.7770000000000001E-3</v>
      </c>
      <c r="F172" s="5">
        <f t="shared" ca="1" si="61"/>
        <v>9.8589999999999997E-3</v>
      </c>
      <c r="G172" s="5">
        <f t="shared" ca="1" si="62"/>
        <v>1.1181E-2</v>
      </c>
      <c r="H172" s="5">
        <f t="shared" ca="1" si="63"/>
        <v>1.1835E-2</v>
      </c>
      <c r="I172" s="5">
        <f t="shared" ca="1" si="64"/>
        <v>1.2404999999999999E-2</v>
      </c>
      <c r="J172" s="5">
        <f t="shared" ca="1" si="65"/>
        <v>1.4596E-2</v>
      </c>
      <c r="K172" s="5">
        <f t="shared" ca="1" si="66"/>
        <v>1.7186E-2</v>
      </c>
      <c r="L172" s="5">
        <f t="shared" ca="1" si="67"/>
        <v>1.9380999999999999E-2</v>
      </c>
      <c r="M172" s="5">
        <f t="shared" ca="1" si="68"/>
        <v>2.1881000000000001E-2</v>
      </c>
      <c r="N172" s="5">
        <f t="shared" ca="1" si="69"/>
        <v>2.6147E-2</v>
      </c>
      <c r="O172" s="5">
        <f t="shared" ca="1" si="70"/>
        <v>2.8944000000000001E-2</v>
      </c>
      <c r="P172" s="8">
        <f t="shared" ca="1" si="71"/>
        <v>1010.7599012026286</v>
      </c>
      <c r="Q172" s="8">
        <f t="shared" ca="1" si="72"/>
        <v>1985.5580962706399</v>
      </c>
      <c r="R172" s="8">
        <f t="shared" ca="1" si="73"/>
        <v>1799.2573567477154</v>
      </c>
      <c r="S172" s="5">
        <f t="shared" ca="1" si="74"/>
        <v>-4.2952556151891835E-2</v>
      </c>
      <c r="T172">
        <f t="shared" ca="1" si="75"/>
        <v>6.1737049982013036E-2</v>
      </c>
      <c r="U172" s="5">
        <f t="shared" ca="1" si="76"/>
        <v>4.323705228448111E-2</v>
      </c>
    </row>
    <row r="173" spans="2:21" x14ac:dyDescent="0.25">
      <c r="B173">
        <f t="shared" si="59"/>
        <v>170</v>
      </c>
      <c r="C173">
        <f>C172</f>
        <v>15</v>
      </c>
      <c r="D173">
        <v>2</v>
      </c>
      <c r="E173" s="5">
        <f t="shared" ca="1" si="60"/>
        <v>8.8669999999999999E-3</v>
      </c>
      <c r="F173" s="5">
        <f t="shared" ca="1" si="61"/>
        <v>9.8099999999999993E-3</v>
      </c>
      <c r="G173" s="5">
        <f t="shared" ca="1" si="62"/>
        <v>1.1109000000000001E-2</v>
      </c>
      <c r="H173" s="5">
        <f t="shared" ca="1" si="63"/>
        <v>1.1790999999999999E-2</v>
      </c>
      <c r="I173" s="5">
        <f t="shared" ca="1" si="64"/>
        <v>1.2367E-2</v>
      </c>
      <c r="J173" s="5">
        <f t="shared" ca="1" si="65"/>
        <v>1.4602E-2</v>
      </c>
      <c r="K173" s="5">
        <f t="shared" ca="1" si="66"/>
        <v>1.7149000000000001E-2</v>
      </c>
      <c r="L173" s="5">
        <f t="shared" ca="1" si="67"/>
        <v>1.9401999999999999E-2</v>
      </c>
      <c r="M173" s="5">
        <f t="shared" ca="1" si="68"/>
        <v>2.1788999999999999E-2</v>
      </c>
      <c r="N173" s="5">
        <f t="shared" ca="1" si="69"/>
        <v>2.6168E-2</v>
      </c>
      <c r="O173" s="5">
        <f t="shared" ca="1" si="70"/>
        <v>2.8997999999999999E-2</v>
      </c>
      <c r="P173" s="8">
        <f t="shared" ca="1" si="71"/>
        <v>1006.2639832758454</v>
      </c>
      <c r="Q173" s="8">
        <f t="shared" ca="1" si="72"/>
        <v>1996.46004560607</v>
      </c>
      <c r="R173" s="8">
        <f t="shared" ca="1" si="73"/>
        <v>1805.9014345441094</v>
      </c>
      <c r="S173" s="5">
        <f t="shared" ca="1" si="74"/>
        <v>-5.2090032020299305E-2</v>
      </c>
      <c r="T173">
        <f t="shared" ca="1" si="75"/>
        <v>6.7914033189364217E-2</v>
      </c>
      <c r="U173" s="5">
        <f t="shared" ca="1" si="76"/>
        <v>4.5223271877969796E-2</v>
      </c>
    </row>
    <row r="174" spans="2:21" x14ac:dyDescent="0.25">
      <c r="B174">
        <f t="shared" si="59"/>
        <v>171</v>
      </c>
      <c r="C174">
        <f t="shared" ref="C174:C183" si="83">C173</f>
        <v>15</v>
      </c>
      <c r="D174">
        <v>3</v>
      </c>
      <c r="E174" s="5">
        <f t="shared" ca="1" si="60"/>
        <v>8.9020000000000002E-3</v>
      </c>
      <c r="F174" s="5">
        <f t="shared" ca="1" si="61"/>
        <v>9.8359999999999993E-3</v>
      </c>
      <c r="G174" s="5">
        <f t="shared" ca="1" si="62"/>
        <v>1.1142000000000001E-2</v>
      </c>
      <c r="H174" s="5">
        <f t="shared" ca="1" si="63"/>
        <v>1.1878E-2</v>
      </c>
      <c r="I174" s="5">
        <f t="shared" ca="1" si="64"/>
        <v>1.2409E-2</v>
      </c>
      <c r="J174" s="5">
        <f t="shared" ca="1" si="65"/>
        <v>1.4692999999999999E-2</v>
      </c>
      <c r="K174" s="5">
        <f t="shared" ca="1" si="66"/>
        <v>1.7128999999999998E-2</v>
      </c>
      <c r="L174" s="5">
        <f t="shared" ca="1" si="67"/>
        <v>1.9476E-2</v>
      </c>
      <c r="M174" s="5">
        <f t="shared" ca="1" si="68"/>
        <v>2.1708999999999999E-2</v>
      </c>
      <c r="N174" s="5">
        <f t="shared" ca="1" si="69"/>
        <v>2.6268E-2</v>
      </c>
      <c r="O174" s="5">
        <f t="shared" ca="1" si="70"/>
        <v>2.8979000000000001E-2</v>
      </c>
      <c r="P174" s="8">
        <f t="shared" ca="1" si="71"/>
        <v>1007.5070341990962</v>
      </c>
      <c r="Q174" s="8">
        <f t="shared" ca="1" si="72"/>
        <v>2001.8511208501816</v>
      </c>
      <c r="R174" s="8">
        <f t="shared" ca="1" si="73"/>
        <v>1813.1556621341056</v>
      </c>
      <c r="S174" s="5">
        <f t="shared" ca="1" si="74"/>
        <v>1.4924887069823527E-2</v>
      </c>
      <c r="T174">
        <f t="shared" ca="1" si="75"/>
        <v>3.2889416709010064E-2</v>
      </c>
      <c r="U174" s="5">
        <f t="shared" ca="1" si="76"/>
        <v>4.9282840128293995E-2</v>
      </c>
    </row>
    <row r="175" spans="2:21" x14ac:dyDescent="0.25">
      <c r="B175">
        <f t="shared" si="59"/>
        <v>172</v>
      </c>
      <c r="C175">
        <f t="shared" si="83"/>
        <v>15</v>
      </c>
      <c r="D175">
        <f>D174+1</f>
        <v>4</v>
      </c>
      <c r="E175" s="5">
        <f t="shared" ca="1" si="60"/>
        <v>8.8990000000000007E-3</v>
      </c>
      <c r="F175" s="5">
        <f t="shared" ca="1" si="61"/>
        <v>9.9050000000000006E-3</v>
      </c>
      <c r="G175" s="5">
        <f t="shared" ca="1" si="62"/>
        <v>1.1231E-2</v>
      </c>
      <c r="H175" s="5">
        <f t="shared" ca="1" si="63"/>
        <v>1.1953999999999999E-2</v>
      </c>
      <c r="I175" s="5">
        <f t="shared" ca="1" si="64"/>
        <v>1.2354E-2</v>
      </c>
      <c r="J175" s="5">
        <f t="shared" ca="1" si="65"/>
        <v>1.4708000000000001E-2</v>
      </c>
      <c r="K175" s="5">
        <f t="shared" ca="1" si="66"/>
        <v>1.7038000000000001E-2</v>
      </c>
      <c r="L175" s="5">
        <f t="shared" ca="1" si="67"/>
        <v>1.9380999999999999E-2</v>
      </c>
      <c r="M175" s="5">
        <f t="shared" ca="1" si="68"/>
        <v>2.1770999999999999E-2</v>
      </c>
      <c r="N175" s="5">
        <f t="shared" ca="1" si="69"/>
        <v>2.6173999999999999E-2</v>
      </c>
      <c r="O175" s="5">
        <f t="shared" ca="1" si="70"/>
        <v>2.8895000000000001E-2</v>
      </c>
      <c r="P175" s="8">
        <f t="shared" ca="1" si="71"/>
        <v>1006.9496372844421</v>
      </c>
      <c r="Q175" s="8">
        <f t="shared" ca="1" si="72"/>
        <v>2009.4365175270057</v>
      </c>
      <c r="R175" s="8">
        <f t="shared" ca="1" si="73"/>
        <v>1819.8298095851185</v>
      </c>
      <c r="S175" s="5">
        <f t="shared" ca="1" si="74"/>
        <v>-6.6187603646509375E-3</v>
      </c>
      <c r="T175">
        <f t="shared" ca="1" si="75"/>
        <v>4.6429992365964928E-2</v>
      </c>
      <c r="U175" s="5">
        <f t="shared" ca="1" si="76"/>
        <v>4.5076807262315652E-2</v>
      </c>
    </row>
    <row r="176" spans="2:21" x14ac:dyDescent="0.25">
      <c r="B176">
        <f t="shared" si="59"/>
        <v>173</v>
      </c>
      <c r="C176">
        <f t="shared" si="83"/>
        <v>15</v>
      </c>
      <c r="D176">
        <f t="shared" ref="D176:D183" si="84">D175+1</f>
        <v>5</v>
      </c>
      <c r="E176" s="5">
        <f t="shared" ca="1" si="60"/>
        <v>8.9910000000000007E-3</v>
      </c>
      <c r="F176" s="5">
        <f t="shared" ca="1" si="61"/>
        <v>9.8930000000000008E-3</v>
      </c>
      <c r="G176" s="5">
        <f t="shared" ca="1" si="62"/>
        <v>1.1306999999999999E-2</v>
      </c>
      <c r="H176" s="5">
        <f t="shared" ca="1" si="63"/>
        <v>1.1965E-2</v>
      </c>
      <c r="I176" s="5">
        <f t="shared" ca="1" si="64"/>
        <v>1.2348E-2</v>
      </c>
      <c r="J176" s="5">
        <f t="shared" ca="1" si="65"/>
        <v>1.4798E-2</v>
      </c>
      <c r="K176" s="5">
        <f t="shared" ca="1" si="66"/>
        <v>1.7083999999999998E-2</v>
      </c>
      <c r="L176" s="5">
        <f t="shared" ca="1" si="67"/>
        <v>1.9479E-2</v>
      </c>
      <c r="M176" s="5">
        <f t="shared" ca="1" si="68"/>
        <v>2.1808999999999999E-2</v>
      </c>
      <c r="N176" s="5">
        <f t="shared" ca="1" si="69"/>
        <v>2.6144000000000001E-2</v>
      </c>
      <c r="O176" s="5">
        <f t="shared" ca="1" si="70"/>
        <v>2.8885999999999998E-2</v>
      </c>
      <c r="P176" s="8">
        <f t="shared" ca="1" si="71"/>
        <v>1005.7389323614042</v>
      </c>
      <c r="Q176" s="8">
        <f t="shared" ca="1" si="72"/>
        <v>2017.9775416427224</v>
      </c>
      <c r="R176" s="8">
        <f t="shared" ca="1" si="73"/>
        <v>1826.0045172707012</v>
      </c>
      <c r="S176" s="5">
        <f t="shared" ca="1" si="74"/>
        <v>-1.4333157313720084E-2</v>
      </c>
      <c r="T176">
        <f t="shared" ca="1" si="75"/>
        <v>5.2214925723887369E-2</v>
      </c>
      <c r="U176" s="5">
        <f t="shared" ca="1" si="76"/>
        <v>4.1484653258148027E-2</v>
      </c>
    </row>
    <row r="177" spans="2:21" x14ac:dyDescent="0.25">
      <c r="B177">
        <f t="shared" si="59"/>
        <v>174</v>
      </c>
      <c r="C177">
        <f t="shared" si="83"/>
        <v>15</v>
      </c>
      <c r="D177">
        <f t="shared" si="84"/>
        <v>6</v>
      </c>
      <c r="E177" s="5">
        <f t="shared" ca="1" si="60"/>
        <v>8.9009999999999992E-3</v>
      </c>
      <c r="F177" s="5">
        <f t="shared" ca="1" si="61"/>
        <v>9.8370000000000003E-3</v>
      </c>
      <c r="G177" s="5">
        <f t="shared" ca="1" si="62"/>
        <v>1.1403999999999999E-2</v>
      </c>
      <c r="H177" s="5">
        <f t="shared" ca="1" si="63"/>
        <v>1.1979999999999999E-2</v>
      </c>
      <c r="I177" s="5">
        <f t="shared" ca="1" si="64"/>
        <v>1.2267999999999999E-2</v>
      </c>
      <c r="J177" s="5">
        <f t="shared" ca="1" si="65"/>
        <v>1.486E-2</v>
      </c>
      <c r="K177" s="5">
        <f t="shared" ca="1" si="66"/>
        <v>1.7097999999999999E-2</v>
      </c>
      <c r="L177" s="5">
        <f t="shared" ca="1" si="67"/>
        <v>1.9418000000000001E-2</v>
      </c>
      <c r="M177" s="5">
        <f t="shared" ca="1" si="68"/>
        <v>2.1756000000000001E-2</v>
      </c>
      <c r="N177" s="5">
        <f t="shared" ca="1" si="69"/>
        <v>2.6151000000000001E-2</v>
      </c>
      <c r="O177" s="5">
        <f t="shared" ca="1" si="70"/>
        <v>2.8948999999999999E-2</v>
      </c>
      <c r="P177" s="8">
        <f t="shared" ca="1" si="71"/>
        <v>1006.4724354064228</v>
      </c>
      <c r="Q177" s="8">
        <f t="shared" ca="1" si="72"/>
        <v>2029.084225878127</v>
      </c>
      <c r="R177" s="8">
        <f t="shared" ca="1" si="73"/>
        <v>1831.7480302557644</v>
      </c>
      <c r="S177" s="5">
        <f t="shared" ca="1" si="74"/>
        <v>8.7870016449037303E-3</v>
      </c>
      <c r="T177">
        <f t="shared" ca="1" si="75"/>
        <v>6.8082877209870468E-2</v>
      </c>
      <c r="U177" s="5">
        <f t="shared" ca="1" si="76"/>
        <v>3.8404657580110801E-2</v>
      </c>
    </row>
    <row r="178" spans="2:21" x14ac:dyDescent="0.25">
      <c r="B178">
        <f t="shared" si="59"/>
        <v>175</v>
      </c>
      <c r="C178">
        <f t="shared" si="83"/>
        <v>15</v>
      </c>
      <c r="D178">
        <f t="shared" si="84"/>
        <v>7</v>
      </c>
      <c r="E178" s="5">
        <f t="shared" ca="1" si="60"/>
        <v>8.8299999999999993E-3</v>
      </c>
      <c r="F178" s="5">
        <f t="shared" ca="1" si="61"/>
        <v>9.9319999999999999E-3</v>
      </c>
      <c r="G178" s="5">
        <f t="shared" ca="1" si="62"/>
        <v>1.1369000000000001E-2</v>
      </c>
      <c r="H178" s="5">
        <f t="shared" ca="1" si="63"/>
        <v>1.1979E-2</v>
      </c>
      <c r="I178" s="5">
        <f t="shared" ca="1" si="64"/>
        <v>1.2213999999999999E-2</v>
      </c>
      <c r="J178" s="5">
        <f t="shared" ca="1" si="65"/>
        <v>1.4886999999999999E-2</v>
      </c>
      <c r="K178" s="5">
        <f t="shared" ca="1" si="66"/>
        <v>1.703E-2</v>
      </c>
      <c r="L178" s="5">
        <f t="shared" ca="1" si="67"/>
        <v>1.9356000000000002E-2</v>
      </c>
      <c r="M178" s="5">
        <f t="shared" ca="1" si="68"/>
        <v>2.172E-2</v>
      </c>
      <c r="N178" s="5">
        <f t="shared" ca="1" si="69"/>
        <v>2.6120999999999998E-2</v>
      </c>
      <c r="O178" s="5">
        <f t="shared" ca="1" si="70"/>
        <v>2.8995E-2</v>
      </c>
      <c r="P178" s="8">
        <f t="shared" ca="1" si="71"/>
        <v>1005.3520013329772</v>
      </c>
      <c r="Q178" s="8">
        <f t="shared" ca="1" si="72"/>
        <v>2039.5677961361607</v>
      </c>
      <c r="R178" s="8">
        <f t="shared" ca="1" si="73"/>
        <v>1838.2087565955467</v>
      </c>
      <c r="S178" s="5">
        <f t="shared" ca="1" si="74"/>
        <v>-1.3277255650949688E-2</v>
      </c>
      <c r="T178">
        <f t="shared" ca="1" si="75"/>
        <v>6.3792334055960354E-2</v>
      </c>
      <c r="U178" s="5">
        <f t="shared" ca="1" si="76"/>
        <v>4.3155780165749218E-2</v>
      </c>
    </row>
    <row r="179" spans="2:21" x14ac:dyDescent="0.25">
      <c r="B179">
        <f t="shared" si="59"/>
        <v>176</v>
      </c>
      <c r="C179">
        <f t="shared" si="83"/>
        <v>15</v>
      </c>
      <c r="D179">
        <f t="shared" si="84"/>
        <v>8</v>
      </c>
      <c r="E179" s="5">
        <f t="shared" ca="1" si="60"/>
        <v>8.9149999999999993E-3</v>
      </c>
      <c r="F179" s="5">
        <f t="shared" ca="1" si="61"/>
        <v>9.8510000000000004E-3</v>
      </c>
      <c r="G179" s="5">
        <f t="shared" ca="1" si="62"/>
        <v>1.1362000000000001E-2</v>
      </c>
      <c r="H179" s="5">
        <f t="shared" ca="1" si="63"/>
        <v>1.2064E-2</v>
      </c>
      <c r="I179" s="5">
        <f t="shared" ca="1" si="64"/>
        <v>1.2146000000000001E-2</v>
      </c>
      <c r="J179" s="5">
        <f t="shared" ca="1" si="65"/>
        <v>1.4874999999999999E-2</v>
      </c>
      <c r="K179" s="5">
        <f t="shared" ca="1" si="66"/>
        <v>1.6947E-2</v>
      </c>
      <c r="L179" s="5">
        <f t="shared" ca="1" si="67"/>
        <v>1.9432999999999999E-2</v>
      </c>
      <c r="M179" s="5">
        <f t="shared" ca="1" si="68"/>
        <v>2.1752000000000001E-2</v>
      </c>
      <c r="N179" s="5">
        <f t="shared" ca="1" si="69"/>
        <v>2.6032E-2</v>
      </c>
      <c r="O179" s="5">
        <f t="shared" ca="1" si="70"/>
        <v>2.8913999999999999E-2</v>
      </c>
      <c r="P179" s="8">
        <f t="shared" ca="1" si="71"/>
        <v>1002.8083336999235</v>
      </c>
      <c r="Q179" s="8">
        <f t="shared" ca="1" si="72"/>
        <v>2046.6499593946194</v>
      </c>
      <c r="R179" s="8">
        <f t="shared" ca="1" si="73"/>
        <v>1844.7119438998866</v>
      </c>
      <c r="S179" s="5">
        <f t="shared" ca="1" si="74"/>
        <v>-2.9942558179205856E-2</v>
      </c>
      <c r="T179">
        <f t="shared" ca="1" si="75"/>
        <v>4.2473687223136262E-2</v>
      </c>
      <c r="U179" s="5">
        <f t="shared" ca="1" si="76"/>
        <v>4.3289289763713698E-2</v>
      </c>
    </row>
    <row r="180" spans="2:21" x14ac:dyDescent="0.25">
      <c r="B180">
        <f t="shared" si="59"/>
        <v>177</v>
      </c>
      <c r="C180">
        <f t="shared" si="83"/>
        <v>15</v>
      </c>
      <c r="D180">
        <f t="shared" si="84"/>
        <v>9</v>
      </c>
      <c r="E180" s="5">
        <f t="shared" ca="1" si="60"/>
        <v>8.9589999999999999E-3</v>
      </c>
      <c r="F180" s="5">
        <f t="shared" ca="1" si="61"/>
        <v>9.7949999999999999E-3</v>
      </c>
      <c r="G180" s="5">
        <f t="shared" ca="1" si="62"/>
        <v>1.141E-2</v>
      </c>
      <c r="H180" s="5">
        <f t="shared" ca="1" si="63"/>
        <v>1.2011000000000001E-2</v>
      </c>
      <c r="I180" s="5">
        <f t="shared" ca="1" si="64"/>
        <v>1.2088E-2</v>
      </c>
      <c r="J180" s="5">
        <f t="shared" ca="1" si="65"/>
        <v>1.4881999999999999E-2</v>
      </c>
      <c r="K180" s="5">
        <f t="shared" ca="1" si="66"/>
        <v>1.6979999999999999E-2</v>
      </c>
      <c r="L180" s="5">
        <f t="shared" ca="1" si="67"/>
        <v>1.9460999999999999E-2</v>
      </c>
      <c r="M180" s="5">
        <f t="shared" ca="1" si="68"/>
        <v>2.1802999999999999E-2</v>
      </c>
      <c r="N180" s="5">
        <f t="shared" ca="1" si="69"/>
        <v>2.5989000000000002E-2</v>
      </c>
      <c r="O180" s="5">
        <f t="shared" ca="1" si="70"/>
        <v>2.8823999999999999E-2</v>
      </c>
      <c r="P180" s="8">
        <f t="shared" ca="1" si="71"/>
        <v>999.33536992026654</v>
      </c>
      <c r="Q180" s="8">
        <f t="shared" ca="1" si="72"/>
        <v>2056.5803085034004</v>
      </c>
      <c r="R180" s="8">
        <f t="shared" ca="1" si="73"/>
        <v>1850.7495336435534</v>
      </c>
      <c r="S180" s="5">
        <f t="shared" ca="1" si="74"/>
        <v>-4.0776316714331386E-2</v>
      </c>
      <c r="T180">
        <f t="shared" ca="1" si="75"/>
        <v>5.9803193394803673E-2</v>
      </c>
      <c r="U180" s="5">
        <f t="shared" ca="1" si="76"/>
        <v>3.9989769696930709E-2</v>
      </c>
    </row>
    <row r="181" spans="2:21" x14ac:dyDescent="0.25">
      <c r="B181">
        <f t="shared" si="59"/>
        <v>178</v>
      </c>
      <c r="C181">
        <f t="shared" si="83"/>
        <v>15</v>
      </c>
      <c r="D181">
        <f t="shared" si="84"/>
        <v>10</v>
      </c>
      <c r="E181" s="5">
        <f t="shared" ca="1" si="60"/>
        <v>8.9090000000000003E-3</v>
      </c>
      <c r="F181" s="5">
        <f t="shared" ca="1" si="61"/>
        <v>9.7640000000000001E-3</v>
      </c>
      <c r="G181" s="5">
        <f t="shared" ca="1" si="62"/>
        <v>1.1318999999999999E-2</v>
      </c>
      <c r="H181" s="5">
        <f t="shared" ca="1" si="63"/>
        <v>1.1955E-2</v>
      </c>
      <c r="I181" s="5">
        <f t="shared" ca="1" si="64"/>
        <v>1.2118E-2</v>
      </c>
      <c r="J181" s="5">
        <f t="shared" ca="1" si="65"/>
        <v>1.4834E-2</v>
      </c>
      <c r="K181" s="5">
        <f t="shared" ca="1" si="66"/>
        <v>1.7038000000000001E-2</v>
      </c>
      <c r="L181" s="5">
        <f t="shared" ca="1" si="67"/>
        <v>1.9550999999999999E-2</v>
      </c>
      <c r="M181" s="5">
        <f t="shared" ca="1" si="68"/>
        <v>2.1722000000000002E-2</v>
      </c>
      <c r="N181" s="5">
        <f t="shared" ca="1" si="69"/>
        <v>2.5999000000000001E-2</v>
      </c>
      <c r="O181" s="5">
        <f t="shared" ca="1" si="70"/>
        <v>2.8899000000000001E-2</v>
      </c>
      <c r="P181" s="8">
        <f t="shared" ca="1" si="71"/>
        <v>999.24570879030125</v>
      </c>
      <c r="Q181" s="8">
        <f t="shared" ca="1" si="72"/>
        <v>2067.4296589403361</v>
      </c>
      <c r="R181" s="8">
        <f t="shared" ca="1" si="73"/>
        <v>1856.939331894597</v>
      </c>
      <c r="S181" s="5">
        <f t="shared" ca="1" si="74"/>
        <v>-1.0761180040543498E-3</v>
      </c>
      <c r="T181">
        <f t="shared" ca="1" si="75"/>
        <v>6.5174667638638509E-2</v>
      </c>
      <c r="U181" s="5">
        <f t="shared" ca="1" si="76"/>
        <v>4.088032170771979E-2</v>
      </c>
    </row>
    <row r="182" spans="2:21" x14ac:dyDescent="0.25">
      <c r="B182">
        <f t="shared" si="59"/>
        <v>179</v>
      </c>
      <c r="C182">
        <f t="shared" si="83"/>
        <v>15</v>
      </c>
      <c r="D182">
        <f t="shared" si="84"/>
        <v>11</v>
      </c>
      <c r="E182" s="5">
        <f t="shared" ca="1" si="60"/>
        <v>8.8610000000000008E-3</v>
      </c>
      <c r="F182" s="5">
        <f t="shared" ca="1" si="61"/>
        <v>9.8069999999999997E-3</v>
      </c>
      <c r="G182" s="5">
        <f t="shared" ca="1" si="62"/>
        <v>1.1304E-2</v>
      </c>
      <c r="H182" s="5">
        <f t="shared" ca="1" si="63"/>
        <v>1.1995E-2</v>
      </c>
      <c r="I182" s="5">
        <f t="shared" ca="1" si="64"/>
        <v>1.2102999999999999E-2</v>
      </c>
      <c r="J182" s="5">
        <f t="shared" ca="1" si="65"/>
        <v>1.4742E-2</v>
      </c>
      <c r="K182" s="5">
        <f t="shared" ca="1" si="66"/>
        <v>1.7124E-2</v>
      </c>
      <c r="L182" s="5">
        <f t="shared" ca="1" si="67"/>
        <v>1.9616999999999999E-2</v>
      </c>
      <c r="M182" s="5">
        <f t="shared" ca="1" si="68"/>
        <v>2.1766000000000001E-2</v>
      </c>
      <c r="N182" s="5">
        <f t="shared" ca="1" si="69"/>
        <v>2.5922000000000001E-2</v>
      </c>
      <c r="O182" s="5">
        <f t="shared" ca="1" si="70"/>
        <v>2.8969000000000002E-2</v>
      </c>
      <c r="P182" s="8">
        <f t="shared" ca="1" si="71"/>
        <v>1003.1385542779072</v>
      </c>
      <c r="Q182" s="8">
        <f t="shared" ca="1" si="72"/>
        <v>2076.0170665904357</v>
      </c>
      <c r="R182" s="8">
        <f t="shared" ca="1" si="73"/>
        <v>1862.6869703973678</v>
      </c>
      <c r="S182" s="5">
        <f t="shared" ca="1" si="74"/>
        <v>4.7764221956108015E-2</v>
      </c>
      <c r="T182">
        <f t="shared" ca="1" si="75"/>
        <v>5.0998572162096183E-2</v>
      </c>
      <c r="U182" s="5">
        <f t="shared" ca="1" si="76"/>
        <v>3.7781533284830367E-2</v>
      </c>
    </row>
    <row r="183" spans="2:21" x14ac:dyDescent="0.25">
      <c r="B183">
        <f t="shared" si="59"/>
        <v>180</v>
      </c>
      <c r="C183">
        <f t="shared" si="83"/>
        <v>15</v>
      </c>
      <c r="D183">
        <f t="shared" si="84"/>
        <v>12</v>
      </c>
      <c r="E183" s="5">
        <f t="shared" ca="1" si="60"/>
        <v>8.8590000000000006E-3</v>
      </c>
      <c r="F183" s="5">
        <f t="shared" ca="1" si="61"/>
        <v>9.8910000000000005E-3</v>
      </c>
      <c r="G183" s="5">
        <f t="shared" ca="1" si="62"/>
        <v>1.1384999999999999E-2</v>
      </c>
      <c r="H183" s="5">
        <f t="shared" ca="1" si="63"/>
        <v>1.1950000000000001E-2</v>
      </c>
      <c r="I183" s="5">
        <f t="shared" ca="1" si="64"/>
        <v>1.2137999999999999E-2</v>
      </c>
      <c r="J183" s="5">
        <f t="shared" ca="1" si="65"/>
        <v>1.4763999999999999E-2</v>
      </c>
      <c r="K183" s="5">
        <f t="shared" ca="1" si="66"/>
        <v>1.7106E-2</v>
      </c>
      <c r="L183" s="5">
        <f t="shared" ca="1" si="67"/>
        <v>1.9706000000000001E-2</v>
      </c>
      <c r="M183" s="5">
        <f t="shared" ca="1" si="68"/>
        <v>2.1833999999999999E-2</v>
      </c>
      <c r="N183" s="5">
        <f t="shared" ca="1" si="69"/>
        <v>2.6013000000000001E-2</v>
      </c>
      <c r="O183" s="5">
        <f t="shared" ca="1" si="70"/>
        <v>2.9024999999999999E-2</v>
      </c>
      <c r="P183" s="8">
        <f t="shared" ca="1" si="71"/>
        <v>1003.8098025791822</v>
      </c>
      <c r="Q183" s="8">
        <f t="shared" ca="1" si="72"/>
        <v>2081.6768734775537</v>
      </c>
      <c r="R183" s="8">
        <f t="shared" ca="1" si="73"/>
        <v>1868.4608343743434</v>
      </c>
      <c r="S183" s="5">
        <f t="shared" ca="1" si="74"/>
        <v>8.0593958469314872E-3</v>
      </c>
      <c r="T183">
        <f t="shared" ca="1" si="75"/>
        <v>3.3210415515173029E-2</v>
      </c>
      <c r="U183" s="5">
        <f t="shared" ca="1" si="76"/>
        <v>3.7837756335480449E-2</v>
      </c>
    </row>
    <row r="184" spans="2:21" x14ac:dyDescent="0.25">
      <c r="B184">
        <f t="shared" si="59"/>
        <v>181</v>
      </c>
      <c r="C184">
        <f>C183+1</f>
        <v>16</v>
      </c>
      <c r="D184">
        <v>1</v>
      </c>
      <c r="E184" s="5">
        <f t="shared" ca="1" si="60"/>
        <v>8.8629999999999994E-3</v>
      </c>
      <c r="F184" s="5">
        <f t="shared" ca="1" si="61"/>
        <v>9.8600000000000007E-3</v>
      </c>
      <c r="G184" s="5">
        <f t="shared" ca="1" si="62"/>
        <v>1.1357000000000001E-2</v>
      </c>
      <c r="H184" s="5">
        <f t="shared" ca="1" si="63"/>
        <v>1.2023000000000001E-2</v>
      </c>
      <c r="I184" s="5">
        <f t="shared" ca="1" si="64"/>
        <v>1.2179000000000001E-2</v>
      </c>
      <c r="J184" s="5">
        <f t="shared" ca="1" si="65"/>
        <v>1.4785E-2</v>
      </c>
      <c r="K184" s="5">
        <f t="shared" ca="1" si="66"/>
        <v>1.7038999999999999E-2</v>
      </c>
      <c r="L184" s="5">
        <f t="shared" ca="1" si="67"/>
        <v>1.9654999999999999E-2</v>
      </c>
      <c r="M184" s="5">
        <f t="shared" ca="1" si="68"/>
        <v>2.1769E-2</v>
      </c>
      <c r="N184" s="5">
        <f t="shared" ca="1" si="69"/>
        <v>2.6009999999999998E-2</v>
      </c>
      <c r="O184" s="5">
        <f t="shared" ca="1" si="70"/>
        <v>2.9096E-2</v>
      </c>
      <c r="P184" s="8">
        <f t="shared" ca="1" si="71"/>
        <v>1007.7681030428536</v>
      </c>
      <c r="Q184" s="8">
        <f t="shared" ca="1" si="72"/>
        <v>2091.4566086484538</v>
      </c>
      <c r="R184" s="8">
        <f t="shared" ca="1" si="73"/>
        <v>1874.1687791678369</v>
      </c>
      <c r="S184" s="5">
        <f t="shared" ca="1" si="74"/>
        <v>4.8359200966080179E-2</v>
      </c>
      <c r="T184">
        <f t="shared" ca="1" si="75"/>
        <v>5.7855858847453888E-2</v>
      </c>
      <c r="U184" s="5">
        <f t="shared" ca="1" si="76"/>
        <v>3.728094710211835E-2</v>
      </c>
    </row>
    <row r="185" spans="2:21" x14ac:dyDescent="0.25">
      <c r="B185">
        <f t="shared" si="59"/>
        <v>182</v>
      </c>
      <c r="C185">
        <f>C184</f>
        <v>16</v>
      </c>
      <c r="D185">
        <v>2</v>
      </c>
      <c r="E185" s="5">
        <f t="shared" ca="1" si="60"/>
        <v>8.7950000000000007E-3</v>
      </c>
      <c r="F185" s="5">
        <f t="shared" ca="1" si="61"/>
        <v>9.9389999999999999E-3</v>
      </c>
      <c r="G185" s="5">
        <f t="shared" ca="1" si="62"/>
        <v>1.1301E-2</v>
      </c>
      <c r="H185" s="5">
        <f t="shared" ca="1" si="63"/>
        <v>1.1951E-2</v>
      </c>
      <c r="I185" s="5">
        <f t="shared" ca="1" si="64"/>
        <v>1.2101000000000001E-2</v>
      </c>
      <c r="J185" s="5">
        <f t="shared" ca="1" si="65"/>
        <v>1.4800000000000001E-2</v>
      </c>
      <c r="K185" s="5">
        <f t="shared" ca="1" si="66"/>
        <v>1.6945000000000002E-2</v>
      </c>
      <c r="L185" s="5">
        <f t="shared" ca="1" si="67"/>
        <v>1.9651999999999999E-2</v>
      </c>
      <c r="M185" s="5">
        <f t="shared" ca="1" si="68"/>
        <v>2.181E-2</v>
      </c>
      <c r="N185" s="5">
        <f t="shared" ca="1" si="69"/>
        <v>2.5937999999999999E-2</v>
      </c>
      <c r="O185" s="5">
        <f t="shared" ca="1" si="70"/>
        <v>2.9132999999999999E-2</v>
      </c>
      <c r="P185" s="8">
        <f t="shared" ca="1" si="71"/>
        <v>1005.5829745183119</v>
      </c>
      <c r="Q185" s="8">
        <f t="shared" ca="1" si="72"/>
        <v>2098.3010085793171</v>
      </c>
      <c r="R185" s="8">
        <f t="shared" ca="1" si="73"/>
        <v>1880.559473002116</v>
      </c>
      <c r="S185" s="5">
        <f t="shared" ca="1" si="74"/>
        <v>-2.5711356185275459E-2</v>
      </c>
      <c r="T185">
        <f t="shared" ca="1" si="75"/>
        <v>3.9985221514500069E-2</v>
      </c>
      <c r="U185" s="5">
        <f t="shared" ca="1" si="76"/>
        <v>4.1694771608381483E-2</v>
      </c>
    </row>
    <row r="186" spans="2:21" x14ac:dyDescent="0.25">
      <c r="B186">
        <f t="shared" si="59"/>
        <v>183</v>
      </c>
      <c r="C186">
        <f t="shared" ref="C186:C195" si="85">C185</f>
        <v>16</v>
      </c>
      <c r="D186">
        <v>3</v>
      </c>
      <c r="E186" s="5">
        <f t="shared" ca="1" si="60"/>
        <v>8.8039999999999993E-3</v>
      </c>
      <c r="F186" s="5">
        <f t="shared" ca="1" si="61"/>
        <v>1.0003E-2</v>
      </c>
      <c r="G186" s="5">
        <f t="shared" ca="1" si="62"/>
        <v>1.1328E-2</v>
      </c>
      <c r="H186" s="5">
        <f t="shared" ca="1" si="63"/>
        <v>1.1889E-2</v>
      </c>
      <c r="I186" s="5">
        <f t="shared" ca="1" si="64"/>
        <v>1.2052999999999999E-2</v>
      </c>
      <c r="J186" s="5">
        <f t="shared" ca="1" si="65"/>
        <v>1.4777E-2</v>
      </c>
      <c r="K186" s="5">
        <f t="shared" ca="1" si="66"/>
        <v>1.6892999999999998E-2</v>
      </c>
      <c r="L186" s="5">
        <f t="shared" ca="1" si="67"/>
        <v>1.9573E-2</v>
      </c>
      <c r="M186" s="5">
        <f t="shared" ca="1" si="68"/>
        <v>2.1715000000000002E-2</v>
      </c>
      <c r="N186" s="5">
        <f t="shared" ca="1" si="69"/>
        <v>2.5877000000000001E-2</v>
      </c>
      <c r="O186" s="5">
        <f t="shared" ca="1" si="70"/>
        <v>2.9215999999999999E-2</v>
      </c>
      <c r="P186" s="8">
        <f t="shared" ca="1" si="71"/>
        <v>1005.1644191739833</v>
      </c>
      <c r="Q186" s="8">
        <f t="shared" ca="1" si="72"/>
        <v>2103.8796320281708</v>
      </c>
      <c r="R186" s="8">
        <f t="shared" ca="1" si="73"/>
        <v>1886.5703219314041</v>
      </c>
      <c r="S186" s="5">
        <f t="shared" ca="1" si="74"/>
        <v>-4.9833598474963662E-3</v>
      </c>
      <c r="T186">
        <f t="shared" ca="1" si="75"/>
        <v>3.2374330456795587E-2</v>
      </c>
      <c r="U186" s="5">
        <f t="shared" ca="1" si="76"/>
        <v>3.903722421334662E-2</v>
      </c>
    </row>
    <row r="187" spans="2:21" x14ac:dyDescent="0.25">
      <c r="B187">
        <f t="shared" si="59"/>
        <v>184</v>
      </c>
      <c r="C187">
        <f t="shared" si="85"/>
        <v>16</v>
      </c>
      <c r="D187">
        <f>D186+1</f>
        <v>4</v>
      </c>
      <c r="E187" s="5">
        <f t="shared" ca="1" si="60"/>
        <v>8.8540000000000008E-3</v>
      </c>
      <c r="F187" s="5">
        <f t="shared" ca="1" si="61"/>
        <v>9.9430000000000004E-3</v>
      </c>
      <c r="G187" s="5">
        <f t="shared" ca="1" si="62"/>
        <v>1.1292999999999999E-2</v>
      </c>
      <c r="H187" s="5">
        <f t="shared" ca="1" si="63"/>
        <v>1.1835999999999999E-2</v>
      </c>
      <c r="I187" s="5">
        <f t="shared" ca="1" si="64"/>
        <v>1.2130999999999999E-2</v>
      </c>
      <c r="J187" s="5">
        <f t="shared" ca="1" si="65"/>
        <v>1.4777999999999999E-2</v>
      </c>
      <c r="K187" s="5">
        <f t="shared" ca="1" si="66"/>
        <v>1.6930000000000001E-2</v>
      </c>
      <c r="L187" s="5">
        <f t="shared" ca="1" si="67"/>
        <v>1.9615E-2</v>
      </c>
      <c r="M187" s="5">
        <f t="shared" ca="1" si="68"/>
        <v>2.1668E-2</v>
      </c>
      <c r="N187" s="5">
        <f t="shared" ca="1" si="69"/>
        <v>2.5786E-2</v>
      </c>
      <c r="O187" s="5">
        <f t="shared" ca="1" si="70"/>
        <v>2.9218999999999998E-2</v>
      </c>
      <c r="P187" s="8">
        <f t="shared" ca="1" si="71"/>
        <v>1002.137721239244</v>
      </c>
      <c r="Q187" s="8">
        <f t="shared" ca="1" si="72"/>
        <v>2114.3009326568817</v>
      </c>
      <c r="R187" s="8">
        <f t="shared" ca="1" si="73"/>
        <v>1892.4820893956232</v>
      </c>
      <c r="S187" s="5">
        <f t="shared" ca="1" si="74"/>
        <v>-3.5541308811630742E-2</v>
      </c>
      <c r="T187">
        <f t="shared" ca="1" si="75"/>
        <v>6.1086884232891311E-2</v>
      </c>
      <c r="U187" s="5">
        <f t="shared" ca="1" si="76"/>
        <v>3.825817151537967E-2</v>
      </c>
    </row>
    <row r="188" spans="2:21" x14ac:dyDescent="0.25">
      <c r="B188">
        <f t="shared" si="59"/>
        <v>185</v>
      </c>
      <c r="C188">
        <f t="shared" si="85"/>
        <v>16</v>
      </c>
      <c r="D188">
        <f t="shared" ref="D188:D195" si="86">D187+1</f>
        <v>5</v>
      </c>
      <c r="E188" s="5">
        <f t="shared" ca="1" si="60"/>
        <v>8.8509999999999995E-3</v>
      </c>
      <c r="F188" s="5">
        <f t="shared" ca="1" si="61"/>
        <v>9.9769999999999998E-3</v>
      </c>
      <c r="G188" s="5">
        <f t="shared" ca="1" si="62"/>
        <v>1.1370999999999999E-2</v>
      </c>
      <c r="H188" s="5">
        <f t="shared" ca="1" si="63"/>
        <v>1.189E-2</v>
      </c>
      <c r="I188" s="5">
        <f t="shared" ca="1" si="64"/>
        <v>1.2106E-2</v>
      </c>
      <c r="J188" s="5">
        <f t="shared" ca="1" si="65"/>
        <v>1.4846E-2</v>
      </c>
      <c r="K188" s="5">
        <f t="shared" ca="1" si="66"/>
        <v>1.6976999999999999E-2</v>
      </c>
      <c r="L188" s="5">
        <f t="shared" ca="1" si="67"/>
        <v>1.9671999999999999E-2</v>
      </c>
      <c r="M188" s="5">
        <f t="shared" ca="1" si="68"/>
        <v>2.1651E-2</v>
      </c>
      <c r="N188" s="5">
        <f t="shared" ca="1" si="69"/>
        <v>2.5722999999999999E-2</v>
      </c>
      <c r="O188" s="5">
        <f t="shared" ca="1" si="70"/>
        <v>2.9250999999999999E-2</v>
      </c>
      <c r="P188" s="8">
        <f t="shared" ca="1" si="71"/>
        <v>1001.1072322396027</v>
      </c>
      <c r="Q188" s="8">
        <f t="shared" ca="1" si="72"/>
        <v>2123.0880668448858</v>
      </c>
      <c r="R188" s="8">
        <f t="shared" ca="1" si="73"/>
        <v>1898.6928183393261</v>
      </c>
      <c r="S188" s="5">
        <f t="shared" ca="1" si="74"/>
        <v>-1.2269941049253516E-2</v>
      </c>
      <c r="T188">
        <f t="shared" ca="1" si="75"/>
        <v>5.1028506436761406E-2</v>
      </c>
      <c r="U188" s="5">
        <f t="shared" ca="1" si="76"/>
        <v>4.0100144278810375E-2</v>
      </c>
    </row>
    <row r="189" spans="2:21" x14ac:dyDescent="0.25">
      <c r="B189">
        <f t="shared" si="59"/>
        <v>186</v>
      </c>
      <c r="C189">
        <f t="shared" si="85"/>
        <v>16</v>
      </c>
      <c r="D189">
        <f t="shared" si="86"/>
        <v>6</v>
      </c>
      <c r="E189" s="5">
        <f t="shared" ca="1" si="60"/>
        <v>8.7690000000000008E-3</v>
      </c>
      <c r="F189" s="5">
        <f t="shared" ca="1" si="61"/>
        <v>9.9979999999999999E-3</v>
      </c>
      <c r="G189" s="5">
        <f t="shared" ca="1" si="62"/>
        <v>1.1291000000000001E-2</v>
      </c>
      <c r="H189" s="5">
        <f t="shared" ca="1" si="63"/>
        <v>1.1853000000000001E-2</v>
      </c>
      <c r="I189" s="5">
        <f t="shared" ca="1" si="64"/>
        <v>1.2128999999999999E-2</v>
      </c>
      <c r="J189" s="5">
        <f t="shared" ca="1" si="65"/>
        <v>1.486E-2</v>
      </c>
      <c r="K189" s="5">
        <f t="shared" ca="1" si="66"/>
        <v>1.7034000000000001E-2</v>
      </c>
      <c r="L189" s="5">
        <f t="shared" ca="1" si="67"/>
        <v>1.9764E-2</v>
      </c>
      <c r="M189" s="5">
        <f t="shared" ca="1" si="68"/>
        <v>2.1635999999999999E-2</v>
      </c>
      <c r="N189" s="5">
        <f t="shared" ca="1" si="69"/>
        <v>2.5669999999999998E-2</v>
      </c>
      <c r="O189" s="5">
        <f t="shared" ca="1" si="70"/>
        <v>2.9245E-2</v>
      </c>
      <c r="P189" s="8">
        <f t="shared" ca="1" si="71"/>
        <v>999.43182716526792</v>
      </c>
      <c r="Q189" s="8">
        <f t="shared" ca="1" si="72"/>
        <v>2132.393753306279</v>
      </c>
      <c r="R189" s="8">
        <f t="shared" ca="1" si="73"/>
        <v>1904.5255655308179</v>
      </c>
      <c r="S189" s="5">
        <f t="shared" ca="1" si="74"/>
        <v>-1.9898800834198486E-2</v>
      </c>
      <c r="T189">
        <f t="shared" ca="1" si="75"/>
        <v>5.3883749059670534E-2</v>
      </c>
      <c r="U189" s="5">
        <f t="shared" ca="1" si="76"/>
        <v>3.7493033645831161E-2</v>
      </c>
    </row>
    <row r="190" spans="2:21" x14ac:dyDescent="0.25">
      <c r="B190">
        <f t="shared" si="59"/>
        <v>187</v>
      </c>
      <c r="C190">
        <f t="shared" si="85"/>
        <v>16</v>
      </c>
      <c r="D190">
        <f t="shared" si="86"/>
        <v>7</v>
      </c>
      <c r="E190" s="5">
        <f t="shared" ca="1" si="60"/>
        <v>8.8059999999999996E-3</v>
      </c>
      <c r="F190" s="5">
        <f t="shared" ca="1" si="61"/>
        <v>9.9410000000000002E-3</v>
      </c>
      <c r="G190" s="5">
        <f t="shared" ca="1" si="62"/>
        <v>1.1361E-2</v>
      </c>
      <c r="H190" s="5">
        <f t="shared" ca="1" si="63"/>
        <v>1.1844E-2</v>
      </c>
      <c r="I190" s="5">
        <f t="shared" ca="1" si="64"/>
        <v>1.2181000000000001E-2</v>
      </c>
      <c r="J190" s="5">
        <f t="shared" ca="1" si="65"/>
        <v>1.4800000000000001E-2</v>
      </c>
      <c r="K190" s="5">
        <f t="shared" ca="1" si="66"/>
        <v>1.702E-2</v>
      </c>
      <c r="L190" s="5">
        <f t="shared" ca="1" si="67"/>
        <v>1.9727999999999999E-2</v>
      </c>
      <c r="M190" s="5">
        <f t="shared" ca="1" si="68"/>
        <v>2.1724E-2</v>
      </c>
      <c r="N190" s="5">
        <f t="shared" ca="1" si="69"/>
        <v>2.5638000000000001E-2</v>
      </c>
      <c r="O190" s="5">
        <f t="shared" ca="1" si="70"/>
        <v>2.9333999999999999E-2</v>
      </c>
      <c r="P190" s="8">
        <f t="shared" ca="1" si="71"/>
        <v>1002.5494060447559</v>
      </c>
      <c r="Q190" s="8">
        <f t="shared" ca="1" si="72"/>
        <v>2140.2911066541224</v>
      </c>
      <c r="R190" s="8">
        <f t="shared" ca="1" si="73"/>
        <v>1910.1485385395961</v>
      </c>
      <c r="S190" s="5">
        <f t="shared" ca="1" si="74"/>
        <v>3.8081142377423695E-2</v>
      </c>
      <c r="T190">
        <f t="shared" ca="1" si="75"/>
        <v>4.5358713096278654E-2</v>
      </c>
      <c r="U190" s="5">
        <f t="shared" ca="1" si="76"/>
        <v>3.6010136123805048E-2</v>
      </c>
    </row>
    <row r="191" spans="2:21" x14ac:dyDescent="0.25">
      <c r="B191">
        <f t="shared" si="59"/>
        <v>188</v>
      </c>
      <c r="C191">
        <f t="shared" si="85"/>
        <v>16</v>
      </c>
      <c r="D191">
        <f t="shared" si="86"/>
        <v>8</v>
      </c>
      <c r="E191" s="5">
        <f t="shared" ca="1" si="60"/>
        <v>8.7720000000000003E-3</v>
      </c>
      <c r="F191" s="5">
        <f t="shared" ca="1" si="61"/>
        <v>9.9039999999999996E-3</v>
      </c>
      <c r="G191" s="5">
        <f t="shared" ca="1" si="62"/>
        <v>1.1422E-2</v>
      </c>
      <c r="H191" s="5">
        <f t="shared" ca="1" si="63"/>
        <v>1.1901E-2</v>
      </c>
      <c r="I191" s="5">
        <f t="shared" ca="1" si="64"/>
        <v>1.2227E-2</v>
      </c>
      <c r="J191" s="5">
        <f t="shared" ca="1" si="65"/>
        <v>1.4789999999999999E-2</v>
      </c>
      <c r="K191" s="5">
        <f t="shared" ca="1" si="66"/>
        <v>1.7059000000000001E-2</v>
      </c>
      <c r="L191" s="5">
        <f t="shared" ca="1" si="67"/>
        <v>1.9788E-2</v>
      </c>
      <c r="M191" s="5">
        <f t="shared" ca="1" si="68"/>
        <v>2.1658E-2</v>
      </c>
      <c r="N191" s="5">
        <f t="shared" ca="1" si="69"/>
        <v>2.5703E-2</v>
      </c>
      <c r="O191" s="5">
        <f t="shared" ca="1" si="70"/>
        <v>2.9354999999999999E-2</v>
      </c>
      <c r="P191" s="8">
        <f t="shared" ca="1" si="71"/>
        <v>1003.513312772035</v>
      </c>
      <c r="Q191" s="8">
        <f t="shared" ca="1" si="72"/>
        <v>2148.7030565993255</v>
      </c>
      <c r="R191" s="8">
        <f t="shared" ca="1" si="73"/>
        <v>1915.4545300019356</v>
      </c>
      <c r="S191" s="5">
        <f t="shared" ca="1" si="74"/>
        <v>1.1598673183173848E-2</v>
      </c>
      <c r="T191">
        <f t="shared" ca="1" si="75"/>
        <v>4.81963827535654E-2</v>
      </c>
      <c r="U191" s="5">
        <f t="shared" ca="1" si="76"/>
        <v>3.3847488468086807E-2</v>
      </c>
    </row>
    <row r="192" spans="2:21" x14ac:dyDescent="0.25">
      <c r="B192">
        <f t="shared" si="59"/>
        <v>189</v>
      </c>
      <c r="C192">
        <f t="shared" si="85"/>
        <v>16</v>
      </c>
      <c r="D192">
        <f t="shared" si="86"/>
        <v>9</v>
      </c>
      <c r="E192" s="5">
        <f t="shared" ca="1" si="60"/>
        <v>8.7869999999999997E-3</v>
      </c>
      <c r="F192" s="5">
        <f t="shared" ca="1" si="61"/>
        <v>9.9469999999999992E-3</v>
      </c>
      <c r="G192" s="5">
        <f t="shared" ca="1" si="62"/>
        <v>1.1367E-2</v>
      </c>
      <c r="H192" s="5">
        <f t="shared" ca="1" si="63"/>
        <v>1.1804E-2</v>
      </c>
      <c r="I192" s="5">
        <f t="shared" ca="1" si="64"/>
        <v>1.2217E-2</v>
      </c>
      <c r="J192" s="5">
        <f t="shared" ca="1" si="65"/>
        <v>1.4827E-2</v>
      </c>
      <c r="K192" s="5">
        <f t="shared" ca="1" si="66"/>
        <v>1.7065E-2</v>
      </c>
      <c r="L192" s="5">
        <f t="shared" ca="1" si="67"/>
        <v>1.9691E-2</v>
      </c>
      <c r="M192" s="5">
        <f t="shared" ca="1" si="68"/>
        <v>2.1676999999999998E-2</v>
      </c>
      <c r="N192" s="5">
        <f t="shared" ca="1" si="69"/>
        <v>2.5673000000000001E-2</v>
      </c>
      <c r="O192" s="5">
        <f t="shared" ca="1" si="70"/>
        <v>2.9371999999999999E-2</v>
      </c>
      <c r="P192" s="8">
        <f t="shared" ca="1" si="71"/>
        <v>1007.476535245598</v>
      </c>
      <c r="Q192" s="8">
        <f t="shared" ca="1" si="72"/>
        <v>2156.2531568912223</v>
      </c>
      <c r="R192" s="8">
        <f t="shared" ca="1" si="73"/>
        <v>1921.1685248475369</v>
      </c>
      <c r="S192" s="5">
        <f t="shared" ca="1" si="74"/>
        <v>4.843526386641997E-2</v>
      </c>
      <c r="T192">
        <f t="shared" ca="1" si="75"/>
        <v>4.2990035963541354E-2</v>
      </c>
      <c r="U192" s="5">
        <f t="shared" ca="1" si="76"/>
        <v>3.639042179249409E-2</v>
      </c>
    </row>
    <row r="193" spans="2:21" x14ac:dyDescent="0.25">
      <c r="B193">
        <f t="shared" si="59"/>
        <v>190</v>
      </c>
      <c r="C193">
        <f t="shared" si="85"/>
        <v>16</v>
      </c>
      <c r="D193">
        <f t="shared" si="86"/>
        <v>10</v>
      </c>
      <c r="E193" s="5">
        <f t="shared" ca="1" si="60"/>
        <v>8.744E-3</v>
      </c>
      <c r="F193" s="5">
        <f t="shared" ca="1" si="61"/>
        <v>9.9089999999999994E-3</v>
      </c>
      <c r="G193" s="5">
        <f t="shared" ca="1" si="62"/>
        <v>1.1426E-2</v>
      </c>
      <c r="H193" s="5">
        <f t="shared" ca="1" si="63"/>
        <v>1.1859E-2</v>
      </c>
      <c r="I193" s="5">
        <f t="shared" ca="1" si="64"/>
        <v>1.2248999999999999E-2</v>
      </c>
      <c r="J193" s="5">
        <f t="shared" ca="1" si="65"/>
        <v>1.4917E-2</v>
      </c>
      <c r="K193" s="5">
        <f t="shared" ca="1" si="66"/>
        <v>1.7003999999999998E-2</v>
      </c>
      <c r="L193" s="5">
        <f t="shared" ca="1" si="67"/>
        <v>1.9784E-2</v>
      </c>
      <c r="M193" s="5">
        <f t="shared" ca="1" si="68"/>
        <v>2.1595E-2</v>
      </c>
      <c r="N193" s="5">
        <f t="shared" ca="1" si="69"/>
        <v>2.5585E-2</v>
      </c>
      <c r="O193" s="5">
        <f t="shared" ca="1" si="70"/>
        <v>2.9281000000000001E-2</v>
      </c>
      <c r="P193" s="8">
        <f t="shared" ca="1" si="71"/>
        <v>1010.0919750799205</v>
      </c>
      <c r="Q193" s="8">
        <f t="shared" ca="1" si="72"/>
        <v>2162.7007172497465</v>
      </c>
      <c r="R193" s="8">
        <f t="shared" ca="1" si="73"/>
        <v>1926.3916274423498</v>
      </c>
      <c r="S193" s="5">
        <f t="shared" ca="1" si="74"/>
        <v>3.1601036575217289E-2</v>
      </c>
      <c r="T193">
        <f t="shared" ca="1" si="75"/>
        <v>3.647805718146669E-2</v>
      </c>
      <c r="U193" s="5">
        <f t="shared" ca="1" si="76"/>
        <v>3.3116815598913614E-2</v>
      </c>
    </row>
    <row r="194" spans="2:21" x14ac:dyDescent="0.25">
      <c r="B194">
        <f t="shared" si="59"/>
        <v>191</v>
      </c>
      <c r="C194">
        <f t="shared" si="85"/>
        <v>16</v>
      </c>
      <c r="D194">
        <f t="shared" si="86"/>
        <v>11</v>
      </c>
      <c r="E194" s="5">
        <f t="shared" ca="1" si="60"/>
        <v>8.8439999999999994E-3</v>
      </c>
      <c r="F194" s="5">
        <f t="shared" ca="1" si="61"/>
        <v>9.8329999999999997E-3</v>
      </c>
      <c r="G194" s="5">
        <f t="shared" ca="1" si="62"/>
        <v>1.1512E-2</v>
      </c>
      <c r="H194" s="5">
        <f t="shared" ca="1" si="63"/>
        <v>1.1819E-2</v>
      </c>
      <c r="I194" s="5">
        <f t="shared" ca="1" si="64"/>
        <v>1.2269E-2</v>
      </c>
      <c r="J194" s="5">
        <f t="shared" ca="1" si="65"/>
        <v>1.4881E-2</v>
      </c>
      <c r="K194" s="5">
        <f t="shared" ca="1" si="66"/>
        <v>1.7018999999999999E-2</v>
      </c>
      <c r="L194" s="5">
        <f t="shared" ca="1" si="67"/>
        <v>1.9869999999999999E-2</v>
      </c>
      <c r="M194" s="5">
        <f t="shared" ca="1" si="68"/>
        <v>2.1572000000000001E-2</v>
      </c>
      <c r="N194" s="5">
        <f t="shared" ca="1" si="69"/>
        <v>2.5628999999999999E-2</v>
      </c>
      <c r="O194" s="5">
        <f t="shared" ca="1" si="70"/>
        <v>2.9346000000000001E-2</v>
      </c>
      <c r="P194" s="8">
        <f t="shared" ca="1" si="71"/>
        <v>1008.1641364261898</v>
      </c>
      <c r="Q194" s="8">
        <f t="shared" ca="1" si="72"/>
        <v>2168.4059450623317</v>
      </c>
      <c r="R194" s="8">
        <f t="shared" ca="1" si="73"/>
        <v>1932.0402956770465</v>
      </c>
      <c r="S194" s="5">
        <f t="shared" ca="1" si="74"/>
        <v>-2.266403497384584E-2</v>
      </c>
      <c r="T194">
        <f t="shared" ca="1" si="75"/>
        <v>3.2119492929465566E-2</v>
      </c>
      <c r="U194" s="5">
        <f t="shared" ca="1" si="76"/>
        <v>3.5760098371793662E-2</v>
      </c>
    </row>
    <row r="195" spans="2:21" x14ac:dyDescent="0.25">
      <c r="B195">
        <f t="shared" si="59"/>
        <v>192</v>
      </c>
      <c r="C195">
        <f t="shared" si="85"/>
        <v>16</v>
      </c>
      <c r="D195">
        <f t="shared" si="86"/>
        <v>12</v>
      </c>
      <c r="E195" s="5">
        <f t="shared" ca="1" si="60"/>
        <v>8.7550000000000006E-3</v>
      </c>
      <c r="F195" s="5">
        <f t="shared" ca="1" si="61"/>
        <v>9.7560000000000008E-3</v>
      </c>
      <c r="G195" s="5">
        <f t="shared" ca="1" si="62"/>
        <v>1.1471E-2</v>
      </c>
      <c r="H195" s="5">
        <f t="shared" ca="1" si="63"/>
        <v>1.1856999999999999E-2</v>
      </c>
      <c r="I195" s="5">
        <f t="shared" ca="1" si="64"/>
        <v>1.2342000000000001E-2</v>
      </c>
      <c r="J195" s="5">
        <f t="shared" ca="1" si="65"/>
        <v>1.4964E-2</v>
      </c>
      <c r="K195" s="5">
        <f t="shared" ca="1" si="66"/>
        <v>1.6930000000000001E-2</v>
      </c>
      <c r="L195" s="5">
        <f t="shared" ca="1" si="67"/>
        <v>1.9848000000000001E-2</v>
      </c>
      <c r="M195" s="5">
        <f t="shared" ca="1" si="68"/>
        <v>2.1652000000000001E-2</v>
      </c>
      <c r="N195" s="5">
        <f t="shared" ca="1" si="69"/>
        <v>2.5659000000000001E-2</v>
      </c>
      <c r="O195" s="5">
        <f t="shared" ca="1" si="70"/>
        <v>2.9405000000000001E-2</v>
      </c>
      <c r="P195" s="8">
        <f t="shared" ca="1" si="71"/>
        <v>1005.5530459238488</v>
      </c>
      <c r="Q195" s="8">
        <f t="shared" ca="1" si="72"/>
        <v>2179.6745358918638</v>
      </c>
      <c r="R195" s="8">
        <f t="shared" ca="1" si="73"/>
        <v>1937.022316863483</v>
      </c>
      <c r="S195" s="5">
        <f t="shared" ca="1" si="74"/>
        <v>-3.0640433749014154E-2</v>
      </c>
      <c r="T195">
        <f t="shared" ca="1" si="75"/>
        <v>6.4174223421501267E-2</v>
      </c>
      <c r="U195" s="5">
        <f t="shared" ca="1" si="76"/>
        <v>3.1386236407210617E-2</v>
      </c>
    </row>
    <row r="196" spans="2:21" x14ac:dyDescent="0.25">
      <c r="B196">
        <f t="shared" si="59"/>
        <v>193</v>
      </c>
      <c r="C196">
        <f>C195+1</f>
        <v>17</v>
      </c>
      <c r="D196">
        <v>1</v>
      </c>
      <c r="E196" s="5">
        <f t="shared" ca="1" si="60"/>
        <v>8.7639999999999992E-3</v>
      </c>
      <c r="F196" s="5">
        <f t="shared" ca="1" si="61"/>
        <v>9.6600000000000002E-3</v>
      </c>
      <c r="G196" s="5">
        <f t="shared" ca="1" si="62"/>
        <v>1.149E-2</v>
      </c>
      <c r="H196" s="5">
        <f t="shared" ca="1" si="63"/>
        <v>1.1834000000000001E-2</v>
      </c>
      <c r="I196" s="5">
        <f t="shared" ca="1" si="64"/>
        <v>1.2414E-2</v>
      </c>
      <c r="J196" s="5">
        <f t="shared" ca="1" si="65"/>
        <v>1.4886999999999999E-2</v>
      </c>
      <c r="K196" s="5">
        <f t="shared" ca="1" si="66"/>
        <v>1.6912E-2</v>
      </c>
      <c r="L196" s="5">
        <f t="shared" ca="1" si="67"/>
        <v>1.9886000000000001E-2</v>
      </c>
      <c r="M196" s="5">
        <f t="shared" ca="1" si="68"/>
        <v>2.1604000000000002E-2</v>
      </c>
      <c r="N196" s="5">
        <f t="shared" ca="1" si="69"/>
        <v>2.5725000000000001E-2</v>
      </c>
      <c r="O196" s="5">
        <f t="shared" ca="1" si="70"/>
        <v>2.9387E-2</v>
      </c>
      <c r="P196" s="8">
        <f t="shared" ca="1" si="71"/>
        <v>1003.7462584735667</v>
      </c>
      <c r="Q196" s="8">
        <f t="shared" ca="1" si="72"/>
        <v>2189.1490747993394</v>
      </c>
      <c r="R196" s="8">
        <f t="shared" ca="1" si="73"/>
        <v>1942.5797455115851</v>
      </c>
      <c r="S196" s="5">
        <f t="shared" ca="1" si="74"/>
        <v>-2.1349904635677642E-2</v>
      </c>
      <c r="T196">
        <f t="shared" ca="1" si="75"/>
        <v>5.3426488768370577E-2</v>
      </c>
      <c r="U196" s="5">
        <f t="shared" ca="1" si="76"/>
        <v>3.4977199301649393E-2</v>
      </c>
    </row>
    <row r="197" spans="2:21" x14ac:dyDescent="0.25">
      <c r="B197">
        <f t="shared" ref="B197:B260" si="87">B196+1</f>
        <v>194</v>
      </c>
      <c r="C197">
        <f>C196</f>
        <v>17</v>
      </c>
      <c r="D197">
        <v>2</v>
      </c>
      <c r="E197" s="5">
        <f t="shared" ref="E197:E260" ca="1" si="88">ROUND(E196+(RAND()*2-1+0.01)/10^4,6)</f>
        <v>8.8599999999999998E-3</v>
      </c>
      <c r="F197" s="5">
        <f t="shared" ref="F197:F260" ca="1" si="89">ROUND(F196+(RAND()*2-1+0.01)/10^4,6)</f>
        <v>9.5689999999999994E-3</v>
      </c>
      <c r="G197" s="5">
        <f t="shared" ref="G197:G260" ca="1" si="90">ROUND(G196+(RAND()*2-1+0.01)/10^4,6)</f>
        <v>1.1578E-2</v>
      </c>
      <c r="H197" s="5">
        <f t="shared" ref="H197:H260" ca="1" si="91">ROUND(H196+(RAND()*2-1+0.01)/10^4,6)</f>
        <v>1.1792E-2</v>
      </c>
      <c r="I197" s="5">
        <f t="shared" ref="I197:I260" ca="1" si="92">ROUND(I196+(RAND()*2-1+0.01)/10^4,6)</f>
        <v>1.2326E-2</v>
      </c>
      <c r="J197" s="5">
        <f t="shared" ref="J197:J260" ca="1" si="93">ROUND(J196+(RAND()*2-1+0.01)/10^4,6)</f>
        <v>1.4852000000000001E-2</v>
      </c>
      <c r="K197" s="5">
        <f t="shared" ref="K197:K260" ca="1" si="94">ROUND(K196+(RAND()*2-1+0.01)/10^4,6)</f>
        <v>1.6951999999999998E-2</v>
      </c>
      <c r="L197" s="5">
        <f t="shared" ref="L197:L260" ca="1" si="95">ROUND(L196+(RAND()*2-1+0.01)/10^4,6)</f>
        <v>1.9796000000000001E-2</v>
      </c>
      <c r="M197" s="5">
        <f t="shared" ref="M197:M260" ca="1" si="96">ROUND(M196+(RAND()*2-1+0.01)/10^4,6)</f>
        <v>2.1675E-2</v>
      </c>
      <c r="N197" s="5">
        <f t="shared" ref="N197:N260" ca="1" si="97">ROUND(N196+(RAND()*2-1+0.01)/10^4,6)</f>
        <v>2.5801999999999999E-2</v>
      </c>
      <c r="O197" s="5">
        <f t="shared" ref="O197:O260" ca="1" si="98">ROUND(O196+(RAND()*2-1+0.01)/10^4,6)</f>
        <v>2.9318E-2</v>
      </c>
      <c r="P197" s="8">
        <f t="shared" ref="P197:P260" ca="1" si="99">P196*(1+S197)^(1/12)</f>
        <v>1007.0251718748268</v>
      </c>
      <c r="Q197" s="8">
        <f t="shared" ref="Q197:Q260" ca="1" si="100">Q196*(1+T197)^(1/12)</f>
        <v>2195.4265752497204</v>
      </c>
      <c r="R197" s="8">
        <f t="shared" ref="R197:R260" ca="1" si="101">R196*(1+U197)^(1/12)</f>
        <v>1948.8177526961979</v>
      </c>
      <c r="S197" s="5">
        <f t="shared" ref="S197:S260" ca="1" si="102">RAND()*10/100-5/100+S196/10</f>
        <v>3.9912129960943642E-2</v>
      </c>
      <c r="T197">
        <f t="shared" ref="T197:T260" ca="1" si="103">M197+RAND()*4/100+0.01</f>
        <v>3.4958562793085887E-2</v>
      </c>
      <c r="U197" s="5">
        <f t="shared" ref="U197:U260" ca="1" si="104">RAND()*1/100-0.5/100+U196</f>
        <v>3.9222285666530202E-2</v>
      </c>
    </row>
    <row r="198" spans="2:21" x14ac:dyDescent="0.25">
      <c r="B198">
        <f t="shared" si="87"/>
        <v>195</v>
      </c>
      <c r="C198">
        <f t="shared" ref="C198:C207" si="105">C197</f>
        <v>17</v>
      </c>
      <c r="D198">
        <v>3</v>
      </c>
      <c r="E198" s="5">
        <f t="shared" ca="1" si="88"/>
        <v>8.7939999999999997E-3</v>
      </c>
      <c r="F198" s="5">
        <f t="shared" ca="1" si="89"/>
        <v>9.5930000000000008E-3</v>
      </c>
      <c r="G198" s="5">
        <f t="shared" ca="1" si="90"/>
        <v>1.1502E-2</v>
      </c>
      <c r="H198" s="5">
        <f t="shared" ca="1" si="91"/>
        <v>1.1826E-2</v>
      </c>
      <c r="I198" s="5">
        <f t="shared" ca="1" si="92"/>
        <v>1.2253E-2</v>
      </c>
      <c r="J198" s="5">
        <f t="shared" ca="1" si="93"/>
        <v>1.4845000000000001E-2</v>
      </c>
      <c r="K198" s="5">
        <f t="shared" ca="1" si="94"/>
        <v>1.6861000000000001E-2</v>
      </c>
      <c r="L198" s="5">
        <f t="shared" ca="1" si="95"/>
        <v>1.9730999999999999E-2</v>
      </c>
      <c r="M198" s="5">
        <f t="shared" ca="1" si="96"/>
        <v>2.164E-2</v>
      </c>
      <c r="N198" s="5">
        <f t="shared" ca="1" si="97"/>
        <v>2.5772E-2</v>
      </c>
      <c r="O198" s="5">
        <f t="shared" ca="1" si="98"/>
        <v>2.9399999999999999E-2</v>
      </c>
      <c r="P198" s="8">
        <f t="shared" ca="1" si="99"/>
        <v>1006.0664253109718</v>
      </c>
      <c r="Q198" s="8">
        <f t="shared" ca="1" si="100"/>
        <v>2203.1193350281569</v>
      </c>
      <c r="R198" s="8">
        <f t="shared" ca="1" si="101"/>
        <v>1954.8393155949304</v>
      </c>
      <c r="S198" s="5">
        <f t="shared" ca="1" si="102"/>
        <v>-1.1365064365366228E-2</v>
      </c>
      <c r="T198">
        <f t="shared" ca="1" si="103"/>
        <v>4.286780410318055E-2</v>
      </c>
      <c r="U198" s="5">
        <f t="shared" ca="1" si="104"/>
        <v>3.7714901904746898E-2</v>
      </c>
    </row>
    <row r="199" spans="2:21" x14ac:dyDescent="0.25">
      <c r="B199">
        <f t="shared" si="87"/>
        <v>196</v>
      </c>
      <c r="C199">
        <f t="shared" si="105"/>
        <v>17</v>
      </c>
      <c r="D199">
        <f>D198+1</f>
        <v>4</v>
      </c>
      <c r="E199" s="5">
        <f t="shared" ca="1" si="88"/>
        <v>8.8649999999999996E-3</v>
      </c>
      <c r="F199" s="5">
        <f t="shared" ca="1" si="89"/>
        <v>9.5029999999999993E-3</v>
      </c>
      <c r="G199" s="5">
        <f t="shared" ca="1" si="90"/>
        <v>1.1455E-2</v>
      </c>
      <c r="H199" s="5">
        <f t="shared" ca="1" si="91"/>
        <v>1.1898000000000001E-2</v>
      </c>
      <c r="I199" s="5">
        <f t="shared" ca="1" si="92"/>
        <v>1.2191E-2</v>
      </c>
      <c r="J199" s="5">
        <f t="shared" ca="1" si="93"/>
        <v>1.4885000000000001E-2</v>
      </c>
      <c r="K199" s="5">
        <f t="shared" ca="1" si="94"/>
        <v>1.6879000000000002E-2</v>
      </c>
      <c r="L199" s="5">
        <f t="shared" ca="1" si="95"/>
        <v>1.9755999999999999E-2</v>
      </c>
      <c r="M199" s="5">
        <f t="shared" ca="1" si="96"/>
        <v>2.1687000000000001E-2</v>
      </c>
      <c r="N199" s="5">
        <f t="shared" ca="1" si="97"/>
        <v>2.5815999999999999E-2</v>
      </c>
      <c r="O199" s="5">
        <f t="shared" ca="1" si="98"/>
        <v>2.9395999999999999E-2</v>
      </c>
      <c r="P199" s="8">
        <f t="shared" ca="1" si="99"/>
        <v>1005.5948568562202</v>
      </c>
      <c r="Q199" s="8">
        <f t="shared" ca="1" si="100"/>
        <v>2214.0746449954722</v>
      </c>
      <c r="R199" s="8">
        <f t="shared" ca="1" si="101"/>
        <v>1960.6425119670832</v>
      </c>
      <c r="S199" s="5">
        <f t="shared" ca="1" si="102"/>
        <v>-5.6102218641543864E-3</v>
      </c>
      <c r="T199">
        <f t="shared" ca="1" si="103"/>
        <v>6.1330974054662118E-2</v>
      </c>
      <c r="U199" s="5">
        <f t="shared" ca="1" si="104"/>
        <v>3.6211007661852396E-2</v>
      </c>
    </row>
    <row r="200" spans="2:21" x14ac:dyDescent="0.25">
      <c r="B200">
        <f t="shared" si="87"/>
        <v>197</v>
      </c>
      <c r="C200">
        <f t="shared" si="105"/>
        <v>17</v>
      </c>
      <c r="D200">
        <f t="shared" ref="D200:D207" si="106">D199+1</f>
        <v>5</v>
      </c>
      <c r="E200" s="5">
        <f t="shared" ca="1" si="88"/>
        <v>8.8350000000000008E-3</v>
      </c>
      <c r="F200" s="5">
        <f t="shared" ca="1" si="89"/>
        <v>9.5879999999999993E-3</v>
      </c>
      <c r="G200" s="5">
        <f t="shared" ca="1" si="90"/>
        <v>1.1398999999999999E-2</v>
      </c>
      <c r="H200" s="5">
        <f t="shared" ca="1" si="91"/>
        <v>1.1809999999999999E-2</v>
      </c>
      <c r="I200" s="5">
        <f t="shared" ca="1" si="92"/>
        <v>1.2120000000000001E-2</v>
      </c>
      <c r="J200" s="5">
        <f t="shared" ca="1" si="93"/>
        <v>1.4848999999999999E-2</v>
      </c>
      <c r="K200" s="5">
        <f t="shared" ca="1" si="94"/>
        <v>1.6851000000000001E-2</v>
      </c>
      <c r="L200" s="5">
        <f t="shared" ca="1" si="95"/>
        <v>1.9761999999999998E-2</v>
      </c>
      <c r="M200" s="5">
        <f t="shared" ca="1" si="96"/>
        <v>2.1741E-2</v>
      </c>
      <c r="N200" s="5">
        <f t="shared" ca="1" si="97"/>
        <v>2.5892999999999999E-2</v>
      </c>
      <c r="O200" s="5">
        <f t="shared" ca="1" si="98"/>
        <v>2.9366E-2</v>
      </c>
      <c r="P200" s="8">
        <f t="shared" ca="1" si="99"/>
        <v>1003.647969213049</v>
      </c>
      <c r="Q200" s="8">
        <f t="shared" ca="1" si="100"/>
        <v>2224.2280838531692</v>
      </c>
      <c r="R200" s="8">
        <f t="shared" ca="1" si="101"/>
        <v>1966.243159798692</v>
      </c>
      <c r="S200" s="5">
        <f t="shared" ca="1" si="102"/>
        <v>-2.2986869290791693E-2</v>
      </c>
      <c r="T200">
        <f t="shared" ca="1" si="103"/>
        <v>5.643975926164136E-2</v>
      </c>
      <c r="U200" s="5">
        <f t="shared" ca="1" si="104"/>
        <v>3.4822151780369223E-2</v>
      </c>
    </row>
    <row r="201" spans="2:21" x14ac:dyDescent="0.25">
      <c r="B201">
        <f t="shared" si="87"/>
        <v>198</v>
      </c>
      <c r="C201">
        <f t="shared" si="105"/>
        <v>17</v>
      </c>
      <c r="D201">
        <f t="shared" si="106"/>
        <v>6</v>
      </c>
      <c r="E201" s="5">
        <f t="shared" ca="1" si="88"/>
        <v>8.7589999999999994E-3</v>
      </c>
      <c r="F201" s="5">
        <f t="shared" ca="1" si="89"/>
        <v>9.528E-3</v>
      </c>
      <c r="G201" s="5">
        <f t="shared" ca="1" si="90"/>
        <v>1.1480000000000001E-2</v>
      </c>
      <c r="H201" s="5">
        <f t="shared" ca="1" si="91"/>
        <v>1.1728000000000001E-2</v>
      </c>
      <c r="I201" s="5">
        <f t="shared" ca="1" si="92"/>
        <v>1.2191E-2</v>
      </c>
      <c r="J201" s="5">
        <f t="shared" ca="1" si="93"/>
        <v>1.4914999999999999E-2</v>
      </c>
      <c r="K201" s="5">
        <f t="shared" ca="1" si="94"/>
        <v>1.6833000000000001E-2</v>
      </c>
      <c r="L201" s="5">
        <f t="shared" ca="1" si="95"/>
        <v>1.9720999999999999E-2</v>
      </c>
      <c r="M201" s="5">
        <f t="shared" ca="1" si="96"/>
        <v>2.1835E-2</v>
      </c>
      <c r="N201" s="5">
        <f t="shared" ca="1" si="97"/>
        <v>2.5919999999999999E-2</v>
      </c>
      <c r="O201" s="5">
        <f t="shared" ca="1" si="98"/>
        <v>2.9382999999999999E-2</v>
      </c>
      <c r="P201" s="8">
        <f t="shared" ca="1" si="99"/>
        <v>1001.2080596655098</v>
      </c>
      <c r="Q201" s="8">
        <f t="shared" ca="1" si="100"/>
        <v>2231.5739068357339</v>
      </c>
      <c r="R201" s="8">
        <f t="shared" ca="1" si="101"/>
        <v>1971.2506492658249</v>
      </c>
      <c r="S201" s="5">
        <f t="shared" ca="1" si="102"/>
        <v>-2.8785580364843331E-2</v>
      </c>
      <c r="T201">
        <f t="shared" ca="1" si="103"/>
        <v>4.035954551151584E-2</v>
      </c>
      <c r="U201" s="5">
        <f t="shared" ca="1" si="104"/>
        <v>3.0992473697656987E-2</v>
      </c>
    </row>
    <row r="202" spans="2:21" x14ac:dyDescent="0.25">
      <c r="B202">
        <f t="shared" si="87"/>
        <v>199</v>
      </c>
      <c r="C202">
        <f t="shared" si="105"/>
        <v>17</v>
      </c>
      <c r="D202">
        <f t="shared" si="106"/>
        <v>7</v>
      </c>
      <c r="E202" s="5">
        <f t="shared" ca="1" si="88"/>
        <v>8.6820000000000005E-3</v>
      </c>
      <c r="F202" s="5">
        <f t="shared" ca="1" si="89"/>
        <v>9.469E-3</v>
      </c>
      <c r="G202" s="5">
        <f t="shared" ca="1" si="90"/>
        <v>1.1434E-2</v>
      </c>
      <c r="H202" s="5">
        <f t="shared" ca="1" si="91"/>
        <v>1.1660999999999999E-2</v>
      </c>
      <c r="I202" s="5">
        <f t="shared" ca="1" si="92"/>
        <v>1.214E-2</v>
      </c>
      <c r="J202" s="5">
        <f t="shared" ca="1" si="93"/>
        <v>1.4956000000000001E-2</v>
      </c>
      <c r="K202" s="5">
        <f t="shared" ca="1" si="94"/>
        <v>1.6806999999999999E-2</v>
      </c>
      <c r="L202" s="5">
        <f t="shared" ca="1" si="95"/>
        <v>1.9678000000000001E-2</v>
      </c>
      <c r="M202" s="5">
        <f t="shared" ca="1" si="96"/>
        <v>2.1905999999999998E-2</v>
      </c>
      <c r="N202" s="5">
        <f t="shared" ca="1" si="97"/>
        <v>2.5947999999999999E-2</v>
      </c>
      <c r="O202" s="5">
        <f t="shared" ca="1" si="98"/>
        <v>2.9357999999999999E-2</v>
      </c>
      <c r="P202" s="8">
        <f t="shared" ca="1" si="99"/>
        <v>1004.8949377716154</v>
      </c>
      <c r="Q202" s="8">
        <f t="shared" ca="1" si="100"/>
        <v>2239.4319469788384</v>
      </c>
      <c r="R202" s="8">
        <f t="shared" ca="1" si="101"/>
        <v>1976.5568937956234</v>
      </c>
      <c r="S202" s="5">
        <f t="shared" ca="1" si="102"/>
        <v>4.5095210303793168E-2</v>
      </c>
      <c r="T202">
        <f t="shared" ca="1" si="103"/>
        <v>4.3083646943481706E-2</v>
      </c>
      <c r="U202" s="5">
        <f t="shared" ca="1" si="104"/>
        <v>3.2784339832317544E-2</v>
      </c>
    </row>
    <row r="203" spans="2:21" x14ac:dyDescent="0.25">
      <c r="B203">
        <f t="shared" si="87"/>
        <v>200</v>
      </c>
      <c r="C203">
        <f t="shared" si="105"/>
        <v>17</v>
      </c>
      <c r="D203">
        <f t="shared" si="106"/>
        <v>8</v>
      </c>
      <c r="E203" s="5">
        <f t="shared" ca="1" si="88"/>
        <v>8.7770000000000001E-3</v>
      </c>
      <c r="F203" s="5">
        <f t="shared" ca="1" si="89"/>
        <v>9.5469999999999999E-3</v>
      </c>
      <c r="G203" s="5">
        <f t="shared" ca="1" si="90"/>
        <v>1.1485E-2</v>
      </c>
      <c r="H203" s="5">
        <f t="shared" ca="1" si="91"/>
        <v>1.1596E-2</v>
      </c>
      <c r="I203" s="5">
        <f t="shared" ca="1" si="92"/>
        <v>1.2218E-2</v>
      </c>
      <c r="J203" s="5">
        <f t="shared" ca="1" si="93"/>
        <v>1.4966999999999999E-2</v>
      </c>
      <c r="K203" s="5">
        <f t="shared" ca="1" si="94"/>
        <v>1.6712999999999999E-2</v>
      </c>
      <c r="L203" s="5">
        <f t="shared" ca="1" si="95"/>
        <v>1.9740000000000001E-2</v>
      </c>
      <c r="M203" s="5">
        <f t="shared" ca="1" si="96"/>
        <v>2.1972999999999999E-2</v>
      </c>
      <c r="N203" s="5">
        <f t="shared" ca="1" si="97"/>
        <v>2.5863000000000001E-2</v>
      </c>
      <c r="O203" s="5">
        <f t="shared" ca="1" si="98"/>
        <v>2.9366E-2</v>
      </c>
      <c r="P203" s="8">
        <f t="shared" ca="1" si="99"/>
        <v>1007.1310641935605</v>
      </c>
      <c r="Q203" s="8">
        <f t="shared" ca="1" si="100"/>
        <v>2250.5696972079818</v>
      </c>
      <c r="R203" s="8">
        <f t="shared" ca="1" si="101"/>
        <v>1982.2773637314838</v>
      </c>
      <c r="S203" s="5">
        <f t="shared" ca="1" si="102"/>
        <v>2.7032054744572421E-2</v>
      </c>
      <c r="T203">
        <f t="shared" ca="1" si="103"/>
        <v>6.1341561360286873E-2</v>
      </c>
      <c r="U203" s="5">
        <f t="shared" ca="1" si="104"/>
        <v>3.5288102511107935E-2</v>
      </c>
    </row>
    <row r="204" spans="2:21" x14ac:dyDescent="0.25">
      <c r="B204">
        <f t="shared" si="87"/>
        <v>201</v>
      </c>
      <c r="C204">
        <f t="shared" si="105"/>
        <v>17</v>
      </c>
      <c r="D204">
        <f t="shared" si="106"/>
        <v>9</v>
      </c>
      <c r="E204" s="5">
        <f t="shared" ca="1" si="88"/>
        <v>8.7010000000000004E-3</v>
      </c>
      <c r="F204" s="5">
        <f t="shared" ca="1" si="89"/>
        <v>9.4719999999999995E-3</v>
      </c>
      <c r="G204" s="5">
        <f t="shared" ca="1" si="90"/>
        <v>1.1507E-2</v>
      </c>
      <c r="H204" s="5">
        <f t="shared" ca="1" si="91"/>
        <v>1.1516E-2</v>
      </c>
      <c r="I204" s="5">
        <f t="shared" ca="1" si="92"/>
        <v>1.2184E-2</v>
      </c>
      <c r="J204" s="5">
        <f t="shared" ca="1" si="93"/>
        <v>1.4997999999999999E-2</v>
      </c>
      <c r="K204" s="5">
        <f t="shared" ca="1" si="94"/>
        <v>1.6659E-2</v>
      </c>
      <c r="L204" s="5">
        <f t="shared" ca="1" si="95"/>
        <v>1.9723999999999998E-2</v>
      </c>
      <c r="M204" s="5">
        <f t="shared" ca="1" si="96"/>
        <v>2.1916000000000001E-2</v>
      </c>
      <c r="N204" s="5">
        <f t="shared" ca="1" si="97"/>
        <v>2.589E-2</v>
      </c>
      <c r="O204" s="5">
        <f t="shared" ca="1" si="98"/>
        <v>2.9371000000000001E-2</v>
      </c>
      <c r="P204" s="8">
        <f t="shared" ca="1" si="99"/>
        <v>1003.8328349467054</v>
      </c>
      <c r="Q204" s="8">
        <f t="shared" ca="1" si="100"/>
        <v>2262.1415242763833</v>
      </c>
      <c r="R204" s="8">
        <f t="shared" ca="1" si="101"/>
        <v>1987.4417175208278</v>
      </c>
      <c r="S204" s="5">
        <f t="shared" ca="1" si="102"/>
        <v>-3.8598343454038141E-2</v>
      </c>
      <c r="T204">
        <f t="shared" ca="1" si="103"/>
        <v>6.3475911984688702E-2</v>
      </c>
      <c r="U204" s="5">
        <f t="shared" ca="1" si="104"/>
        <v>3.1715036726501944E-2</v>
      </c>
    </row>
    <row r="205" spans="2:21" x14ac:dyDescent="0.25">
      <c r="B205">
        <f t="shared" si="87"/>
        <v>202</v>
      </c>
      <c r="C205">
        <f t="shared" si="105"/>
        <v>17</v>
      </c>
      <c r="D205">
        <f t="shared" si="106"/>
        <v>10</v>
      </c>
      <c r="E205" s="5">
        <f t="shared" ca="1" si="88"/>
        <v>8.6440000000000006E-3</v>
      </c>
      <c r="F205" s="5">
        <f t="shared" ca="1" si="89"/>
        <v>9.3849999999999992E-3</v>
      </c>
      <c r="G205" s="5">
        <f t="shared" ca="1" si="90"/>
        <v>1.1439E-2</v>
      </c>
      <c r="H205" s="5">
        <f t="shared" ca="1" si="91"/>
        <v>1.1464999999999999E-2</v>
      </c>
      <c r="I205" s="5">
        <f t="shared" ca="1" si="92"/>
        <v>1.2116999999999999E-2</v>
      </c>
      <c r="J205" s="5">
        <f t="shared" ca="1" si="93"/>
        <v>1.5046E-2</v>
      </c>
      <c r="K205" s="5">
        <f t="shared" ca="1" si="94"/>
        <v>1.6759E-2</v>
      </c>
      <c r="L205" s="5">
        <f t="shared" ca="1" si="95"/>
        <v>1.9647999999999999E-2</v>
      </c>
      <c r="M205" s="5">
        <f t="shared" ca="1" si="96"/>
        <v>2.1909999999999999E-2</v>
      </c>
      <c r="N205" s="5">
        <f t="shared" ca="1" si="97"/>
        <v>2.5864000000000002E-2</v>
      </c>
      <c r="O205" s="5">
        <f t="shared" ca="1" si="98"/>
        <v>2.9377E-2</v>
      </c>
      <c r="P205" s="8">
        <f t="shared" ca="1" si="99"/>
        <v>1002.8686614999004</v>
      </c>
      <c r="Q205" s="8">
        <f t="shared" ca="1" si="100"/>
        <v>2272.8370743452938</v>
      </c>
      <c r="R205" s="8">
        <f t="shared" ca="1" si="101"/>
        <v>1993.3310420666437</v>
      </c>
      <c r="S205" s="5">
        <f t="shared" ca="1" si="102"/>
        <v>-1.1465211025717374E-2</v>
      </c>
      <c r="T205">
        <f t="shared" ca="1" si="103"/>
        <v>5.8235673719811316E-2</v>
      </c>
      <c r="U205" s="5">
        <f t="shared" ca="1" si="104"/>
        <v>3.6144535113210599E-2</v>
      </c>
    </row>
    <row r="206" spans="2:21" x14ac:dyDescent="0.25">
      <c r="B206">
        <f t="shared" si="87"/>
        <v>203</v>
      </c>
      <c r="C206">
        <f t="shared" si="105"/>
        <v>17</v>
      </c>
      <c r="D206">
        <f t="shared" si="106"/>
        <v>11</v>
      </c>
      <c r="E206" s="5">
        <f t="shared" ca="1" si="88"/>
        <v>8.7290000000000006E-3</v>
      </c>
      <c r="F206" s="5">
        <f t="shared" ca="1" si="89"/>
        <v>9.3679999999999996E-3</v>
      </c>
      <c r="G206" s="5">
        <f t="shared" ca="1" si="90"/>
        <v>1.1414000000000001E-2</v>
      </c>
      <c r="H206" s="5">
        <f t="shared" ca="1" si="91"/>
        <v>1.1439E-2</v>
      </c>
      <c r="I206" s="5">
        <f t="shared" ca="1" si="92"/>
        <v>1.2108000000000001E-2</v>
      </c>
      <c r="J206" s="5">
        <f t="shared" ca="1" si="93"/>
        <v>1.4956000000000001E-2</v>
      </c>
      <c r="K206" s="5">
        <f t="shared" ca="1" si="94"/>
        <v>1.6674999999999999E-2</v>
      </c>
      <c r="L206" s="5">
        <f t="shared" ca="1" si="95"/>
        <v>1.9616999999999999E-2</v>
      </c>
      <c r="M206" s="5">
        <f t="shared" ca="1" si="96"/>
        <v>2.1951999999999999E-2</v>
      </c>
      <c r="N206" s="5">
        <f t="shared" ca="1" si="97"/>
        <v>2.5805999999999999E-2</v>
      </c>
      <c r="O206" s="5">
        <f t="shared" ca="1" si="98"/>
        <v>2.9329000000000001E-2</v>
      </c>
      <c r="P206" s="8">
        <f t="shared" ca="1" si="99"/>
        <v>1004.4047639694696</v>
      </c>
      <c r="Q206" s="8">
        <f t="shared" ca="1" si="100"/>
        <v>2281.7823833590287</v>
      </c>
      <c r="R206" s="8">
        <f t="shared" ca="1" si="101"/>
        <v>1998.8707227099515</v>
      </c>
      <c r="S206" s="5">
        <f t="shared" ca="1" si="102"/>
        <v>1.8536140161312584E-2</v>
      </c>
      <c r="T206">
        <f t="shared" ca="1" si="103"/>
        <v>4.8264827954321382E-2</v>
      </c>
      <c r="U206" s="5">
        <f t="shared" ca="1" si="104"/>
        <v>3.3863784979194241E-2</v>
      </c>
    </row>
    <row r="207" spans="2:21" x14ac:dyDescent="0.25">
      <c r="B207">
        <f t="shared" si="87"/>
        <v>204</v>
      </c>
      <c r="C207">
        <f t="shared" si="105"/>
        <v>17</v>
      </c>
      <c r="D207">
        <f t="shared" si="106"/>
        <v>12</v>
      </c>
      <c r="E207" s="5">
        <f t="shared" ca="1" si="88"/>
        <v>8.7969999999999993E-3</v>
      </c>
      <c r="F207" s="5">
        <f t="shared" ca="1" si="89"/>
        <v>9.3139999999999994E-3</v>
      </c>
      <c r="G207" s="5">
        <f t="shared" ca="1" si="90"/>
        <v>1.1403999999999999E-2</v>
      </c>
      <c r="H207" s="5">
        <f t="shared" ca="1" si="91"/>
        <v>1.153E-2</v>
      </c>
      <c r="I207" s="5">
        <f t="shared" ca="1" si="92"/>
        <v>1.217E-2</v>
      </c>
      <c r="J207" s="5">
        <f t="shared" ca="1" si="93"/>
        <v>1.4973999999999999E-2</v>
      </c>
      <c r="K207" s="5">
        <f t="shared" ca="1" si="94"/>
        <v>1.6615000000000001E-2</v>
      </c>
      <c r="L207" s="5">
        <f t="shared" ca="1" si="95"/>
        <v>1.9708E-2</v>
      </c>
      <c r="M207" s="5">
        <f t="shared" ca="1" si="96"/>
        <v>2.198E-2</v>
      </c>
      <c r="N207" s="5">
        <f t="shared" ca="1" si="97"/>
        <v>2.5735000000000001E-2</v>
      </c>
      <c r="O207" s="5">
        <f t="shared" ca="1" si="98"/>
        <v>2.9277000000000001E-2</v>
      </c>
      <c r="P207" s="8">
        <f t="shared" ca="1" si="99"/>
        <v>1006.7550139747285</v>
      </c>
      <c r="Q207" s="8">
        <f t="shared" ca="1" si="100"/>
        <v>2289.8539854364881</v>
      </c>
      <c r="R207" s="8">
        <f t="shared" ca="1" si="101"/>
        <v>2004.7407234617713</v>
      </c>
      <c r="S207" s="5">
        <f t="shared" ca="1" si="102"/>
        <v>2.84435228541857E-2</v>
      </c>
      <c r="T207">
        <f t="shared" ca="1" si="103"/>
        <v>4.3284624278690738E-2</v>
      </c>
      <c r="U207" s="5">
        <f t="shared" ca="1" si="104"/>
        <v>3.5814692527478036E-2</v>
      </c>
    </row>
    <row r="208" spans="2:21" x14ac:dyDescent="0.25">
      <c r="B208">
        <f t="shared" si="87"/>
        <v>205</v>
      </c>
      <c r="C208">
        <f>C207+1</f>
        <v>18</v>
      </c>
      <c r="D208">
        <v>1</v>
      </c>
      <c r="E208" s="5">
        <f t="shared" ca="1" si="88"/>
        <v>8.8629999999999994E-3</v>
      </c>
      <c r="F208" s="5">
        <f t="shared" ca="1" si="89"/>
        <v>9.2759999999999995E-3</v>
      </c>
      <c r="G208" s="5">
        <f t="shared" ca="1" si="90"/>
        <v>1.1441E-2</v>
      </c>
      <c r="H208" s="5">
        <f t="shared" ca="1" si="91"/>
        <v>1.1587E-2</v>
      </c>
      <c r="I208" s="5">
        <f t="shared" ca="1" si="92"/>
        <v>1.2229E-2</v>
      </c>
      <c r="J208" s="5">
        <f t="shared" ca="1" si="93"/>
        <v>1.5021E-2</v>
      </c>
      <c r="K208" s="5">
        <f t="shared" ca="1" si="94"/>
        <v>1.6628E-2</v>
      </c>
      <c r="L208" s="5">
        <f t="shared" ca="1" si="95"/>
        <v>1.9767E-2</v>
      </c>
      <c r="M208" s="5">
        <f t="shared" ca="1" si="96"/>
        <v>2.2074E-2</v>
      </c>
      <c r="N208" s="5">
        <f t="shared" ca="1" si="97"/>
        <v>2.5694000000000002E-2</v>
      </c>
      <c r="O208" s="5">
        <f t="shared" ca="1" si="98"/>
        <v>2.9201000000000001E-2</v>
      </c>
      <c r="P208" s="8">
        <f t="shared" ca="1" si="99"/>
        <v>1005.6866787563901</v>
      </c>
      <c r="Q208" s="8">
        <f t="shared" ca="1" si="100"/>
        <v>2297.0546320179647</v>
      </c>
      <c r="R208" s="8">
        <f t="shared" ca="1" si="101"/>
        <v>2011.3718366579542</v>
      </c>
      <c r="S208" s="5">
        <f t="shared" ca="1" si="102"/>
        <v>-1.2659945527365124E-2</v>
      </c>
      <c r="T208">
        <f t="shared" ca="1" si="103"/>
        <v>3.8394577933729308E-2</v>
      </c>
      <c r="U208" s="5">
        <f t="shared" ca="1" si="104"/>
        <v>4.0422719739178124E-2</v>
      </c>
    </row>
    <row r="209" spans="2:21" x14ac:dyDescent="0.25">
      <c r="B209">
        <f t="shared" si="87"/>
        <v>206</v>
      </c>
      <c r="C209">
        <f>C208</f>
        <v>18</v>
      </c>
      <c r="D209">
        <v>2</v>
      </c>
      <c r="E209" s="5">
        <f t="shared" ca="1" si="88"/>
        <v>8.8100000000000001E-3</v>
      </c>
      <c r="F209" s="5">
        <f t="shared" ca="1" si="89"/>
        <v>9.3539999999999995E-3</v>
      </c>
      <c r="G209" s="5">
        <f t="shared" ca="1" si="90"/>
        <v>1.1442000000000001E-2</v>
      </c>
      <c r="H209" s="5">
        <f t="shared" ca="1" si="91"/>
        <v>1.1558000000000001E-2</v>
      </c>
      <c r="I209" s="5">
        <f t="shared" ca="1" si="92"/>
        <v>1.2171E-2</v>
      </c>
      <c r="J209" s="5">
        <f t="shared" ca="1" si="93"/>
        <v>1.5037999999999999E-2</v>
      </c>
      <c r="K209" s="5">
        <f t="shared" ca="1" si="94"/>
        <v>1.6684000000000001E-2</v>
      </c>
      <c r="L209" s="5">
        <f t="shared" ca="1" si="95"/>
        <v>1.9774E-2</v>
      </c>
      <c r="M209" s="5">
        <f t="shared" ca="1" si="96"/>
        <v>2.2041999999999999E-2</v>
      </c>
      <c r="N209" s="5">
        <f t="shared" ca="1" si="97"/>
        <v>2.5607999999999999E-2</v>
      </c>
      <c r="O209" s="5">
        <f t="shared" ca="1" si="98"/>
        <v>2.911E-2</v>
      </c>
      <c r="P209" s="8">
        <f t="shared" ca="1" si="99"/>
        <v>1001.3623405038625</v>
      </c>
      <c r="Q209" s="8">
        <f t="shared" ca="1" si="100"/>
        <v>2305.5869133235847</v>
      </c>
      <c r="R209" s="8">
        <f t="shared" ca="1" si="101"/>
        <v>2018.4434295192443</v>
      </c>
      <c r="S209" s="5">
        <f t="shared" ca="1" si="102"/>
        <v>-5.0395680872915717E-2</v>
      </c>
      <c r="T209">
        <f t="shared" ca="1" si="103"/>
        <v>4.5495308462574262E-2</v>
      </c>
      <c r="U209" s="5">
        <f t="shared" ca="1" si="104"/>
        <v>4.3015125865396978E-2</v>
      </c>
    </row>
    <row r="210" spans="2:21" x14ac:dyDescent="0.25">
      <c r="B210">
        <f t="shared" si="87"/>
        <v>207</v>
      </c>
      <c r="C210">
        <f t="shared" ref="C210:C219" si="107">C209</f>
        <v>18</v>
      </c>
      <c r="D210">
        <v>3</v>
      </c>
      <c r="E210" s="5">
        <f t="shared" ca="1" si="88"/>
        <v>8.8090000000000009E-3</v>
      </c>
      <c r="F210" s="5">
        <f t="shared" ca="1" si="89"/>
        <v>9.4020000000000006E-3</v>
      </c>
      <c r="G210" s="5">
        <f t="shared" ca="1" si="90"/>
        <v>1.1485E-2</v>
      </c>
      <c r="H210" s="5">
        <f t="shared" ca="1" si="91"/>
        <v>1.1542999999999999E-2</v>
      </c>
      <c r="I210" s="5">
        <f t="shared" ca="1" si="92"/>
        <v>1.2165E-2</v>
      </c>
      <c r="J210" s="5">
        <f t="shared" ca="1" si="93"/>
        <v>1.4992999999999999E-2</v>
      </c>
      <c r="K210" s="5">
        <f t="shared" ca="1" si="94"/>
        <v>1.6660000000000001E-2</v>
      </c>
      <c r="L210" s="5">
        <f t="shared" ca="1" si="95"/>
        <v>1.9852999999999999E-2</v>
      </c>
      <c r="M210" s="5">
        <f t="shared" ca="1" si="96"/>
        <v>2.1974E-2</v>
      </c>
      <c r="N210" s="5">
        <f t="shared" ca="1" si="97"/>
        <v>2.5586999999999999E-2</v>
      </c>
      <c r="O210" s="5">
        <f t="shared" ca="1" si="98"/>
        <v>2.9080999999999999E-2</v>
      </c>
      <c r="P210" s="8">
        <f t="shared" ca="1" si="99"/>
        <v>1001.9302177848467</v>
      </c>
      <c r="Q210" s="8">
        <f t="shared" ca="1" si="100"/>
        <v>2314.779898829468</v>
      </c>
      <c r="R210" s="8">
        <f t="shared" ca="1" si="101"/>
        <v>2025.0775923844578</v>
      </c>
      <c r="S210" s="5">
        <f t="shared" ca="1" si="102"/>
        <v>6.826522581759655E-3</v>
      </c>
      <c r="T210">
        <f t="shared" ca="1" si="103"/>
        <v>4.8910535777493151E-2</v>
      </c>
      <c r="U210" s="5">
        <f t="shared" ca="1" si="104"/>
        <v>4.0162119975930076E-2</v>
      </c>
    </row>
    <row r="211" spans="2:21" x14ac:dyDescent="0.25">
      <c r="B211">
        <f t="shared" si="87"/>
        <v>208</v>
      </c>
      <c r="C211">
        <f t="shared" si="107"/>
        <v>18</v>
      </c>
      <c r="D211">
        <f>D210+1</f>
        <v>4</v>
      </c>
      <c r="E211" s="5">
        <f t="shared" ca="1" si="88"/>
        <v>8.7880000000000007E-3</v>
      </c>
      <c r="F211" s="5">
        <f t="shared" ca="1" si="89"/>
        <v>9.4339999999999997E-3</v>
      </c>
      <c r="G211" s="5">
        <f t="shared" ca="1" si="90"/>
        <v>1.1487000000000001E-2</v>
      </c>
      <c r="H211" s="5">
        <f t="shared" ca="1" si="91"/>
        <v>1.1454000000000001E-2</v>
      </c>
      <c r="I211" s="5">
        <f t="shared" ca="1" si="92"/>
        <v>1.2156E-2</v>
      </c>
      <c r="J211" s="5">
        <f t="shared" ca="1" si="93"/>
        <v>1.4947E-2</v>
      </c>
      <c r="K211" s="5">
        <f t="shared" ca="1" si="94"/>
        <v>1.6583000000000001E-2</v>
      </c>
      <c r="L211" s="5">
        <f t="shared" ca="1" si="95"/>
        <v>1.9826E-2</v>
      </c>
      <c r="M211" s="5">
        <f t="shared" ca="1" si="96"/>
        <v>2.2069999999999999E-2</v>
      </c>
      <c r="N211" s="5">
        <f t="shared" ca="1" si="97"/>
        <v>2.5677999999999999E-2</v>
      </c>
      <c r="O211" s="5">
        <f t="shared" ca="1" si="98"/>
        <v>2.9024999999999999E-2</v>
      </c>
      <c r="P211" s="8">
        <f t="shared" ca="1" si="99"/>
        <v>1002.2148457176496</v>
      </c>
      <c r="Q211" s="8">
        <f t="shared" ca="1" si="100"/>
        <v>2324.9496272805632</v>
      </c>
      <c r="R211" s="8">
        <f t="shared" ca="1" si="101"/>
        <v>2031.2990295187692</v>
      </c>
      <c r="S211" s="5">
        <f t="shared" ca="1" si="102"/>
        <v>3.4142864949548851E-3</v>
      </c>
      <c r="T211">
        <f t="shared" ca="1" si="103"/>
        <v>5.401343256061291E-2</v>
      </c>
      <c r="U211" s="5">
        <f t="shared" ca="1" si="104"/>
        <v>3.7495720557561889E-2</v>
      </c>
    </row>
    <row r="212" spans="2:21" x14ac:dyDescent="0.25">
      <c r="B212">
        <f t="shared" si="87"/>
        <v>209</v>
      </c>
      <c r="C212">
        <f t="shared" si="107"/>
        <v>18</v>
      </c>
      <c r="D212">
        <f t="shared" ref="D212:D219" si="108">D211+1</f>
        <v>5</v>
      </c>
      <c r="E212" s="5">
        <f t="shared" ca="1" si="88"/>
        <v>8.7229999999999999E-3</v>
      </c>
      <c r="F212" s="5">
        <f t="shared" ca="1" si="89"/>
        <v>9.3410000000000003E-3</v>
      </c>
      <c r="G212" s="5">
        <f t="shared" ca="1" si="90"/>
        <v>1.1442000000000001E-2</v>
      </c>
      <c r="H212" s="5">
        <f t="shared" ca="1" si="91"/>
        <v>1.145E-2</v>
      </c>
      <c r="I212" s="5">
        <f t="shared" ca="1" si="92"/>
        <v>1.2232E-2</v>
      </c>
      <c r="J212" s="5">
        <f t="shared" ca="1" si="93"/>
        <v>1.5015000000000001E-2</v>
      </c>
      <c r="K212" s="5">
        <f t="shared" ca="1" si="94"/>
        <v>1.6622999999999999E-2</v>
      </c>
      <c r="L212" s="5">
        <f t="shared" ca="1" si="95"/>
        <v>1.992E-2</v>
      </c>
      <c r="M212" s="5">
        <f t="shared" ca="1" si="96"/>
        <v>2.2138000000000001E-2</v>
      </c>
      <c r="N212" s="5">
        <f t="shared" ca="1" si="97"/>
        <v>2.5628000000000001E-2</v>
      </c>
      <c r="O212" s="5">
        <f t="shared" ca="1" si="98"/>
        <v>2.8961000000000001E-2</v>
      </c>
      <c r="P212" s="8">
        <f t="shared" ca="1" si="99"/>
        <v>1001.2884421363548</v>
      </c>
      <c r="Q212" s="8">
        <f t="shared" ca="1" si="100"/>
        <v>2331.2364684323725</v>
      </c>
      <c r="R212" s="8">
        <f t="shared" ca="1" si="101"/>
        <v>2038.039591783064</v>
      </c>
      <c r="S212" s="5">
        <f t="shared" ca="1" si="102"/>
        <v>-1.1036056014175248E-2</v>
      </c>
      <c r="T212">
        <f t="shared" ca="1" si="103"/>
        <v>3.2935885791892439E-2</v>
      </c>
      <c r="U212" s="5">
        <f t="shared" ca="1" si="104"/>
        <v>4.0555061508231009E-2</v>
      </c>
    </row>
    <row r="213" spans="2:21" x14ac:dyDescent="0.25">
      <c r="B213">
        <f t="shared" si="87"/>
        <v>210</v>
      </c>
      <c r="C213">
        <f t="shared" si="107"/>
        <v>18</v>
      </c>
      <c r="D213">
        <f t="shared" si="108"/>
        <v>6</v>
      </c>
      <c r="E213" s="5">
        <f t="shared" ca="1" si="88"/>
        <v>8.8210000000000007E-3</v>
      </c>
      <c r="F213" s="5">
        <f t="shared" ca="1" si="89"/>
        <v>9.2809999999999993E-3</v>
      </c>
      <c r="G213" s="5">
        <f t="shared" ca="1" si="90"/>
        <v>1.1358E-2</v>
      </c>
      <c r="H213" s="5">
        <f t="shared" ca="1" si="91"/>
        <v>1.1464999999999999E-2</v>
      </c>
      <c r="I213" s="5">
        <f t="shared" ca="1" si="92"/>
        <v>1.2165E-2</v>
      </c>
      <c r="J213" s="5">
        <f t="shared" ca="1" si="93"/>
        <v>1.4923000000000001E-2</v>
      </c>
      <c r="K213" s="5">
        <f t="shared" ca="1" si="94"/>
        <v>1.6591000000000002E-2</v>
      </c>
      <c r="L213" s="5">
        <f t="shared" ca="1" si="95"/>
        <v>1.993E-2</v>
      </c>
      <c r="M213" s="5">
        <f t="shared" ca="1" si="96"/>
        <v>2.2113000000000001E-2</v>
      </c>
      <c r="N213" s="5">
        <f t="shared" ca="1" si="97"/>
        <v>2.5727E-2</v>
      </c>
      <c r="O213" s="5">
        <f t="shared" ca="1" si="98"/>
        <v>2.8962999999999999E-2</v>
      </c>
      <c r="P213" s="8">
        <f t="shared" ca="1" si="99"/>
        <v>1003.5062894120925</v>
      </c>
      <c r="Q213" s="8">
        <f t="shared" ca="1" si="100"/>
        <v>2341.3312725756364</v>
      </c>
      <c r="R213" s="8">
        <f t="shared" ca="1" si="101"/>
        <v>2045.5397538307004</v>
      </c>
      <c r="S213" s="5">
        <f t="shared" ca="1" si="102"/>
        <v>2.6906132274419372E-2</v>
      </c>
      <c r="T213">
        <f t="shared" ca="1" si="103"/>
        <v>5.3218433008218297E-2</v>
      </c>
      <c r="U213" s="5">
        <f t="shared" ca="1" si="104"/>
        <v>4.5065934810140866E-2</v>
      </c>
    </row>
    <row r="214" spans="2:21" x14ac:dyDescent="0.25">
      <c r="B214">
        <f t="shared" si="87"/>
        <v>211</v>
      </c>
      <c r="C214">
        <f t="shared" si="107"/>
        <v>18</v>
      </c>
      <c r="D214">
        <f t="shared" si="108"/>
        <v>7</v>
      </c>
      <c r="E214" s="5">
        <f t="shared" ca="1" si="88"/>
        <v>8.881E-3</v>
      </c>
      <c r="F214" s="5">
        <f t="shared" ca="1" si="89"/>
        <v>9.3279999999999995E-3</v>
      </c>
      <c r="G214" s="5">
        <f t="shared" ca="1" si="90"/>
        <v>1.1287999999999999E-2</v>
      </c>
      <c r="H214" s="5">
        <f t="shared" ca="1" si="91"/>
        <v>1.1504E-2</v>
      </c>
      <c r="I214" s="5">
        <f t="shared" ca="1" si="92"/>
        <v>1.2096000000000001E-2</v>
      </c>
      <c r="J214" s="5">
        <f t="shared" ca="1" si="93"/>
        <v>1.4871000000000001E-2</v>
      </c>
      <c r="K214" s="5">
        <f t="shared" ca="1" si="94"/>
        <v>1.6605999999999999E-2</v>
      </c>
      <c r="L214" s="5">
        <f t="shared" ca="1" si="95"/>
        <v>1.9848999999999999E-2</v>
      </c>
      <c r="M214" s="5">
        <f t="shared" ca="1" si="96"/>
        <v>2.2017999999999999E-2</v>
      </c>
      <c r="N214" s="5">
        <f t="shared" ca="1" si="97"/>
        <v>2.5697999999999999E-2</v>
      </c>
      <c r="O214" s="5">
        <f t="shared" ca="1" si="98"/>
        <v>2.9059999999999999E-2</v>
      </c>
      <c r="P214" s="8">
        <f t="shared" ca="1" si="99"/>
        <v>1001.1996696264459</v>
      </c>
      <c r="Q214" s="8">
        <f t="shared" ca="1" si="100"/>
        <v>2352.6994334979286</v>
      </c>
      <c r="R214" s="8">
        <f t="shared" ca="1" si="101"/>
        <v>2053.0739541028561</v>
      </c>
      <c r="S214" s="5">
        <f t="shared" ca="1" si="102"/>
        <v>-2.7236679298764773E-2</v>
      </c>
      <c r="T214">
        <f t="shared" ca="1" si="103"/>
        <v>5.984653378245193E-2</v>
      </c>
      <c r="U214" s="5">
        <f t="shared" ca="1" si="104"/>
        <v>4.5105254610199673E-2</v>
      </c>
    </row>
    <row r="215" spans="2:21" x14ac:dyDescent="0.25">
      <c r="B215">
        <f t="shared" si="87"/>
        <v>212</v>
      </c>
      <c r="C215">
        <f t="shared" si="107"/>
        <v>18</v>
      </c>
      <c r="D215">
        <f t="shared" si="108"/>
        <v>8</v>
      </c>
      <c r="E215" s="5">
        <f t="shared" ca="1" si="88"/>
        <v>8.9460000000000008E-3</v>
      </c>
      <c r="F215" s="5">
        <f t="shared" ca="1" si="89"/>
        <v>9.4160000000000008E-3</v>
      </c>
      <c r="G215" s="5">
        <f t="shared" ca="1" si="90"/>
        <v>1.1287999999999999E-2</v>
      </c>
      <c r="H215" s="5">
        <f t="shared" ca="1" si="91"/>
        <v>1.1429E-2</v>
      </c>
      <c r="I215" s="5">
        <f t="shared" ca="1" si="92"/>
        <v>1.2099E-2</v>
      </c>
      <c r="J215" s="5">
        <f t="shared" ca="1" si="93"/>
        <v>1.4964E-2</v>
      </c>
      <c r="K215" s="5">
        <f t="shared" ca="1" si="94"/>
        <v>1.6601999999999999E-2</v>
      </c>
      <c r="L215" s="5">
        <f t="shared" ca="1" si="95"/>
        <v>1.9909E-2</v>
      </c>
      <c r="M215" s="5">
        <f t="shared" ca="1" si="96"/>
        <v>2.2023000000000001E-2</v>
      </c>
      <c r="N215" s="5">
        <f t="shared" ca="1" si="97"/>
        <v>2.5718999999999999E-2</v>
      </c>
      <c r="O215" s="5">
        <f t="shared" ca="1" si="98"/>
        <v>2.9083999999999999E-2</v>
      </c>
      <c r="P215" s="8">
        <f t="shared" ca="1" si="99"/>
        <v>998.54287934216131</v>
      </c>
      <c r="Q215" s="8">
        <f t="shared" ca="1" si="100"/>
        <v>2361.8373176225282</v>
      </c>
      <c r="R215" s="8">
        <f t="shared" ca="1" si="101"/>
        <v>2060.577979872684</v>
      </c>
      <c r="S215" s="5">
        <f t="shared" ca="1" si="102"/>
        <v>-3.138262088142197E-2</v>
      </c>
      <c r="T215">
        <f t="shared" ca="1" si="103"/>
        <v>4.7616641138441301E-2</v>
      </c>
      <c r="U215" s="5">
        <f t="shared" ca="1" si="104"/>
        <v>4.4752772714385311E-2</v>
      </c>
    </row>
    <row r="216" spans="2:21" x14ac:dyDescent="0.25">
      <c r="B216">
        <f t="shared" si="87"/>
        <v>213</v>
      </c>
      <c r="C216">
        <f t="shared" si="107"/>
        <v>18</v>
      </c>
      <c r="D216">
        <f t="shared" si="108"/>
        <v>9</v>
      </c>
      <c r="E216" s="5">
        <f t="shared" ca="1" si="88"/>
        <v>8.9540000000000002E-3</v>
      </c>
      <c r="F216" s="5">
        <f t="shared" ca="1" si="89"/>
        <v>9.3390000000000001E-3</v>
      </c>
      <c r="G216" s="5">
        <f t="shared" ca="1" si="90"/>
        <v>1.1246000000000001E-2</v>
      </c>
      <c r="H216" s="5">
        <f t="shared" ca="1" si="91"/>
        <v>1.1405999999999999E-2</v>
      </c>
      <c r="I216" s="5">
        <f t="shared" ca="1" si="92"/>
        <v>1.2063000000000001E-2</v>
      </c>
      <c r="J216" s="5">
        <f t="shared" ca="1" si="93"/>
        <v>1.4988E-2</v>
      </c>
      <c r="K216" s="5">
        <f t="shared" ca="1" si="94"/>
        <v>1.6645E-2</v>
      </c>
      <c r="L216" s="5">
        <f t="shared" ca="1" si="95"/>
        <v>1.9841000000000001E-2</v>
      </c>
      <c r="M216" s="5">
        <f t="shared" ca="1" si="96"/>
        <v>2.1975999999999999E-2</v>
      </c>
      <c r="N216" s="5">
        <f t="shared" ca="1" si="97"/>
        <v>2.5631999999999999E-2</v>
      </c>
      <c r="O216" s="5">
        <f t="shared" ca="1" si="98"/>
        <v>2.9010999999999999E-2</v>
      </c>
      <c r="P216" s="8">
        <f t="shared" ca="1" si="99"/>
        <v>999.9362853099118</v>
      </c>
      <c r="Q216" s="8">
        <f t="shared" ca="1" si="100"/>
        <v>2374.3547151920475</v>
      </c>
      <c r="R216" s="8">
        <f t="shared" ca="1" si="101"/>
        <v>2067.4538385143105</v>
      </c>
      <c r="S216" s="5">
        <f t="shared" ca="1" si="102"/>
        <v>1.6874389728430618E-2</v>
      </c>
      <c r="T216">
        <f t="shared" ca="1" si="103"/>
        <v>6.5485254809348734E-2</v>
      </c>
      <c r="U216" s="5">
        <f t="shared" ca="1" si="104"/>
        <v>4.0785431981206717E-2</v>
      </c>
    </row>
    <row r="217" spans="2:21" x14ac:dyDescent="0.25">
      <c r="B217">
        <f t="shared" si="87"/>
        <v>214</v>
      </c>
      <c r="C217">
        <f t="shared" si="107"/>
        <v>18</v>
      </c>
      <c r="D217">
        <f t="shared" si="108"/>
        <v>10</v>
      </c>
      <c r="E217" s="5">
        <f t="shared" ca="1" si="88"/>
        <v>8.9739999999999993E-3</v>
      </c>
      <c r="F217" s="5">
        <f t="shared" ca="1" si="89"/>
        <v>9.4350000000000007E-3</v>
      </c>
      <c r="G217" s="5">
        <f t="shared" ca="1" si="90"/>
        <v>1.1253000000000001E-2</v>
      </c>
      <c r="H217" s="5">
        <f t="shared" ca="1" si="91"/>
        <v>1.1375E-2</v>
      </c>
      <c r="I217" s="5">
        <f t="shared" ca="1" si="92"/>
        <v>1.2119E-2</v>
      </c>
      <c r="J217" s="5">
        <f t="shared" ca="1" si="93"/>
        <v>1.5001E-2</v>
      </c>
      <c r="K217" s="5">
        <f t="shared" ca="1" si="94"/>
        <v>1.6649000000000001E-2</v>
      </c>
      <c r="L217" s="5">
        <f t="shared" ca="1" si="95"/>
        <v>1.9894999999999999E-2</v>
      </c>
      <c r="M217" s="5">
        <f t="shared" ca="1" si="96"/>
        <v>2.1912000000000001E-2</v>
      </c>
      <c r="N217" s="5">
        <f t="shared" ca="1" si="97"/>
        <v>2.5583000000000002E-2</v>
      </c>
      <c r="O217" s="5">
        <f t="shared" ca="1" si="98"/>
        <v>2.8937000000000001E-2</v>
      </c>
      <c r="P217" s="8">
        <f t="shared" ca="1" si="99"/>
        <v>1004.0274612467288</v>
      </c>
      <c r="Q217" s="8">
        <f t="shared" ca="1" si="100"/>
        <v>2387.2343322574129</v>
      </c>
      <c r="R217" s="8">
        <f t="shared" ca="1" si="101"/>
        <v>2073.8328021285347</v>
      </c>
      <c r="S217" s="5">
        <f t="shared" ca="1" si="102"/>
        <v>5.0217277230256284E-2</v>
      </c>
      <c r="T217">
        <f t="shared" ca="1" si="103"/>
        <v>6.7071235351869138E-2</v>
      </c>
      <c r="U217" s="5">
        <f t="shared" ca="1" si="104"/>
        <v>3.7659856107359467E-2</v>
      </c>
    </row>
    <row r="218" spans="2:21" x14ac:dyDescent="0.25">
      <c r="B218">
        <f t="shared" si="87"/>
        <v>215</v>
      </c>
      <c r="C218">
        <f t="shared" si="107"/>
        <v>18</v>
      </c>
      <c r="D218">
        <f t="shared" si="108"/>
        <v>11</v>
      </c>
      <c r="E218" s="5">
        <f t="shared" ca="1" si="88"/>
        <v>9.025E-3</v>
      </c>
      <c r="F218" s="5">
        <f t="shared" ca="1" si="89"/>
        <v>9.4619999999999999E-3</v>
      </c>
      <c r="G218" s="5">
        <f t="shared" ca="1" si="90"/>
        <v>1.1336000000000001E-2</v>
      </c>
      <c r="H218" s="5">
        <f t="shared" ca="1" si="91"/>
        <v>1.1409000000000001E-2</v>
      </c>
      <c r="I218" s="5">
        <f t="shared" ca="1" si="92"/>
        <v>1.2114E-2</v>
      </c>
      <c r="J218" s="5">
        <f t="shared" ca="1" si="93"/>
        <v>1.5102000000000001E-2</v>
      </c>
      <c r="K218" s="5">
        <f t="shared" ca="1" si="94"/>
        <v>1.6704E-2</v>
      </c>
      <c r="L218" s="5">
        <f t="shared" ca="1" si="95"/>
        <v>1.9996E-2</v>
      </c>
      <c r="M218" s="5">
        <f t="shared" ca="1" si="96"/>
        <v>2.1838E-2</v>
      </c>
      <c r="N218" s="5">
        <f t="shared" ca="1" si="97"/>
        <v>2.5486000000000002E-2</v>
      </c>
      <c r="O218" s="5">
        <f t="shared" ca="1" si="98"/>
        <v>2.8986999999999999E-2</v>
      </c>
      <c r="P218" s="8">
        <f t="shared" ca="1" si="99"/>
        <v>1008.1643418347928</v>
      </c>
      <c r="Q218" s="8">
        <f t="shared" ca="1" si="100"/>
        <v>2399.9957553208396</v>
      </c>
      <c r="R218" s="8">
        <f t="shared" ca="1" si="101"/>
        <v>2080.8383685543854</v>
      </c>
      <c r="S218" s="5">
        <f t="shared" ca="1" si="102"/>
        <v>5.0579434053093897E-2</v>
      </c>
      <c r="T218">
        <f t="shared" ca="1" si="103"/>
        <v>6.6068382126626232E-2</v>
      </c>
      <c r="U218" s="5">
        <f t="shared" ca="1" si="104"/>
        <v>4.1298619388047478E-2</v>
      </c>
    </row>
    <row r="219" spans="2:21" x14ac:dyDescent="0.25">
      <c r="B219">
        <f t="shared" si="87"/>
        <v>216</v>
      </c>
      <c r="C219">
        <f t="shared" si="107"/>
        <v>18</v>
      </c>
      <c r="D219">
        <f t="shared" si="108"/>
        <v>12</v>
      </c>
      <c r="E219" s="5">
        <f t="shared" ca="1" si="88"/>
        <v>8.966E-3</v>
      </c>
      <c r="F219" s="5">
        <f t="shared" ca="1" si="89"/>
        <v>9.5350000000000001E-3</v>
      </c>
      <c r="G219" s="5">
        <f t="shared" ca="1" si="90"/>
        <v>1.1368E-2</v>
      </c>
      <c r="H219" s="5">
        <f t="shared" ca="1" si="91"/>
        <v>1.1391E-2</v>
      </c>
      <c r="I219" s="5">
        <f t="shared" ca="1" si="92"/>
        <v>1.2144E-2</v>
      </c>
      <c r="J219" s="5">
        <f t="shared" ca="1" si="93"/>
        <v>1.5127E-2</v>
      </c>
      <c r="K219" s="5">
        <f t="shared" ca="1" si="94"/>
        <v>1.6754000000000002E-2</v>
      </c>
      <c r="L219" s="5">
        <f t="shared" ca="1" si="95"/>
        <v>2.0081000000000002E-2</v>
      </c>
      <c r="M219" s="5">
        <f t="shared" ca="1" si="96"/>
        <v>2.1817E-2</v>
      </c>
      <c r="N219" s="5">
        <f t="shared" ca="1" si="97"/>
        <v>2.5583999999999999E-2</v>
      </c>
      <c r="O219" s="5">
        <f t="shared" ca="1" si="98"/>
        <v>2.8946E-2</v>
      </c>
      <c r="P219" s="8">
        <f t="shared" ca="1" si="99"/>
        <v>1012.3099566911405</v>
      </c>
      <c r="Q219" s="8">
        <f t="shared" ca="1" si="100"/>
        <v>2406.4669774536515</v>
      </c>
      <c r="R219" s="8">
        <f t="shared" ca="1" si="101"/>
        <v>2087.9000084111626</v>
      </c>
      <c r="S219" s="5">
        <f t="shared" ca="1" si="102"/>
        <v>5.0475938988895769E-2</v>
      </c>
      <c r="T219">
        <f t="shared" ca="1" si="103"/>
        <v>3.28403459433824E-2</v>
      </c>
      <c r="U219" s="5">
        <f t="shared" ca="1" si="104"/>
        <v>4.1492593642991529E-2</v>
      </c>
    </row>
    <row r="220" spans="2:21" x14ac:dyDescent="0.25">
      <c r="B220">
        <f t="shared" si="87"/>
        <v>217</v>
      </c>
      <c r="C220">
        <f>C219+1</f>
        <v>19</v>
      </c>
      <c r="D220">
        <v>1</v>
      </c>
      <c r="E220" s="5">
        <f t="shared" ca="1" si="88"/>
        <v>8.9750000000000003E-3</v>
      </c>
      <c r="F220" s="5">
        <f t="shared" ca="1" si="89"/>
        <v>9.4800000000000006E-3</v>
      </c>
      <c r="G220" s="5">
        <f t="shared" ca="1" si="90"/>
        <v>1.1443E-2</v>
      </c>
      <c r="H220" s="5">
        <f t="shared" ca="1" si="91"/>
        <v>1.1454000000000001E-2</v>
      </c>
      <c r="I220" s="5">
        <f t="shared" ca="1" si="92"/>
        <v>1.2213E-2</v>
      </c>
      <c r="J220" s="5">
        <f t="shared" ca="1" si="93"/>
        <v>1.5151E-2</v>
      </c>
      <c r="K220" s="5">
        <f t="shared" ca="1" si="94"/>
        <v>1.6813999999999999E-2</v>
      </c>
      <c r="L220" s="5">
        <f t="shared" ca="1" si="95"/>
        <v>2.0063000000000001E-2</v>
      </c>
      <c r="M220" s="5">
        <f t="shared" ca="1" si="96"/>
        <v>2.1766000000000001E-2</v>
      </c>
      <c r="N220" s="5">
        <f t="shared" ca="1" si="97"/>
        <v>2.5624999999999998E-2</v>
      </c>
      <c r="O220" s="5">
        <f t="shared" ca="1" si="98"/>
        <v>2.8944999999999999E-2</v>
      </c>
      <c r="P220" s="8">
        <f t="shared" ca="1" si="99"/>
        <v>1009.61799608823</v>
      </c>
      <c r="Q220" s="8">
        <f t="shared" ca="1" si="100"/>
        <v>2414.2855505679267</v>
      </c>
      <c r="R220" s="8">
        <f t="shared" ca="1" si="101"/>
        <v>2094.2174909048517</v>
      </c>
      <c r="S220" s="5">
        <f t="shared" ca="1" si="102"/>
        <v>-3.1448102432098682E-2</v>
      </c>
      <c r="T220">
        <f t="shared" ca="1" si="103"/>
        <v>3.9692099863634395E-2</v>
      </c>
      <c r="U220" s="5">
        <f t="shared" ca="1" si="104"/>
        <v>3.6919489872323755E-2</v>
      </c>
    </row>
    <row r="221" spans="2:21" x14ac:dyDescent="0.25">
      <c r="B221">
        <f t="shared" si="87"/>
        <v>218</v>
      </c>
      <c r="C221">
        <f>C220</f>
        <v>19</v>
      </c>
      <c r="D221">
        <v>2</v>
      </c>
      <c r="E221" s="5">
        <f t="shared" ca="1" si="88"/>
        <v>8.9580000000000007E-3</v>
      </c>
      <c r="F221" s="5">
        <f t="shared" ca="1" si="89"/>
        <v>9.4889999999999992E-3</v>
      </c>
      <c r="G221" s="5">
        <f t="shared" ca="1" si="90"/>
        <v>1.1355000000000001E-2</v>
      </c>
      <c r="H221" s="5">
        <f t="shared" ca="1" si="91"/>
        <v>1.1469E-2</v>
      </c>
      <c r="I221" s="5">
        <f t="shared" ca="1" si="92"/>
        <v>1.2252000000000001E-2</v>
      </c>
      <c r="J221" s="5">
        <f t="shared" ca="1" si="93"/>
        <v>1.5127E-2</v>
      </c>
      <c r="K221" s="5">
        <f t="shared" ca="1" si="94"/>
        <v>1.6868999999999999E-2</v>
      </c>
      <c r="L221" s="5">
        <f t="shared" ca="1" si="95"/>
        <v>1.9980999999999999E-2</v>
      </c>
      <c r="M221" s="5">
        <f t="shared" ca="1" si="96"/>
        <v>2.1751E-2</v>
      </c>
      <c r="N221" s="5">
        <f t="shared" ca="1" si="97"/>
        <v>2.5558999999999998E-2</v>
      </c>
      <c r="O221" s="5">
        <f t="shared" ca="1" si="98"/>
        <v>2.904E-2</v>
      </c>
      <c r="P221" s="8">
        <f t="shared" ca="1" si="99"/>
        <v>1012.0292790149513</v>
      </c>
      <c r="Q221" s="8">
        <f t="shared" ca="1" si="100"/>
        <v>2427.2821756897424</v>
      </c>
      <c r="R221" s="8">
        <f t="shared" ca="1" si="101"/>
        <v>2101.0016997189805</v>
      </c>
      <c r="S221" s="5">
        <f t="shared" ca="1" si="102"/>
        <v>2.9039225333271815E-2</v>
      </c>
      <c r="T221">
        <f t="shared" ca="1" si="103"/>
        <v>6.6545970137172561E-2</v>
      </c>
      <c r="U221" s="5">
        <f t="shared" ca="1" si="104"/>
        <v>3.9574109860864411E-2</v>
      </c>
    </row>
    <row r="222" spans="2:21" x14ac:dyDescent="0.25">
      <c r="B222">
        <f t="shared" si="87"/>
        <v>219</v>
      </c>
      <c r="C222">
        <f t="shared" ref="C222:C231" si="109">C221</f>
        <v>19</v>
      </c>
      <c r="D222">
        <v>3</v>
      </c>
      <c r="E222" s="5">
        <f t="shared" ca="1" si="88"/>
        <v>9.0030000000000006E-3</v>
      </c>
      <c r="F222" s="5">
        <f t="shared" ca="1" si="89"/>
        <v>9.4479999999999998E-3</v>
      </c>
      <c r="G222" s="5">
        <f t="shared" ca="1" si="90"/>
        <v>1.1391E-2</v>
      </c>
      <c r="H222" s="5">
        <f t="shared" ca="1" si="91"/>
        <v>1.1435000000000001E-2</v>
      </c>
      <c r="I222" s="5">
        <f t="shared" ca="1" si="92"/>
        <v>1.2187999999999999E-2</v>
      </c>
      <c r="J222" s="5">
        <f t="shared" ca="1" si="93"/>
        <v>1.5084999999999999E-2</v>
      </c>
      <c r="K222" s="5">
        <f t="shared" ca="1" si="94"/>
        <v>1.6844999999999999E-2</v>
      </c>
      <c r="L222" s="5">
        <f t="shared" ca="1" si="95"/>
        <v>2.0022000000000002E-2</v>
      </c>
      <c r="M222" s="5">
        <f t="shared" ca="1" si="96"/>
        <v>2.1833999999999999E-2</v>
      </c>
      <c r="N222" s="5">
        <f t="shared" ca="1" si="97"/>
        <v>2.5561E-2</v>
      </c>
      <c r="O222" s="5">
        <f t="shared" ca="1" si="98"/>
        <v>2.9058E-2</v>
      </c>
      <c r="P222" s="8">
        <f t="shared" ca="1" si="99"/>
        <v>1012.6950105198491</v>
      </c>
      <c r="Q222" s="8">
        <f t="shared" ca="1" si="100"/>
        <v>2438.8217483989156</v>
      </c>
      <c r="R222" s="8">
        <f t="shared" ca="1" si="101"/>
        <v>2107.6628585860922</v>
      </c>
      <c r="S222" s="5">
        <f t="shared" ca="1" si="102"/>
        <v>7.9224436544334913E-3</v>
      </c>
      <c r="T222">
        <f t="shared" ca="1" si="103"/>
        <v>5.8564949475693705E-2</v>
      </c>
      <c r="U222" s="5">
        <f t="shared" ca="1" si="104"/>
        <v>3.8716101964221303E-2</v>
      </c>
    </row>
    <row r="223" spans="2:21" x14ac:dyDescent="0.25">
      <c r="B223">
        <f t="shared" si="87"/>
        <v>220</v>
      </c>
      <c r="C223">
        <f t="shared" si="109"/>
        <v>19</v>
      </c>
      <c r="D223">
        <f>D222+1</f>
        <v>4</v>
      </c>
      <c r="E223" s="5">
        <f t="shared" ca="1" si="88"/>
        <v>9.0620000000000006E-3</v>
      </c>
      <c r="F223" s="5">
        <f t="shared" ca="1" si="89"/>
        <v>9.3500000000000007E-3</v>
      </c>
      <c r="G223" s="5">
        <f t="shared" ca="1" si="90"/>
        <v>1.1317000000000001E-2</v>
      </c>
      <c r="H223" s="5">
        <f t="shared" ca="1" si="91"/>
        <v>1.1387E-2</v>
      </c>
      <c r="I223" s="5">
        <f t="shared" ca="1" si="92"/>
        <v>1.2208E-2</v>
      </c>
      <c r="J223" s="5">
        <f t="shared" ca="1" si="93"/>
        <v>1.5035E-2</v>
      </c>
      <c r="K223" s="5">
        <f t="shared" ca="1" si="94"/>
        <v>1.6757999999999999E-2</v>
      </c>
      <c r="L223" s="5">
        <f t="shared" ca="1" si="95"/>
        <v>1.9931000000000001E-2</v>
      </c>
      <c r="M223" s="5">
        <f t="shared" ca="1" si="96"/>
        <v>2.1819000000000002E-2</v>
      </c>
      <c r="N223" s="5">
        <f t="shared" ca="1" si="97"/>
        <v>2.5624000000000001E-2</v>
      </c>
      <c r="O223" s="5">
        <f t="shared" ca="1" si="98"/>
        <v>2.8969000000000002E-2</v>
      </c>
      <c r="P223" s="8">
        <f t="shared" ca="1" si="99"/>
        <v>1015.9629605993476</v>
      </c>
      <c r="Q223" s="8">
        <f t="shared" ca="1" si="100"/>
        <v>2449.2678772494082</v>
      </c>
      <c r="R223" s="8">
        <f t="shared" ca="1" si="101"/>
        <v>2114.8148849563931</v>
      </c>
      <c r="S223" s="5">
        <f t="shared" ca="1" si="102"/>
        <v>3.9418534586126285E-2</v>
      </c>
      <c r="T223">
        <f t="shared" ca="1" si="103"/>
        <v>5.2627542056255985E-2</v>
      </c>
      <c r="U223" s="5">
        <f t="shared" ca="1" si="104"/>
        <v>4.1488773315013633E-2</v>
      </c>
    </row>
    <row r="224" spans="2:21" x14ac:dyDescent="0.25">
      <c r="B224">
        <f t="shared" si="87"/>
        <v>221</v>
      </c>
      <c r="C224">
        <f t="shared" si="109"/>
        <v>19</v>
      </c>
      <c r="D224">
        <f t="shared" ref="D224:D231" si="110">D223+1</f>
        <v>5</v>
      </c>
      <c r="E224" s="5">
        <f t="shared" ca="1" si="88"/>
        <v>9.0379999999999992E-3</v>
      </c>
      <c r="F224" s="5">
        <f t="shared" ca="1" si="89"/>
        <v>9.3550000000000005E-3</v>
      </c>
      <c r="G224" s="5">
        <f t="shared" ca="1" si="90"/>
        <v>1.1292E-2</v>
      </c>
      <c r="H224" s="5">
        <f t="shared" ca="1" si="91"/>
        <v>1.1346E-2</v>
      </c>
      <c r="I224" s="5">
        <f t="shared" ca="1" si="92"/>
        <v>1.2113000000000001E-2</v>
      </c>
      <c r="J224" s="5">
        <f t="shared" ca="1" si="93"/>
        <v>1.4947E-2</v>
      </c>
      <c r="K224" s="5">
        <f t="shared" ca="1" si="94"/>
        <v>1.6671999999999999E-2</v>
      </c>
      <c r="L224" s="5">
        <f t="shared" ca="1" si="95"/>
        <v>1.9963999999999999E-2</v>
      </c>
      <c r="M224" s="5">
        <f t="shared" ca="1" si="96"/>
        <v>2.1755E-2</v>
      </c>
      <c r="N224" s="5">
        <f t="shared" ca="1" si="97"/>
        <v>2.5659000000000001E-2</v>
      </c>
      <c r="O224" s="5">
        <f t="shared" ca="1" si="98"/>
        <v>2.8881E-2</v>
      </c>
      <c r="P224" s="8">
        <f t="shared" ca="1" si="99"/>
        <v>1014.6180430899816</v>
      </c>
      <c r="Q224" s="8">
        <f t="shared" ca="1" si="100"/>
        <v>2459.354326357201</v>
      </c>
      <c r="R224" s="8">
        <f t="shared" ca="1" si="101"/>
        <v>2121.8098036465008</v>
      </c>
      <c r="S224" s="5">
        <f t="shared" ca="1" si="102"/>
        <v>-1.5770281423363248E-2</v>
      </c>
      <c r="T224">
        <f t="shared" ca="1" si="103"/>
        <v>5.05525952796834E-2</v>
      </c>
      <c r="U224" s="5">
        <f t="shared" ca="1" si="104"/>
        <v>4.0421021666671525E-2</v>
      </c>
    </row>
    <row r="225" spans="2:21" x14ac:dyDescent="0.25">
      <c r="B225">
        <f t="shared" si="87"/>
        <v>222</v>
      </c>
      <c r="C225">
        <f t="shared" si="109"/>
        <v>19</v>
      </c>
      <c r="D225">
        <f t="shared" si="110"/>
        <v>6</v>
      </c>
      <c r="E225" s="5">
        <f t="shared" ca="1" si="88"/>
        <v>9.0010000000000003E-3</v>
      </c>
      <c r="F225" s="5">
        <f t="shared" ca="1" si="89"/>
        <v>9.3970000000000008E-3</v>
      </c>
      <c r="G225" s="5">
        <f t="shared" ca="1" si="90"/>
        <v>1.1370999999999999E-2</v>
      </c>
      <c r="H225" s="5">
        <f t="shared" ca="1" si="91"/>
        <v>1.1332999999999999E-2</v>
      </c>
      <c r="I225" s="5">
        <f t="shared" ca="1" si="92"/>
        <v>1.2068000000000001E-2</v>
      </c>
      <c r="J225" s="5">
        <f t="shared" ca="1" si="93"/>
        <v>1.4973E-2</v>
      </c>
      <c r="K225" s="5">
        <f t="shared" ca="1" si="94"/>
        <v>1.6604000000000001E-2</v>
      </c>
      <c r="L225" s="5">
        <f t="shared" ca="1" si="95"/>
        <v>1.9890999999999999E-2</v>
      </c>
      <c r="M225" s="5">
        <f t="shared" ca="1" si="96"/>
        <v>2.1781999999999999E-2</v>
      </c>
      <c r="N225" s="5">
        <f t="shared" ca="1" si="97"/>
        <v>2.5638999999999999E-2</v>
      </c>
      <c r="O225" s="5">
        <f t="shared" ca="1" si="98"/>
        <v>2.8788999999999999E-2</v>
      </c>
      <c r="P225" s="8">
        <f t="shared" ca="1" si="99"/>
        <v>1011.7899255874883</v>
      </c>
      <c r="Q225" s="8">
        <f t="shared" ca="1" si="100"/>
        <v>2465.9553586111961</v>
      </c>
      <c r="R225" s="8">
        <f t="shared" ca="1" si="101"/>
        <v>2128.1507130488339</v>
      </c>
      <c r="S225" s="5">
        <f t="shared" ca="1" si="102"/>
        <v>-3.2940410593965526E-2</v>
      </c>
      <c r="T225">
        <f t="shared" ca="1" si="103"/>
        <v>3.2688363411377375E-2</v>
      </c>
      <c r="U225" s="5">
        <f t="shared" ca="1" si="104"/>
        <v>3.6456669740592973E-2</v>
      </c>
    </row>
    <row r="226" spans="2:21" x14ac:dyDescent="0.25">
      <c r="B226">
        <f t="shared" si="87"/>
        <v>223</v>
      </c>
      <c r="C226">
        <f t="shared" si="109"/>
        <v>19</v>
      </c>
      <c r="D226">
        <f t="shared" si="110"/>
        <v>7</v>
      </c>
      <c r="E226" s="5">
        <f t="shared" ca="1" si="88"/>
        <v>8.9709999999999998E-3</v>
      </c>
      <c r="F226" s="5">
        <f t="shared" ca="1" si="89"/>
        <v>9.495E-3</v>
      </c>
      <c r="G226" s="5">
        <f t="shared" ca="1" si="90"/>
        <v>1.1423000000000001E-2</v>
      </c>
      <c r="H226" s="5">
        <f t="shared" ca="1" si="91"/>
        <v>1.1247999999999999E-2</v>
      </c>
      <c r="I226" s="5">
        <f t="shared" ca="1" si="92"/>
        <v>1.2073E-2</v>
      </c>
      <c r="J226" s="5">
        <f t="shared" ca="1" si="93"/>
        <v>1.5051E-2</v>
      </c>
      <c r="K226" s="5">
        <f t="shared" ca="1" si="94"/>
        <v>1.6693E-2</v>
      </c>
      <c r="L226" s="5">
        <f t="shared" ca="1" si="95"/>
        <v>1.9816E-2</v>
      </c>
      <c r="M226" s="5">
        <f t="shared" ca="1" si="96"/>
        <v>2.1870000000000001E-2</v>
      </c>
      <c r="N226" s="5">
        <f t="shared" ca="1" si="97"/>
        <v>2.5552999999999999E-2</v>
      </c>
      <c r="O226" s="5">
        <f t="shared" ca="1" si="98"/>
        <v>2.8812000000000001E-2</v>
      </c>
      <c r="P226" s="8">
        <f t="shared" ca="1" si="99"/>
        <v>1007.910238548053</v>
      </c>
      <c r="Q226" s="8">
        <f t="shared" ca="1" si="100"/>
        <v>2472.6876626339317</v>
      </c>
      <c r="R226" s="8">
        <f t="shared" ca="1" si="101"/>
        <v>2134.3149377324867</v>
      </c>
      <c r="S226" s="5">
        <f t="shared" ca="1" si="102"/>
        <v>-4.5055629867430766E-2</v>
      </c>
      <c r="T226">
        <f t="shared" ca="1" si="103"/>
        <v>3.3257628240810744E-2</v>
      </c>
      <c r="U226" s="5">
        <f t="shared" ca="1" si="104"/>
        <v>3.5317312578054094E-2</v>
      </c>
    </row>
    <row r="227" spans="2:21" x14ac:dyDescent="0.25">
      <c r="B227">
        <f t="shared" si="87"/>
        <v>224</v>
      </c>
      <c r="C227">
        <f t="shared" si="109"/>
        <v>19</v>
      </c>
      <c r="D227">
        <f t="shared" si="110"/>
        <v>8</v>
      </c>
      <c r="E227" s="5">
        <f t="shared" ca="1" si="88"/>
        <v>8.9440000000000006E-3</v>
      </c>
      <c r="F227" s="5">
        <f t="shared" ca="1" si="89"/>
        <v>9.5160000000000002E-3</v>
      </c>
      <c r="G227" s="5">
        <f t="shared" ca="1" si="90"/>
        <v>1.1368E-2</v>
      </c>
      <c r="H227" s="5">
        <f t="shared" ca="1" si="91"/>
        <v>1.1213000000000001E-2</v>
      </c>
      <c r="I227" s="5">
        <f t="shared" ca="1" si="92"/>
        <v>1.2083999999999999E-2</v>
      </c>
      <c r="J227" s="5">
        <f t="shared" ca="1" si="93"/>
        <v>1.515E-2</v>
      </c>
      <c r="K227" s="5">
        <f t="shared" ca="1" si="94"/>
        <v>1.6752E-2</v>
      </c>
      <c r="L227" s="5">
        <f t="shared" ca="1" si="95"/>
        <v>1.9781E-2</v>
      </c>
      <c r="M227" s="5">
        <f t="shared" ca="1" si="96"/>
        <v>2.1911E-2</v>
      </c>
      <c r="N227" s="5">
        <f t="shared" ca="1" si="97"/>
        <v>2.5551000000000001E-2</v>
      </c>
      <c r="O227" s="5">
        <f t="shared" ca="1" si="98"/>
        <v>2.8903999999999999E-2</v>
      </c>
      <c r="P227" s="8">
        <f t="shared" ca="1" si="99"/>
        <v>1006.0206156673141</v>
      </c>
      <c r="Q227" s="8">
        <f t="shared" ca="1" si="100"/>
        <v>2481.0811719219892</v>
      </c>
      <c r="R227" s="8">
        <f t="shared" ca="1" si="101"/>
        <v>2140.5062968123671</v>
      </c>
      <c r="S227" s="5">
        <f t="shared" ca="1" si="102"/>
        <v>-2.226697750873317E-2</v>
      </c>
      <c r="T227">
        <f t="shared" ca="1" si="103"/>
        <v>4.1503018665718761E-2</v>
      </c>
      <c r="U227" s="5">
        <f t="shared" ca="1" si="104"/>
        <v>3.5371174320252226E-2</v>
      </c>
    </row>
    <row r="228" spans="2:21" x14ac:dyDescent="0.25">
      <c r="B228">
        <f t="shared" si="87"/>
        <v>225</v>
      </c>
      <c r="C228">
        <f t="shared" si="109"/>
        <v>19</v>
      </c>
      <c r="D228">
        <f t="shared" si="110"/>
        <v>9</v>
      </c>
      <c r="E228" s="5">
        <f t="shared" ca="1" si="88"/>
        <v>8.9160000000000003E-3</v>
      </c>
      <c r="F228" s="5">
        <f t="shared" ca="1" si="89"/>
        <v>9.4260000000000004E-3</v>
      </c>
      <c r="G228" s="5">
        <f t="shared" ca="1" si="90"/>
        <v>1.1292E-2</v>
      </c>
      <c r="H228" s="5">
        <f t="shared" ca="1" si="91"/>
        <v>1.1249E-2</v>
      </c>
      <c r="I228" s="5">
        <f t="shared" ca="1" si="92"/>
        <v>1.2123999999999999E-2</v>
      </c>
      <c r="J228" s="5">
        <f t="shared" ca="1" si="93"/>
        <v>1.5180000000000001E-2</v>
      </c>
      <c r="K228" s="5">
        <f t="shared" ca="1" si="94"/>
        <v>1.6833000000000001E-2</v>
      </c>
      <c r="L228" s="5">
        <f t="shared" ca="1" si="95"/>
        <v>1.9751000000000001E-2</v>
      </c>
      <c r="M228" s="5">
        <f t="shared" ca="1" si="96"/>
        <v>2.1928E-2</v>
      </c>
      <c r="N228" s="5">
        <f t="shared" ca="1" si="97"/>
        <v>2.5603999999999998E-2</v>
      </c>
      <c r="O228" s="5">
        <f t="shared" ca="1" si="98"/>
        <v>2.8842E-2</v>
      </c>
      <c r="P228" s="8">
        <f t="shared" ca="1" si="99"/>
        <v>1004.0062792284635</v>
      </c>
      <c r="Q228" s="8">
        <f t="shared" ca="1" si="100"/>
        <v>2488.6398769214929</v>
      </c>
      <c r="R228" s="8">
        <f t="shared" ca="1" si="101"/>
        <v>2146.3816910405344</v>
      </c>
      <c r="S228" s="5">
        <f t="shared" ca="1" si="102"/>
        <v>-2.3764533106957669E-2</v>
      </c>
      <c r="T228">
        <f t="shared" ca="1" si="103"/>
        <v>3.7177276223177014E-2</v>
      </c>
      <c r="U228" s="5">
        <f t="shared" ca="1" si="104"/>
        <v>3.3440182623014049E-2</v>
      </c>
    </row>
    <row r="229" spans="2:21" x14ac:dyDescent="0.25">
      <c r="B229">
        <f t="shared" si="87"/>
        <v>226</v>
      </c>
      <c r="C229">
        <f t="shared" si="109"/>
        <v>19</v>
      </c>
      <c r="D229">
        <f t="shared" si="110"/>
        <v>10</v>
      </c>
      <c r="E229" s="5">
        <f t="shared" ca="1" si="88"/>
        <v>9.0170000000000007E-3</v>
      </c>
      <c r="F229" s="5">
        <f t="shared" ca="1" si="89"/>
        <v>9.3279999999999995E-3</v>
      </c>
      <c r="G229" s="5">
        <f t="shared" ca="1" si="90"/>
        <v>1.1379E-2</v>
      </c>
      <c r="H229" s="5">
        <f t="shared" ca="1" si="91"/>
        <v>1.1278E-2</v>
      </c>
      <c r="I229" s="5">
        <f t="shared" ca="1" si="92"/>
        <v>1.2086E-2</v>
      </c>
      <c r="J229" s="5">
        <f t="shared" ca="1" si="93"/>
        <v>1.5223E-2</v>
      </c>
      <c r="K229" s="5">
        <f t="shared" ca="1" si="94"/>
        <v>1.6879000000000002E-2</v>
      </c>
      <c r="L229" s="5">
        <f t="shared" ca="1" si="95"/>
        <v>1.9827999999999998E-2</v>
      </c>
      <c r="M229" s="5">
        <f t="shared" ca="1" si="96"/>
        <v>2.1905999999999998E-2</v>
      </c>
      <c r="N229" s="5">
        <f t="shared" ca="1" si="97"/>
        <v>2.5516E-2</v>
      </c>
      <c r="O229" s="5">
        <f t="shared" ca="1" si="98"/>
        <v>2.8884E-2</v>
      </c>
      <c r="P229" s="8">
        <f t="shared" ca="1" si="99"/>
        <v>1001.3143987536105</v>
      </c>
      <c r="Q229" s="8">
        <f t="shared" ca="1" si="100"/>
        <v>2499.4930615660846</v>
      </c>
      <c r="R229" s="8">
        <f t="shared" ca="1" si="101"/>
        <v>2152.0419433869624</v>
      </c>
      <c r="S229" s="5">
        <f t="shared" ca="1" si="102"/>
        <v>-3.1703442224253746E-2</v>
      </c>
      <c r="T229">
        <f t="shared" ca="1" si="103"/>
        <v>5.3606779937770806E-2</v>
      </c>
      <c r="U229" s="5">
        <f t="shared" ca="1" si="104"/>
        <v>3.2108410208861425E-2</v>
      </c>
    </row>
    <row r="230" spans="2:21" x14ac:dyDescent="0.25">
      <c r="B230">
        <f t="shared" si="87"/>
        <v>227</v>
      </c>
      <c r="C230">
        <f t="shared" si="109"/>
        <v>19</v>
      </c>
      <c r="D230">
        <f t="shared" si="110"/>
        <v>11</v>
      </c>
      <c r="E230" s="5">
        <f t="shared" ca="1" si="88"/>
        <v>8.992E-3</v>
      </c>
      <c r="F230" s="5">
        <f t="shared" ca="1" si="89"/>
        <v>9.2339999999999992E-3</v>
      </c>
      <c r="G230" s="5">
        <f t="shared" ca="1" si="90"/>
        <v>1.1351999999999999E-2</v>
      </c>
      <c r="H230" s="5">
        <f t="shared" ca="1" si="91"/>
        <v>1.1212E-2</v>
      </c>
      <c r="I230" s="5">
        <f t="shared" ca="1" si="92"/>
        <v>1.2144E-2</v>
      </c>
      <c r="J230" s="5">
        <f t="shared" ca="1" si="93"/>
        <v>1.515E-2</v>
      </c>
      <c r="K230" s="5">
        <f t="shared" ca="1" si="94"/>
        <v>1.6975000000000001E-2</v>
      </c>
      <c r="L230" s="5">
        <f t="shared" ca="1" si="95"/>
        <v>1.9807999999999999E-2</v>
      </c>
      <c r="M230" s="5">
        <f t="shared" ca="1" si="96"/>
        <v>2.1839999999999998E-2</v>
      </c>
      <c r="N230" s="5">
        <f t="shared" ca="1" si="97"/>
        <v>2.5602E-2</v>
      </c>
      <c r="O230" s="5">
        <f t="shared" ca="1" si="98"/>
        <v>2.8867E-2</v>
      </c>
      <c r="P230" s="8">
        <f t="shared" ca="1" si="99"/>
        <v>999.80556726594148</v>
      </c>
      <c r="Q230" s="8">
        <f t="shared" ca="1" si="100"/>
        <v>2511.7816212640132</v>
      </c>
      <c r="R230" s="8">
        <f t="shared" ca="1" si="101"/>
        <v>2157.8422009609981</v>
      </c>
      <c r="S230" s="5">
        <f t="shared" ca="1" si="102"/>
        <v>-1.7933101218275051E-2</v>
      </c>
      <c r="T230">
        <f t="shared" ca="1" si="103"/>
        <v>6.061878383114374E-2</v>
      </c>
      <c r="U230" s="5">
        <f t="shared" ca="1" si="104"/>
        <v>3.28265900071565E-2</v>
      </c>
    </row>
    <row r="231" spans="2:21" x14ac:dyDescent="0.25">
      <c r="B231">
        <f t="shared" si="87"/>
        <v>228</v>
      </c>
      <c r="C231">
        <f t="shared" si="109"/>
        <v>19</v>
      </c>
      <c r="D231">
        <f t="shared" si="110"/>
        <v>12</v>
      </c>
      <c r="E231" s="5">
        <f t="shared" ca="1" si="88"/>
        <v>9.0229999999999998E-3</v>
      </c>
      <c r="F231" s="5">
        <f t="shared" ca="1" si="89"/>
        <v>9.1599999999999997E-3</v>
      </c>
      <c r="G231" s="5">
        <f t="shared" ca="1" si="90"/>
        <v>1.1327E-2</v>
      </c>
      <c r="H231" s="5">
        <f t="shared" ca="1" si="91"/>
        <v>1.1213000000000001E-2</v>
      </c>
      <c r="I231" s="5">
        <f t="shared" ca="1" si="92"/>
        <v>1.2052999999999999E-2</v>
      </c>
      <c r="J231" s="5">
        <f t="shared" ca="1" si="93"/>
        <v>1.5151E-2</v>
      </c>
      <c r="K231" s="5">
        <f t="shared" ca="1" si="94"/>
        <v>1.7038999999999999E-2</v>
      </c>
      <c r="L231" s="5">
        <f t="shared" ca="1" si="95"/>
        <v>1.9768000000000001E-2</v>
      </c>
      <c r="M231" s="5">
        <f t="shared" ca="1" si="96"/>
        <v>2.1787000000000001E-2</v>
      </c>
      <c r="N231" s="5">
        <f t="shared" ca="1" si="97"/>
        <v>2.5614000000000001E-2</v>
      </c>
      <c r="O231" s="5">
        <f t="shared" ca="1" si="98"/>
        <v>2.8958000000000001E-2</v>
      </c>
      <c r="P231" s="8">
        <f t="shared" ca="1" si="99"/>
        <v>999.54179550710967</v>
      </c>
      <c r="Q231" s="8">
        <f t="shared" ca="1" si="100"/>
        <v>2519.0418300211986</v>
      </c>
      <c r="R231" s="8">
        <f t="shared" ca="1" si="101"/>
        <v>2163.1507376558466</v>
      </c>
      <c r="S231" s="5">
        <f t="shared" ca="1" si="102"/>
        <v>-3.1612869215736144E-3</v>
      </c>
      <c r="T231">
        <f t="shared" ca="1" si="103"/>
        <v>3.5242303564774875E-2</v>
      </c>
      <c r="U231" s="5">
        <f t="shared" ca="1" si="104"/>
        <v>2.9924098040861352E-2</v>
      </c>
    </row>
    <row r="232" spans="2:21" x14ac:dyDescent="0.25">
      <c r="B232">
        <f t="shared" si="87"/>
        <v>229</v>
      </c>
      <c r="C232">
        <f>C231+1</f>
        <v>20</v>
      </c>
      <c r="D232">
        <v>1</v>
      </c>
      <c r="E232" s="5">
        <f t="shared" ca="1" si="88"/>
        <v>9.0969999999999992E-3</v>
      </c>
      <c r="F232" s="5">
        <f t="shared" ca="1" si="89"/>
        <v>9.1129999999999996E-3</v>
      </c>
      <c r="G232" s="5">
        <f t="shared" ca="1" si="90"/>
        <v>1.1339E-2</v>
      </c>
      <c r="H232" s="5">
        <f t="shared" ca="1" si="91"/>
        <v>1.1122E-2</v>
      </c>
      <c r="I232" s="5">
        <f t="shared" ca="1" si="92"/>
        <v>1.2038E-2</v>
      </c>
      <c r="J232" s="5">
        <f t="shared" ca="1" si="93"/>
        <v>1.506E-2</v>
      </c>
      <c r="K232" s="5">
        <f t="shared" ca="1" si="94"/>
        <v>1.7070999999999999E-2</v>
      </c>
      <c r="L232" s="5">
        <f t="shared" ca="1" si="95"/>
        <v>1.9682000000000002E-2</v>
      </c>
      <c r="M232" s="5">
        <f t="shared" ca="1" si="96"/>
        <v>2.1815999999999999E-2</v>
      </c>
      <c r="N232" s="5">
        <f t="shared" ca="1" si="97"/>
        <v>2.5614999999999999E-2</v>
      </c>
      <c r="O232" s="5">
        <f t="shared" ca="1" si="98"/>
        <v>2.8913999999999999E-2</v>
      </c>
      <c r="P232" s="8">
        <f t="shared" ca="1" si="99"/>
        <v>997.79751873715259</v>
      </c>
      <c r="Q232" s="8">
        <f t="shared" ca="1" si="100"/>
        <v>2528.4031592045667</v>
      </c>
      <c r="R232" s="8">
        <f t="shared" ca="1" si="101"/>
        <v>2168.0369076484744</v>
      </c>
      <c r="S232" s="5">
        <f t="shared" ca="1" si="102"/>
        <v>-2.0741091780479531E-2</v>
      </c>
      <c r="T232">
        <f t="shared" ca="1" si="103"/>
        <v>4.5517582221336304E-2</v>
      </c>
      <c r="U232" s="5">
        <f t="shared" ca="1" si="104"/>
        <v>2.7445148613546012E-2</v>
      </c>
    </row>
    <row r="233" spans="2:21" x14ac:dyDescent="0.25">
      <c r="B233">
        <f t="shared" si="87"/>
        <v>230</v>
      </c>
      <c r="C233">
        <f>C232</f>
        <v>20</v>
      </c>
      <c r="D233">
        <v>2</v>
      </c>
      <c r="E233" s="5">
        <f t="shared" ca="1" si="88"/>
        <v>9.1190000000000004E-3</v>
      </c>
      <c r="F233" s="5">
        <f t="shared" ca="1" si="89"/>
        <v>9.0220000000000005E-3</v>
      </c>
      <c r="G233" s="5">
        <f t="shared" ca="1" si="90"/>
        <v>1.1403E-2</v>
      </c>
      <c r="H233" s="5">
        <f t="shared" ca="1" si="91"/>
        <v>1.1024000000000001E-2</v>
      </c>
      <c r="I233" s="5">
        <f t="shared" ca="1" si="92"/>
        <v>1.2109999999999999E-2</v>
      </c>
      <c r="J233" s="5">
        <f t="shared" ca="1" si="93"/>
        <v>1.5043000000000001E-2</v>
      </c>
      <c r="K233" s="5">
        <f t="shared" ca="1" si="94"/>
        <v>1.6981E-2</v>
      </c>
      <c r="L233" s="5">
        <f t="shared" ca="1" si="95"/>
        <v>1.9618E-2</v>
      </c>
      <c r="M233" s="5">
        <f t="shared" ca="1" si="96"/>
        <v>2.1885999999999999E-2</v>
      </c>
      <c r="N233" s="5">
        <f t="shared" ca="1" si="97"/>
        <v>2.5537000000000001E-2</v>
      </c>
      <c r="O233" s="5">
        <f t="shared" ca="1" si="98"/>
        <v>2.8965000000000001E-2</v>
      </c>
      <c r="P233" s="8">
        <f t="shared" ca="1" si="99"/>
        <v>1000.1778318127392</v>
      </c>
      <c r="Q233" s="8">
        <f t="shared" ca="1" si="100"/>
        <v>2536.6357549621889</v>
      </c>
      <c r="R233" s="8">
        <f t="shared" ca="1" si="101"/>
        <v>2172.1792997066309</v>
      </c>
      <c r="S233" s="5">
        <f t="shared" ca="1" si="102"/>
        <v>2.9005411197974968E-2</v>
      </c>
      <c r="T233">
        <f t="shared" ca="1" si="103"/>
        <v>3.9779917412891753E-2</v>
      </c>
      <c r="U233" s="5">
        <f t="shared" ca="1" si="104"/>
        <v>2.3170462422072401E-2</v>
      </c>
    </row>
    <row r="234" spans="2:21" x14ac:dyDescent="0.25">
      <c r="B234">
        <f t="shared" si="87"/>
        <v>231</v>
      </c>
      <c r="C234">
        <f t="shared" ref="C234:C243" si="111">C233</f>
        <v>20</v>
      </c>
      <c r="D234">
        <v>3</v>
      </c>
      <c r="E234" s="5">
        <f t="shared" ca="1" si="88"/>
        <v>9.2180000000000005E-3</v>
      </c>
      <c r="F234" s="5">
        <f t="shared" ca="1" si="89"/>
        <v>9.044E-3</v>
      </c>
      <c r="G234" s="5">
        <f t="shared" ca="1" si="90"/>
        <v>1.1335E-2</v>
      </c>
      <c r="H234" s="5">
        <f t="shared" ca="1" si="91"/>
        <v>1.1101E-2</v>
      </c>
      <c r="I234" s="5">
        <f t="shared" ca="1" si="92"/>
        <v>1.2163999999999999E-2</v>
      </c>
      <c r="J234" s="5">
        <f t="shared" ca="1" si="93"/>
        <v>1.5129999999999999E-2</v>
      </c>
      <c r="K234" s="5">
        <f t="shared" ca="1" si="94"/>
        <v>1.7024999999999998E-2</v>
      </c>
      <c r="L234" s="5">
        <f t="shared" ca="1" si="95"/>
        <v>1.9636000000000001E-2</v>
      </c>
      <c r="M234" s="5">
        <f t="shared" ca="1" si="96"/>
        <v>2.1933999999999999E-2</v>
      </c>
      <c r="N234" s="5">
        <f t="shared" ca="1" si="97"/>
        <v>2.5506000000000001E-2</v>
      </c>
      <c r="O234" s="5">
        <f t="shared" ca="1" si="98"/>
        <v>2.8886999999999999E-2</v>
      </c>
      <c r="P234" s="8">
        <f t="shared" ca="1" si="99"/>
        <v>997.0750495313506</v>
      </c>
      <c r="Q234" s="8">
        <f t="shared" ca="1" si="100"/>
        <v>2550.4111357358611</v>
      </c>
      <c r="R234" s="8">
        <f t="shared" ca="1" si="101"/>
        <v>2176.3481692589207</v>
      </c>
      <c r="S234" s="5">
        <f t="shared" ca="1" si="102"/>
        <v>-3.6598116739508899E-2</v>
      </c>
      <c r="T234">
        <f t="shared" ca="1" si="103"/>
        <v>6.7148933774660594E-2</v>
      </c>
      <c r="U234" s="5">
        <f t="shared" ca="1" si="104"/>
        <v>2.3275191613268048E-2</v>
      </c>
    </row>
    <row r="235" spans="2:21" x14ac:dyDescent="0.25">
      <c r="B235">
        <f t="shared" si="87"/>
        <v>232</v>
      </c>
      <c r="C235">
        <f t="shared" si="111"/>
        <v>20</v>
      </c>
      <c r="D235">
        <f>D234+1</f>
        <v>4</v>
      </c>
      <c r="E235" s="5">
        <f t="shared" ca="1" si="88"/>
        <v>9.2460000000000007E-3</v>
      </c>
      <c r="F235" s="5">
        <f t="shared" ca="1" si="89"/>
        <v>9.0019999999999996E-3</v>
      </c>
      <c r="G235" s="5">
        <f t="shared" ca="1" si="90"/>
        <v>1.1405E-2</v>
      </c>
      <c r="H235" s="5">
        <f t="shared" ca="1" si="91"/>
        <v>1.1198E-2</v>
      </c>
      <c r="I235" s="5">
        <f t="shared" ca="1" si="92"/>
        <v>1.2253E-2</v>
      </c>
      <c r="J235" s="5">
        <f t="shared" ca="1" si="93"/>
        <v>1.5136E-2</v>
      </c>
      <c r="K235" s="5">
        <f t="shared" ca="1" si="94"/>
        <v>1.7059999999999999E-2</v>
      </c>
      <c r="L235" s="5">
        <f t="shared" ca="1" si="95"/>
        <v>1.9543999999999999E-2</v>
      </c>
      <c r="M235" s="5">
        <f t="shared" ca="1" si="96"/>
        <v>2.1919999999999999E-2</v>
      </c>
      <c r="N235" s="5">
        <f t="shared" ca="1" si="97"/>
        <v>2.5475000000000001E-2</v>
      </c>
      <c r="O235" s="5">
        <f t="shared" ca="1" si="98"/>
        <v>2.8937000000000001E-2</v>
      </c>
      <c r="P235" s="8">
        <f t="shared" ca="1" si="99"/>
        <v>999.08349668390827</v>
      </c>
      <c r="Q235" s="8">
        <f t="shared" ca="1" si="100"/>
        <v>2558.5960052862265</v>
      </c>
      <c r="R235" s="8">
        <f t="shared" ca="1" si="101"/>
        <v>2181.0232277852188</v>
      </c>
      <c r="S235" s="5">
        <f t="shared" ca="1" si="102"/>
        <v>2.4441673299577488E-2</v>
      </c>
      <c r="T235">
        <f t="shared" ca="1" si="103"/>
        <v>3.9197895060118206E-2</v>
      </c>
      <c r="U235" s="5">
        <f t="shared" ca="1" si="104"/>
        <v>2.608419142852857E-2</v>
      </c>
    </row>
    <row r="236" spans="2:21" x14ac:dyDescent="0.25">
      <c r="B236">
        <f t="shared" si="87"/>
        <v>233</v>
      </c>
      <c r="C236">
        <f t="shared" si="111"/>
        <v>20</v>
      </c>
      <c r="D236">
        <f t="shared" ref="D236:D243" si="112">D235+1</f>
        <v>5</v>
      </c>
      <c r="E236" s="5">
        <f t="shared" ca="1" si="88"/>
        <v>9.2650000000000007E-3</v>
      </c>
      <c r="F236" s="5">
        <f t="shared" ca="1" si="89"/>
        <v>8.9639999999999997E-3</v>
      </c>
      <c r="G236" s="5">
        <f t="shared" ca="1" si="90"/>
        <v>1.1424E-2</v>
      </c>
      <c r="H236" s="5">
        <f t="shared" ca="1" si="91"/>
        <v>1.1168000000000001E-2</v>
      </c>
      <c r="I236" s="5">
        <f t="shared" ca="1" si="92"/>
        <v>1.2330000000000001E-2</v>
      </c>
      <c r="J236" s="5">
        <f t="shared" ca="1" si="93"/>
        <v>1.5162E-2</v>
      </c>
      <c r="K236" s="5">
        <f t="shared" ca="1" si="94"/>
        <v>1.7145000000000001E-2</v>
      </c>
      <c r="L236" s="5">
        <f t="shared" ca="1" si="95"/>
        <v>1.9466000000000001E-2</v>
      </c>
      <c r="M236" s="5">
        <f t="shared" ca="1" si="96"/>
        <v>2.1989999999999999E-2</v>
      </c>
      <c r="N236" s="5">
        <f t="shared" ca="1" si="97"/>
        <v>2.5503000000000001E-2</v>
      </c>
      <c r="O236" s="5">
        <f t="shared" ca="1" si="98"/>
        <v>2.8967E-2</v>
      </c>
      <c r="P236" s="8">
        <f t="shared" ca="1" si="99"/>
        <v>995.90102757450734</v>
      </c>
      <c r="Q236" s="8">
        <f t="shared" ca="1" si="100"/>
        <v>2572.8844649156149</v>
      </c>
      <c r="R236" s="8">
        <f t="shared" ca="1" si="101"/>
        <v>2185.941396413602</v>
      </c>
      <c r="S236" s="5">
        <f t="shared" ca="1" si="102"/>
        <v>-3.7562040093308671E-2</v>
      </c>
      <c r="T236">
        <f t="shared" ca="1" si="103"/>
        <v>6.9111021079861584E-2</v>
      </c>
      <c r="U236" s="5">
        <f t="shared" ca="1" si="104"/>
        <v>2.7397928623935048E-2</v>
      </c>
    </row>
    <row r="237" spans="2:21" x14ac:dyDescent="0.25">
      <c r="B237">
        <f t="shared" si="87"/>
        <v>234</v>
      </c>
      <c r="C237">
        <f t="shared" si="111"/>
        <v>20</v>
      </c>
      <c r="D237">
        <f t="shared" si="112"/>
        <v>6</v>
      </c>
      <c r="E237" s="5">
        <f t="shared" ca="1" si="88"/>
        <v>9.3659999999999993E-3</v>
      </c>
      <c r="F237" s="5">
        <f t="shared" ca="1" si="89"/>
        <v>8.8679999999999991E-3</v>
      </c>
      <c r="G237" s="5">
        <f t="shared" ca="1" si="90"/>
        <v>1.1396999999999999E-2</v>
      </c>
      <c r="H237" s="5">
        <f t="shared" ca="1" si="91"/>
        <v>1.1245E-2</v>
      </c>
      <c r="I237" s="5">
        <f t="shared" ca="1" si="92"/>
        <v>1.2291E-2</v>
      </c>
      <c r="J237" s="5">
        <f t="shared" ca="1" si="93"/>
        <v>1.512E-2</v>
      </c>
      <c r="K237" s="5">
        <f t="shared" ca="1" si="94"/>
        <v>1.7239000000000001E-2</v>
      </c>
      <c r="L237" s="5">
        <f t="shared" ca="1" si="95"/>
        <v>1.9445E-2</v>
      </c>
      <c r="M237" s="5">
        <f t="shared" ca="1" si="96"/>
        <v>2.2009000000000001E-2</v>
      </c>
      <c r="N237" s="5">
        <f t="shared" ca="1" si="97"/>
        <v>2.5589000000000001E-2</v>
      </c>
      <c r="O237" s="5">
        <f t="shared" ca="1" si="98"/>
        <v>2.9013000000000001E-2</v>
      </c>
      <c r="P237" s="8">
        <f t="shared" ca="1" si="99"/>
        <v>994.12897319004344</v>
      </c>
      <c r="Q237" s="8">
        <f t="shared" ca="1" si="100"/>
        <v>2582.8198366193442</v>
      </c>
      <c r="R237" s="8">
        <f t="shared" ca="1" si="101"/>
        <v>2190.4790676631055</v>
      </c>
      <c r="S237" s="5">
        <f t="shared" ca="1" si="102"/>
        <v>-2.1144447816378351E-2</v>
      </c>
      <c r="T237">
        <f t="shared" ca="1" si="103"/>
        <v>4.7335784084194525E-2</v>
      </c>
      <c r="U237" s="5">
        <f t="shared" ca="1" si="104"/>
        <v>2.5196495911418804E-2</v>
      </c>
    </row>
    <row r="238" spans="2:21" x14ac:dyDescent="0.25">
      <c r="B238">
        <f t="shared" si="87"/>
        <v>235</v>
      </c>
      <c r="C238">
        <f t="shared" si="111"/>
        <v>20</v>
      </c>
      <c r="D238">
        <f t="shared" si="112"/>
        <v>7</v>
      </c>
      <c r="E238" s="5">
        <f t="shared" ca="1" si="88"/>
        <v>9.4369999999999992E-3</v>
      </c>
      <c r="F238" s="5">
        <f t="shared" ca="1" si="89"/>
        <v>8.8050000000000003E-3</v>
      </c>
      <c r="G238" s="5">
        <f t="shared" ca="1" si="90"/>
        <v>1.1449000000000001E-2</v>
      </c>
      <c r="H238" s="5">
        <f t="shared" ca="1" si="91"/>
        <v>1.1216E-2</v>
      </c>
      <c r="I238" s="5">
        <f t="shared" ca="1" si="92"/>
        <v>1.2343E-2</v>
      </c>
      <c r="J238" s="5">
        <f t="shared" ca="1" si="93"/>
        <v>1.5119E-2</v>
      </c>
      <c r="K238" s="5">
        <f t="shared" ca="1" si="94"/>
        <v>1.7250999999999999E-2</v>
      </c>
      <c r="L238" s="5">
        <f t="shared" ca="1" si="95"/>
        <v>1.9407000000000001E-2</v>
      </c>
      <c r="M238" s="5">
        <f t="shared" ca="1" si="96"/>
        <v>2.2001E-2</v>
      </c>
      <c r="N238" s="5">
        <f t="shared" ca="1" si="97"/>
        <v>2.5520999999999999E-2</v>
      </c>
      <c r="O238" s="5">
        <f t="shared" ca="1" si="98"/>
        <v>2.8929E-2</v>
      </c>
      <c r="P238" s="8">
        <f t="shared" ca="1" si="99"/>
        <v>994.08754303828346</v>
      </c>
      <c r="Q238" s="8">
        <f t="shared" ca="1" si="100"/>
        <v>2595.9938765263087</v>
      </c>
      <c r="R238" s="8">
        <f t="shared" ca="1" si="101"/>
        <v>2194.388309162704</v>
      </c>
      <c r="S238" s="5">
        <f t="shared" ca="1" si="102"/>
        <v>-4.9998329706303375E-4</v>
      </c>
      <c r="T238">
        <f t="shared" ca="1" si="103"/>
        <v>6.295433106078055E-2</v>
      </c>
      <c r="U238" s="5">
        <f t="shared" ca="1" si="104"/>
        <v>2.1627280857685942E-2</v>
      </c>
    </row>
    <row r="239" spans="2:21" x14ac:dyDescent="0.25">
      <c r="B239">
        <f t="shared" si="87"/>
        <v>236</v>
      </c>
      <c r="C239">
        <f t="shared" si="111"/>
        <v>20</v>
      </c>
      <c r="D239">
        <f t="shared" si="112"/>
        <v>8</v>
      </c>
      <c r="E239" s="5">
        <f t="shared" ca="1" si="88"/>
        <v>9.4490000000000008E-3</v>
      </c>
      <c r="F239" s="5">
        <f t="shared" ca="1" si="89"/>
        <v>8.7729999999999995E-3</v>
      </c>
      <c r="G239" s="5">
        <f t="shared" ca="1" si="90"/>
        <v>1.1502E-2</v>
      </c>
      <c r="H239" s="5">
        <f t="shared" ca="1" si="91"/>
        <v>1.1245E-2</v>
      </c>
      <c r="I239" s="5">
        <f t="shared" ca="1" si="92"/>
        <v>1.2345E-2</v>
      </c>
      <c r="J239" s="5">
        <f t="shared" ca="1" si="93"/>
        <v>1.5176E-2</v>
      </c>
      <c r="K239" s="5">
        <f t="shared" ca="1" si="94"/>
        <v>1.7181999999999999E-2</v>
      </c>
      <c r="L239" s="5">
        <f t="shared" ca="1" si="95"/>
        <v>1.9474999999999999E-2</v>
      </c>
      <c r="M239" s="5">
        <f t="shared" ca="1" si="96"/>
        <v>2.2024999999999999E-2</v>
      </c>
      <c r="N239" s="5">
        <f t="shared" ca="1" si="97"/>
        <v>2.5593999999999999E-2</v>
      </c>
      <c r="O239" s="5">
        <f t="shared" ca="1" si="98"/>
        <v>2.9010000000000001E-2</v>
      </c>
      <c r="P239" s="8">
        <f t="shared" ca="1" si="99"/>
        <v>997.06673885501152</v>
      </c>
      <c r="Q239" s="8">
        <f t="shared" ca="1" si="100"/>
        <v>2603.8012565936333</v>
      </c>
      <c r="R239" s="8">
        <f t="shared" ca="1" si="101"/>
        <v>2199.0513404019675</v>
      </c>
      <c r="S239" s="5">
        <f t="shared" ca="1" si="102"/>
        <v>3.6561720131876939E-2</v>
      </c>
      <c r="T239">
        <f t="shared" ca="1" si="103"/>
        <v>3.6692657379781876E-2</v>
      </c>
      <c r="U239" s="5">
        <f t="shared" ca="1" si="104"/>
        <v>2.5799906595008588E-2</v>
      </c>
    </row>
    <row r="240" spans="2:21" x14ac:dyDescent="0.25">
      <c r="B240">
        <f t="shared" si="87"/>
        <v>237</v>
      </c>
      <c r="C240">
        <f t="shared" si="111"/>
        <v>20</v>
      </c>
      <c r="D240">
        <f t="shared" si="112"/>
        <v>9</v>
      </c>
      <c r="E240" s="5">
        <f t="shared" ca="1" si="88"/>
        <v>9.4280000000000006E-3</v>
      </c>
      <c r="F240" s="5">
        <f t="shared" ca="1" si="89"/>
        <v>8.7869999999999997E-3</v>
      </c>
      <c r="G240" s="5">
        <f t="shared" ca="1" si="90"/>
        <v>1.1499000000000001E-2</v>
      </c>
      <c r="H240" s="5">
        <f t="shared" ca="1" si="91"/>
        <v>1.132E-2</v>
      </c>
      <c r="I240" s="5">
        <f t="shared" ca="1" si="92"/>
        <v>1.2336E-2</v>
      </c>
      <c r="J240" s="5">
        <f t="shared" ca="1" si="93"/>
        <v>1.5119E-2</v>
      </c>
      <c r="K240" s="5">
        <f t="shared" ca="1" si="94"/>
        <v>1.7239000000000001E-2</v>
      </c>
      <c r="L240" s="5">
        <f t="shared" ca="1" si="95"/>
        <v>1.9529000000000001E-2</v>
      </c>
      <c r="M240" s="5">
        <f t="shared" ca="1" si="96"/>
        <v>2.1936000000000001E-2</v>
      </c>
      <c r="N240" s="5">
        <f t="shared" ca="1" si="97"/>
        <v>2.5506000000000001E-2</v>
      </c>
      <c r="O240" s="5">
        <f t="shared" ca="1" si="98"/>
        <v>2.8944000000000001E-2</v>
      </c>
      <c r="P240" s="8">
        <f t="shared" ca="1" si="99"/>
        <v>994.96836838689524</v>
      </c>
      <c r="Q240" s="8">
        <f t="shared" ca="1" si="100"/>
        <v>2610.9762375481441</v>
      </c>
      <c r="R240" s="8">
        <f t="shared" ca="1" si="101"/>
        <v>2203.6190305517139</v>
      </c>
      <c r="S240" s="5">
        <f t="shared" ca="1" si="102"/>
        <v>-2.4964243865448425E-2</v>
      </c>
      <c r="T240">
        <f t="shared" ca="1" si="103"/>
        <v>3.3572736348566931E-2</v>
      </c>
      <c r="U240" s="5">
        <f t="shared" ca="1" si="104"/>
        <v>2.5212154191087896E-2</v>
      </c>
    </row>
    <row r="241" spans="2:21" x14ac:dyDescent="0.25">
      <c r="B241">
        <f t="shared" si="87"/>
        <v>238</v>
      </c>
      <c r="C241">
        <f t="shared" si="111"/>
        <v>20</v>
      </c>
      <c r="D241">
        <f t="shared" si="112"/>
        <v>10</v>
      </c>
      <c r="E241" s="5">
        <f t="shared" ca="1" si="88"/>
        <v>9.4219999999999998E-3</v>
      </c>
      <c r="F241" s="5">
        <f t="shared" ca="1" si="89"/>
        <v>8.7840000000000001E-3</v>
      </c>
      <c r="G241" s="5">
        <f t="shared" ca="1" si="90"/>
        <v>1.1524E-2</v>
      </c>
      <c r="H241" s="5">
        <f t="shared" ca="1" si="91"/>
        <v>1.1309E-2</v>
      </c>
      <c r="I241" s="5">
        <f t="shared" ca="1" si="92"/>
        <v>1.2323000000000001E-2</v>
      </c>
      <c r="J241" s="5">
        <f t="shared" ca="1" si="93"/>
        <v>1.5140000000000001E-2</v>
      </c>
      <c r="K241" s="5">
        <f t="shared" ca="1" si="94"/>
        <v>1.7236999999999999E-2</v>
      </c>
      <c r="L241" s="5">
        <f t="shared" ca="1" si="95"/>
        <v>1.9476E-2</v>
      </c>
      <c r="M241" s="5">
        <f t="shared" ca="1" si="96"/>
        <v>2.1937999999999999E-2</v>
      </c>
      <c r="N241" s="5">
        <f t="shared" ca="1" si="97"/>
        <v>2.5510999999999999E-2</v>
      </c>
      <c r="O241" s="5">
        <f t="shared" ca="1" si="98"/>
        <v>2.9014999999999999E-2</v>
      </c>
      <c r="P241" s="8">
        <f t="shared" ca="1" si="99"/>
        <v>995.14890646889035</v>
      </c>
      <c r="Q241" s="8">
        <f t="shared" ca="1" si="100"/>
        <v>2621.7323693120093</v>
      </c>
      <c r="R241" s="8">
        <f t="shared" ca="1" si="101"/>
        <v>2207.6541711010973</v>
      </c>
      <c r="S241" s="5">
        <f t="shared" ca="1" si="102"/>
        <v>2.1795872550609196E-3</v>
      </c>
      <c r="T241">
        <f t="shared" ca="1" si="103"/>
        <v>5.0570596575565722E-2</v>
      </c>
      <c r="U241" s="5">
        <f t="shared" ca="1" si="104"/>
        <v>2.2196370337129234E-2</v>
      </c>
    </row>
    <row r="242" spans="2:21" x14ac:dyDescent="0.25">
      <c r="B242">
        <f t="shared" si="87"/>
        <v>239</v>
      </c>
      <c r="C242">
        <f t="shared" si="111"/>
        <v>20</v>
      </c>
      <c r="D242">
        <f t="shared" si="112"/>
        <v>11</v>
      </c>
      <c r="E242" s="5">
        <f t="shared" ca="1" si="88"/>
        <v>9.5130000000000006E-3</v>
      </c>
      <c r="F242" s="5">
        <f t="shared" ca="1" si="89"/>
        <v>8.8149999999999999E-3</v>
      </c>
      <c r="G242" s="5">
        <f t="shared" ca="1" si="90"/>
        <v>1.1433E-2</v>
      </c>
      <c r="H242" s="5">
        <f t="shared" ca="1" si="91"/>
        <v>1.1244000000000001E-2</v>
      </c>
      <c r="I242" s="5">
        <f t="shared" ca="1" si="92"/>
        <v>1.2397999999999999E-2</v>
      </c>
      <c r="J242" s="5">
        <f t="shared" ca="1" si="93"/>
        <v>1.5164E-2</v>
      </c>
      <c r="K242" s="5">
        <f t="shared" ca="1" si="94"/>
        <v>1.7288999999999999E-2</v>
      </c>
      <c r="L242" s="5">
        <f t="shared" ca="1" si="95"/>
        <v>1.9400000000000001E-2</v>
      </c>
      <c r="M242" s="5">
        <f t="shared" ca="1" si="96"/>
        <v>2.2017999999999999E-2</v>
      </c>
      <c r="N242" s="5">
        <f t="shared" ca="1" si="97"/>
        <v>2.5486999999999999E-2</v>
      </c>
      <c r="O242" s="5">
        <f t="shared" ca="1" si="98"/>
        <v>2.8972999999999999E-2</v>
      </c>
      <c r="P242" s="8">
        <f t="shared" ca="1" si="99"/>
        <v>996.67460980659132</v>
      </c>
      <c r="Q242" s="8">
        <f t="shared" ca="1" si="100"/>
        <v>2633.8954757862116</v>
      </c>
      <c r="R242" s="8">
        <f t="shared" ca="1" si="101"/>
        <v>2211.9348469345655</v>
      </c>
      <c r="S242" s="5">
        <f t="shared" ca="1" si="102"/>
        <v>1.8553618869516068E-2</v>
      </c>
      <c r="T242">
        <f t="shared" ca="1" si="103"/>
        <v>5.711482182850567E-2</v>
      </c>
      <c r="U242" s="5">
        <f t="shared" ca="1" si="104"/>
        <v>2.3517943415691748E-2</v>
      </c>
    </row>
    <row r="243" spans="2:21" x14ac:dyDescent="0.25">
      <c r="B243">
        <f t="shared" si="87"/>
        <v>240</v>
      </c>
      <c r="C243">
        <f t="shared" si="111"/>
        <v>20</v>
      </c>
      <c r="D243">
        <f t="shared" si="112"/>
        <v>12</v>
      </c>
      <c r="E243" s="5">
        <f t="shared" ca="1" si="88"/>
        <v>9.5169999999999994E-3</v>
      </c>
      <c r="F243" s="5">
        <f t="shared" ca="1" si="89"/>
        <v>8.8509999999999995E-3</v>
      </c>
      <c r="G243" s="5">
        <f t="shared" ca="1" si="90"/>
        <v>1.1421000000000001E-2</v>
      </c>
      <c r="H243" s="5">
        <f t="shared" ca="1" si="91"/>
        <v>1.1259999999999999E-2</v>
      </c>
      <c r="I243" s="5">
        <f t="shared" ca="1" si="92"/>
        <v>1.2366E-2</v>
      </c>
      <c r="J243" s="5">
        <f t="shared" ca="1" si="93"/>
        <v>1.5084E-2</v>
      </c>
      <c r="K243" s="5">
        <f t="shared" ca="1" si="94"/>
        <v>1.7323000000000002E-2</v>
      </c>
      <c r="L243" s="5">
        <f t="shared" ca="1" si="95"/>
        <v>1.9389E-2</v>
      </c>
      <c r="M243" s="5">
        <f t="shared" ca="1" si="96"/>
        <v>2.2110000000000001E-2</v>
      </c>
      <c r="N243" s="5">
        <f t="shared" ca="1" si="97"/>
        <v>2.5440000000000001E-2</v>
      </c>
      <c r="O243" s="5">
        <f t="shared" ca="1" si="98"/>
        <v>2.9013000000000001E-2</v>
      </c>
      <c r="P243" s="8">
        <f t="shared" ca="1" si="99"/>
        <v>995.32370466116788</v>
      </c>
      <c r="Q243" s="8">
        <f t="shared" ca="1" si="100"/>
        <v>2644.640181425792</v>
      </c>
      <c r="R243" s="8">
        <f t="shared" ca="1" si="101"/>
        <v>2215.3196527028726</v>
      </c>
      <c r="S243" s="5">
        <f t="shared" ca="1" si="102"/>
        <v>-1.6144243772277762E-2</v>
      </c>
      <c r="T243">
        <f t="shared" ca="1" si="103"/>
        <v>5.0066176448093448E-2</v>
      </c>
      <c r="U243" s="5">
        <f t="shared" ca="1" si="104"/>
        <v>1.8518299397581425E-2</v>
      </c>
    </row>
    <row r="244" spans="2:21" x14ac:dyDescent="0.25">
      <c r="B244">
        <f t="shared" si="87"/>
        <v>241</v>
      </c>
      <c r="C244">
        <f>C243+1</f>
        <v>21</v>
      </c>
      <c r="D244">
        <v>1</v>
      </c>
      <c r="E244" s="5">
        <f t="shared" ca="1" si="88"/>
        <v>9.4230000000000008E-3</v>
      </c>
      <c r="F244" s="5">
        <f t="shared" ca="1" si="89"/>
        <v>8.94E-3</v>
      </c>
      <c r="G244" s="5">
        <f t="shared" ca="1" si="90"/>
        <v>1.1374E-2</v>
      </c>
      <c r="H244" s="5">
        <f t="shared" ca="1" si="91"/>
        <v>1.1299999999999999E-2</v>
      </c>
      <c r="I244" s="5">
        <f t="shared" ca="1" si="92"/>
        <v>1.2312E-2</v>
      </c>
      <c r="J244" s="5">
        <f t="shared" ca="1" si="93"/>
        <v>1.5093000000000001E-2</v>
      </c>
      <c r="K244" s="5">
        <f t="shared" ca="1" si="94"/>
        <v>1.7253999999999999E-2</v>
      </c>
      <c r="L244" s="5">
        <f t="shared" ca="1" si="95"/>
        <v>1.933E-2</v>
      </c>
      <c r="M244" s="5">
        <f t="shared" ca="1" si="96"/>
        <v>2.205E-2</v>
      </c>
      <c r="N244" s="5">
        <f t="shared" ca="1" si="97"/>
        <v>2.5395999999999998E-2</v>
      </c>
      <c r="O244" s="5">
        <f t="shared" ca="1" si="98"/>
        <v>2.9106E-2</v>
      </c>
      <c r="P244" s="8">
        <f t="shared" ca="1" si="99"/>
        <v>992.80956943326339</v>
      </c>
      <c r="Q244" s="8">
        <f t="shared" ca="1" si="100"/>
        <v>2653.2874294897947</v>
      </c>
      <c r="R244" s="8">
        <f t="shared" ca="1" si="101"/>
        <v>2218.7843577355752</v>
      </c>
      <c r="S244" s="5">
        <f t="shared" ca="1" si="102"/>
        <v>-2.9893786173875451E-2</v>
      </c>
      <c r="T244">
        <f t="shared" ca="1" si="103"/>
        <v>3.9950069267588428E-2</v>
      </c>
      <c r="U244" s="5">
        <f t="shared" ca="1" si="104"/>
        <v>1.892998439511609E-2</v>
      </c>
    </row>
    <row r="245" spans="2:21" x14ac:dyDescent="0.25">
      <c r="B245">
        <f t="shared" si="87"/>
        <v>242</v>
      </c>
      <c r="C245">
        <f>C244</f>
        <v>21</v>
      </c>
      <c r="D245">
        <v>2</v>
      </c>
      <c r="E245" s="5">
        <f t="shared" ca="1" si="88"/>
        <v>9.3869999999999995E-3</v>
      </c>
      <c r="F245" s="5">
        <f t="shared" ca="1" si="89"/>
        <v>9.0229999999999998E-3</v>
      </c>
      <c r="G245" s="5">
        <f t="shared" ca="1" si="90"/>
        <v>1.1361E-2</v>
      </c>
      <c r="H245" s="5">
        <f t="shared" ca="1" si="91"/>
        <v>1.1324000000000001E-2</v>
      </c>
      <c r="I245" s="5">
        <f t="shared" ca="1" si="92"/>
        <v>1.2345E-2</v>
      </c>
      <c r="J245" s="5">
        <f t="shared" ca="1" si="93"/>
        <v>1.5081000000000001E-2</v>
      </c>
      <c r="K245" s="5">
        <f t="shared" ca="1" si="94"/>
        <v>1.7224E-2</v>
      </c>
      <c r="L245" s="5">
        <f t="shared" ca="1" si="95"/>
        <v>1.9288E-2</v>
      </c>
      <c r="M245" s="5">
        <f t="shared" ca="1" si="96"/>
        <v>2.2079999999999999E-2</v>
      </c>
      <c r="N245" s="5">
        <f t="shared" ca="1" si="97"/>
        <v>2.5465999999999999E-2</v>
      </c>
      <c r="O245" s="5">
        <f t="shared" ca="1" si="98"/>
        <v>2.9162E-2</v>
      </c>
      <c r="P245" s="8">
        <f t="shared" ca="1" si="99"/>
        <v>993.48453511974708</v>
      </c>
      <c r="Q245" s="8">
        <f t="shared" ca="1" si="100"/>
        <v>2665.4091251613204</v>
      </c>
      <c r="R245" s="8">
        <f t="shared" ca="1" si="101"/>
        <v>2221.7015000221645</v>
      </c>
      <c r="S245" s="5">
        <f t="shared" ca="1" si="102"/>
        <v>8.1888241093888009E-3</v>
      </c>
      <c r="T245">
        <f t="shared" ca="1" si="103"/>
        <v>5.6221415940932697E-2</v>
      </c>
      <c r="U245" s="5">
        <f t="shared" ca="1" si="104"/>
        <v>1.5891562515586089E-2</v>
      </c>
    </row>
    <row r="246" spans="2:21" x14ac:dyDescent="0.25">
      <c r="B246">
        <f t="shared" si="87"/>
        <v>243</v>
      </c>
      <c r="C246">
        <f t="shared" ref="C246:C255" si="113">C245</f>
        <v>21</v>
      </c>
      <c r="D246">
        <v>3</v>
      </c>
      <c r="E246" s="5">
        <f t="shared" ca="1" si="88"/>
        <v>9.3299999999999998E-3</v>
      </c>
      <c r="F246" s="5">
        <f t="shared" ca="1" si="89"/>
        <v>9.0209999999999995E-3</v>
      </c>
      <c r="G246" s="5">
        <f t="shared" ca="1" si="90"/>
        <v>1.1407E-2</v>
      </c>
      <c r="H246" s="5">
        <f t="shared" ca="1" si="91"/>
        <v>1.1402000000000001E-2</v>
      </c>
      <c r="I246" s="5">
        <f t="shared" ca="1" si="92"/>
        <v>1.2290000000000001E-2</v>
      </c>
      <c r="J246" s="5">
        <f t="shared" ca="1" si="93"/>
        <v>1.5043000000000001E-2</v>
      </c>
      <c r="K246" s="5">
        <f t="shared" ca="1" si="94"/>
        <v>1.7229999999999999E-2</v>
      </c>
      <c r="L246" s="5">
        <f t="shared" ca="1" si="95"/>
        <v>1.9314999999999999E-2</v>
      </c>
      <c r="M246" s="5">
        <f t="shared" ca="1" si="96"/>
        <v>2.2034000000000002E-2</v>
      </c>
      <c r="N246" s="5">
        <f t="shared" ca="1" si="97"/>
        <v>2.537E-2</v>
      </c>
      <c r="O246" s="5">
        <f t="shared" ca="1" si="98"/>
        <v>2.9222999999999999E-2</v>
      </c>
      <c r="P246" s="8">
        <f t="shared" ca="1" si="99"/>
        <v>996.07387088054702</v>
      </c>
      <c r="Q246" s="8">
        <f t="shared" ca="1" si="100"/>
        <v>2677.2384137488707</v>
      </c>
      <c r="R246" s="8">
        <f t="shared" ca="1" si="101"/>
        <v>2224.9815476802241</v>
      </c>
      <c r="S246" s="5">
        <f t="shared" ca="1" si="102"/>
        <v>3.1728054124049838E-2</v>
      </c>
      <c r="T246">
        <f t="shared" ca="1" si="103"/>
        <v>5.4576308363812213E-2</v>
      </c>
      <c r="U246" s="5">
        <f t="shared" ca="1" si="104"/>
        <v>1.7860976669077652E-2</v>
      </c>
    </row>
    <row r="247" spans="2:21" x14ac:dyDescent="0.25">
      <c r="B247">
        <f t="shared" si="87"/>
        <v>244</v>
      </c>
      <c r="C247">
        <f t="shared" si="113"/>
        <v>21</v>
      </c>
      <c r="D247">
        <f>D246+1</f>
        <v>4</v>
      </c>
      <c r="E247" s="5">
        <f t="shared" ca="1" si="88"/>
        <v>9.3819999999999997E-3</v>
      </c>
      <c r="F247" s="5">
        <f t="shared" ca="1" si="89"/>
        <v>8.9820000000000004E-3</v>
      </c>
      <c r="G247" s="5">
        <f t="shared" ca="1" si="90"/>
        <v>1.1446E-2</v>
      </c>
      <c r="H247" s="5">
        <f t="shared" ca="1" si="91"/>
        <v>1.1303000000000001E-2</v>
      </c>
      <c r="I247" s="5">
        <f t="shared" ca="1" si="92"/>
        <v>1.2284E-2</v>
      </c>
      <c r="J247" s="5">
        <f t="shared" ca="1" si="93"/>
        <v>1.5092E-2</v>
      </c>
      <c r="K247" s="5">
        <f t="shared" ca="1" si="94"/>
        <v>1.7281000000000001E-2</v>
      </c>
      <c r="L247" s="5">
        <f t="shared" ca="1" si="95"/>
        <v>1.9251000000000001E-2</v>
      </c>
      <c r="M247" s="5">
        <f t="shared" ca="1" si="96"/>
        <v>2.1972999999999999E-2</v>
      </c>
      <c r="N247" s="5">
        <f t="shared" ca="1" si="97"/>
        <v>2.5326000000000001E-2</v>
      </c>
      <c r="O247" s="5">
        <f t="shared" ca="1" si="98"/>
        <v>2.9145000000000001E-2</v>
      </c>
      <c r="P247" s="8">
        <f t="shared" ca="1" si="99"/>
        <v>992.35417084407209</v>
      </c>
      <c r="Q247" s="8">
        <f t="shared" ca="1" si="100"/>
        <v>2687.6656078181109</v>
      </c>
      <c r="R247" s="8">
        <f t="shared" ca="1" si="101"/>
        <v>2228.1370142359592</v>
      </c>
      <c r="S247" s="5">
        <f t="shared" ca="1" si="102"/>
        <v>-4.3903300655066896E-2</v>
      </c>
      <c r="T247">
        <f t="shared" ca="1" si="103"/>
        <v>4.7751363705819116E-2</v>
      </c>
      <c r="U247" s="5">
        <f t="shared" ca="1" si="104"/>
        <v>1.715176229617156E-2</v>
      </c>
    </row>
    <row r="248" spans="2:21" x14ac:dyDescent="0.25">
      <c r="B248">
        <f t="shared" si="87"/>
        <v>245</v>
      </c>
      <c r="C248">
        <f t="shared" si="113"/>
        <v>21</v>
      </c>
      <c r="D248">
        <f t="shared" ref="D248:D255" si="114">D247+1</f>
        <v>5</v>
      </c>
      <c r="E248" s="5">
        <f t="shared" ca="1" si="88"/>
        <v>9.4319999999999994E-3</v>
      </c>
      <c r="F248" s="5">
        <f t="shared" ca="1" si="89"/>
        <v>9.0539999999999995E-3</v>
      </c>
      <c r="G248" s="5">
        <f t="shared" ca="1" si="90"/>
        <v>1.1402000000000001E-2</v>
      </c>
      <c r="H248" s="5">
        <f t="shared" ca="1" si="91"/>
        <v>1.1211E-2</v>
      </c>
      <c r="I248" s="5">
        <f t="shared" ca="1" si="92"/>
        <v>1.2328E-2</v>
      </c>
      <c r="J248" s="5">
        <f t="shared" ca="1" si="93"/>
        <v>1.5011E-2</v>
      </c>
      <c r="K248" s="5">
        <f t="shared" ca="1" si="94"/>
        <v>1.7243000000000001E-2</v>
      </c>
      <c r="L248" s="5">
        <f t="shared" ca="1" si="95"/>
        <v>1.9251999999999998E-2</v>
      </c>
      <c r="M248" s="5">
        <f t="shared" ca="1" si="96"/>
        <v>2.1937000000000002E-2</v>
      </c>
      <c r="N248" s="5">
        <f t="shared" ca="1" si="97"/>
        <v>2.5326000000000001E-2</v>
      </c>
      <c r="O248" s="5">
        <f t="shared" ca="1" si="98"/>
        <v>2.9080000000000002E-2</v>
      </c>
      <c r="P248" s="8">
        <f t="shared" ca="1" si="99"/>
        <v>991.50189959032946</v>
      </c>
      <c r="Q248" s="8">
        <f t="shared" ca="1" si="100"/>
        <v>2699.67639295957</v>
      </c>
      <c r="R248" s="8">
        <f t="shared" ca="1" si="101"/>
        <v>2231.8629894209012</v>
      </c>
      <c r="S248" s="5">
        <f t="shared" ca="1" si="102"/>
        <v>-1.0257510711050787E-2</v>
      </c>
      <c r="T248">
        <f t="shared" ca="1" si="103"/>
        <v>5.4964143962761149E-2</v>
      </c>
      <c r="U248" s="5">
        <f t="shared" ca="1" si="104"/>
        <v>2.0252448629043619E-2</v>
      </c>
    </row>
    <row r="249" spans="2:21" x14ac:dyDescent="0.25">
      <c r="B249">
        <f t="shared" si="87"/>
        <v>246</v>
      </c>
      <c r="C249">
        <f t="shared" si="113"/>
        <v>21</v>
      </c>
      <c r="D249">
        <f t="shared" si="114"/>
        <v>6</v>
      </c>
      <c r="E249" s="5">
        <f t="shared" ca="1" si="88"/>
        <v>9.4809999999999998E-3</v>
      </c>
      <c r="F249" s="5">
        <f t="shared" ca="1" si="89"/>
        <v>9.0749999999999997E-3</v>
      </c>
      <c r="G249" s="5">
        <f t="shared" ca="1" si="90"/>
        <v>1.1475000000000001E-2</v>
      </c>
      <c r="H249" s="5">
        <f t="shared" ca="1" si="91"/>
        <v>1.1292999999999999E-2</v>
      </c>
      <c r="I249" s="5">
        <f t="shared" ca="1" si="92"/>
        <v>1.2314E-2</v>
      </c>
      <c r="J249" s="5">
        <f t="shared" ca="1" si="93"/>
        <v>1.5107000000000001E-2</v>
      </c>
      <c r="K249" s="5">
        <f t="shared" ca="1" si="94"/>
        <v>1.7243000000000001E-2</v>
      </c>
      <c r="L249" s="5">
        <f t="shared" ca="1" si="95"/>
        <v>1.9300999999999999E-2</v>
      </c>
      <c r="M249" s="5">
        <f t="shared" ca="1" si="96"/>
        <v>2.1961000000000001E-2</v>
      </c>
      <c r="N249" s="5">
        <f t="shared" ca="1" si="97"/>
        <v>2.5298000000000001E-2</v>
      </c>
      <c r="O249" s="5">
        <f t="shared" ca="1" si="98"/>
        <v>2.9104000000000001E-2</v>
      </c>
      <c r="P249" s="8">
        <f t="shared" ca="1" si="99"/>
        <v>993.24907536626142</v>
      </c>
      <c r="Q249" s="8">
        <f t="shared" ca="1" si="100"/>
        <v>2712.0733639071223</v>
      </c>
      <c r="R249" s="8">
        <f t="shared" ca="1" si="101"/>
        <v>2235.7869921096317</v>
      </c>
      <c r="S249" s="5">
        <f t="shared" ca="1" si="102"/>
        <v>2.1351958652699975E-2</v>
      </c>
      <c r="T249">
        <f t="shared" ca="1" si="103"/>
        <v>5.6517496966351007E-2</v>
      </c>
      <c r="U249" s="5">
        <f t="shared" ca="1" si="104"/>
        <v>2.1303301673466328E-2</v>
      </c>
    </row>
    <row r="250" spans="2:21" x14ac:dyDescent="0.25">
      <c r="B250">
        <f t="shared" si="87"/>
        <v>247</v>
      </c>
      <c r="C250">
        <f t="shared" si="113"/>
        <v>21</v>
      </c>
      <c r="D250">
        <f t="shared" si="114"/>
        <v>7</v>
      </c>
      <c r="E250" s="5">
        <f t="shared" ca="1" si="88"/>
        <v>9.5409999999999991E-3</v>
      </c>
      <c r="F250" s="5">
        <f t="shared" ca="1" si="89"/>
        <v>9.0220000000000005E-3</v>
      </c>
      <c r="G250" s="5">
        <f t="shared" ca="1" si="90"/>
        <v>1.1481999999999999E-2</v>
      </c>
      <c r="H250" s="5">
        <f t="shared" ca="1" si="91"/>
        <v>1.1240999999999999E-2</v>
      </c>
      <c r="I250" s="5">
        <f t="shared" ca="1" si="92"/>
        <v>1.2354E-2</v>
      </c>
      <c r="J250" s="5">
        <f t="shared" ca="1" si="93"/>
        <v>1.5134999999999999E-2</v>
      </c>
      <c r="K250" s="5">
        <f t="shared" ca="1" si="94"/>
        <v>1.7188999999999999E-2</v>
      </c>
      <c r="L250" s="5">
        <f t="shared" ca="1" si="95"/>
        <v>1.9206999999999998E-2</v>
      </c>
      <c r="M250" s="5">
        <f t="shared" ca="1" si="96"/>
        <v>2.1905000000000001E-2</v>
      </c>
      <c r="N250" s="5">
        <f t="shared" ca="1" si="97"/>
        <v>2.5250000000000002E-2</v>
      </c>
      <c r="O250" s="5">
        <f t="shared" ca="1" si="98"/>
        <v>2.9194999999999999E-2</v>
      </c>
      <c r="P250" s="8">
        <f t="shared" ca="1" si="99"/>
        <v>989.19790439752819</v>
      </c>
      <c r="Q250" s="8">
        <f t="shared" ca="1" si="100"/>
        <v>2725.5969338443738</v>
      </c>
      <c r="R250" s="8">
        <f t="shared" ca="1" si="101"/>
        <v>2240.6003357418622</v>
      </c>
      <c r="S250" s="5">
        <f t="shared" ca="1" si="102"/>
        <v>-4.7861297944486694E-2</v>
      </c>
      <c r="T250">
        <f t="shared" ca="1" si="103"/>
        <v>6.1505828964187832E-2</v>
      </c>
      <c r="U250" s="5">
        <f t="shared" ca="1" si="104"/>
        <v>2.6142462892574728E-2</v>
      </c>
    </row>
    <row r="251" spans="2:21" x14ac:dyDescent="0.25">
      <c r="B251">
        <f t="shared" si="87"/>
        <v>248</v>
      </c>
      <c r="C251">
        <f t="shared" si="113"/>
        <v>21</v>
      </c>
      <c r="D251">
        <f t="shared" si="114"/>
        <v>8</v>
      </c>
      <c r="E251" s="5">
        <f t="shared" ca="1" si="88"/>
        <v>9.4520000000000003E-3</v>
      </c>
      <c r="F251" s="5">
        <f t="shared" ca="1" si="89"/>
        <v>9.0880000000000006E-3</v>
      </c>
      <c r="G251" s="5">
        <f t="shared" ca="1" si="90"/>
        <v>1.1393E-2</v>
      </c>
      <c r="H251" s="5">
        <f t="shared" ca="1" si="91"/>
        <v>1.1273E-2</v>
      </c>
      <c r="I251" s="5">
        <f t="shared" ca="1" si="92"/>
        <v>1.2357E-2</v>
      </c>
      <c r="J251" s="5">
        <f t="shared" ca="1" si="93"/>
        <v>1.5188E-2</v>
      </c>
      <c r="K251" s="5">
        <f t="shared" ca="1" si="94"/>
        <v>1.7113E-2</v>
      </c>
      <c r="L251" s="5">
        <f t="shared" ca="1" si="95"/>
        <v>1.9210000000000001E-2</v>
      </c>
      <c r="M251" s="5">
        <f t="shared" ca="1" si="96"/>
        <v>2.1925E-2</v>
      </c>
      <c r="N251" s="5">
        <f t="shared" ca="1" si="97"/>
        <v>2.5260000000000001E-2</v>
      </c>
      <c r="O251" s="5">
        <f t="shared" ca="1" si="98"/>
        <v>2.9144E-2</v>
      </c>
      <c r="P251" s="8">
        <f t="shared" ca="1" si="99"/>
        <v>990.3874297713254</v>
      </c>
      <c r="Q251" s="8">
        <f t="shared" ca="1" si="100"/>
        <v>2740.60335902104</v>
      </c>
      <c r="R251" s="8">
        <f t="shared" ca="1" si="101"/>
        <v>2244.5617120731526</v>
      </c>
      <c r="S251" s="5">
        <f t="shared" ca="1" si="102"/>
        <v>1.4526003071597047E-2</v>
      </c>
      <c r="T251">
        <f t="shared" ca="1" si="103"/>
        <v>6.8106712019081111E-2</v>
      </c>
      <c r="U251" s="5">
        <f t="shared" ca="1" si="104"/>
        <v>2.1423497410579511E-2</v>
      </c>
    </row>
    <row r="252" spans="2:21" x14ac:dyDescent="0.25">
      <c r="B252">
        <f t="shared" si="87"/>
        <v>249</v>
      </c>
      <c r="C252">
        <f t="shared" si="113"/>
        <v>21</v>
      </c>
      <c r="D252">
        <f t="shared" si="114"/>
        <v>9</v>
      </c>
      <c r="E252" s="5">
        <f t="shared" ca="1" si="88"/>
        <v>9.4109999999999992E-3</v>
      </c>
      <c r="F252" s="5">
        <f t="shared" ca="1" si="89"/>
        <v>9.1520000000000004E-3</v>
      </c>
      <c r="G252" s="5">
        <f t="shared" ca="1" si="90"/>
        <v>1.1313E-2</v>
      </c>
      <c r="H252" s="5">
        <f t="shared" ca="1" si="91"/>
        <v>1.1277000000000001E-2</v>
      </c>
      <c r="I252" s="5">
        <f t="shared" ca="1" si="92"/>
        <v>1.2338E-2</v>
      </c>
      <c r="J252" s="5">
        <f t="shared" ca="1" si="93"/>
        <v>1.5209E-2</v>
      </c>
      <c r="K252" s="5">
        <f t="shared" ca="1" si="94"/>
        <v>1.7181999999999999E-2</v>
      </c>
      <c r="L252" s="5">
        <f t="shared" ca="1" si="95"/>
        <v>1.9214999999999999E-2</v>
      </c>
      <c r="M252" s="5">
        <f t="shared" ca="1" si="96"/>
        <v>2.1994E-2</v>
      </c>
      <c r="N252" s="5">
        <f t="shared" ca="1" si="97"/>
        <v>2.5190000000000001E-2</v>
      </c>
      <c r="O252" s="5">
        <f t="shared" ca="1" si="98"/>
        <v>2.9107999999999998E-2</v>
      </c>
      <c r="P252" s="8">
        <f t="shared" ca="1" si="99"/>
        <v>993.77106302259767</v>
      </c>
      <c r="Q252" s="8">
        <f t="shared" ca="1" si="100"/>
        <v>2755.5955320638745</v>
      </c>
      <c r="R252" s="8">
        <f t="shared" ca="1" si="101"/>
        <v>2248.0781488579814</v>
      </c>
      <c r="S252" s="5">
        <f t="shared" ca="1" si="102"/>
        <v>4.1776904805116748E-2</v>
      </c>
      <c r="T252">
        <f t="shared" ca="1" si="103"/>
        <v>6.7656220528174896E-2</v>
      </c>
      <c r="U252" s="5">
        <f t="shared" ca="1" si="104"/>
        <v>1.8962607151056812E-2</v>
      </c>
    </row>
    <row r="253" spans="2:21" x14ac:dyDescent="0.25">
      <c r="B253">
        <f t="shared" si="87"/>
        <v>250</v>
      </c>
      <c r="C253">
        <f t="shared" si="113"/>
        <v>21</v>
      </c>
      <c r="D253">
        <f t="shared" si="114"/>
        <v>10</v>
      </c>
      <c r="E253" s="5">
        <f t="shared" ca="1" si="88"/>
        <v>9.4780000000000003E-3</v>
      </c>
      <c r="F253" s="5">
        <f t="shared" ca="1" si="89"/>
        <v>9.2029999999999994E-3</v>
      </c>
      <c r="G253" s="5">
        <f t="shared" ca="1" si="90"/>
        <v>1.1308E-2</v>
      </c>
      <c r="H253" s="5">
        <f t="shared" ca="1" si="91"/>
        <v>1.1348E-2</v>
      </c>
      <c r="I253" s="5">
        <f t="shared" ca="1" si="92"/>
        <v>1.2399E-2</v>
      </c>
      <c r="J253" s="5">
        <f t="shared" ca="1" si="93"/>
        <v>1.5223E-2</v>
      </c>
      <c r="K253" s="5">
        <f t="shared" ca="1" si="94"/>
        <v>1.7097000000000001E-2</v>
      </c>
      <c r="L253" s="5">
        <f t="shared" ca="1" si="95"/>
        <v>1.9243E-2</v>
      </c>
      <c r="M253" s="5">
        <f t="shared" ca="1" si="96"/>
        <v>2.2057E-2</v>
      </c>
      <c r="N253" s="5">
        <f t="shared" ca="1" si="97"/>
        <v>2.5128000000000001E-2</v>
      </c>
      <c r="O253" s="5">
        <f t="shared" ca="1" si="98"/>
        <v>2.9186E-2</v>
      </c>
      <c r="P253" s="8">
        <f t="shared" ca="1" si="99"/>
        <v>991.85594944857894</v>
      </c>
      <c r="Q253" s="8">
        <f t="shared" ca="1" si="100"/>
        <v>2767.2797709913762</v>
      </c>
      <c r="R253" s="8">
        <f t="shared" ca="1" si="101"/>
        <v>2250.6798119168607</v>
      </c>
      <c r="S253" s="5">
        <f t="shared" ca="1" si="102"/>
        <v>-2.2881867723368102E-2</v>
      </c>
      <c r="T253">
        <f t="shared" ca="1" si="103"/>
        <v>5.2085796586528045E-2</v>
      </c>
      <c r="U253" s="5">
        <f t="shared" ca="1" si="104"/>
        <v>1.3976134288732019E-2</v>
      </c>
    </row>
    <row r="254" spans="2:21" x14ac:dyDescent="0.25">
      <c r="B254">
        <f t="shared" si="87"/>
        <v>251</v>
      </c>
      <c r="C254">
        <f t="shared" si="113"/>
        <v>21</v>
      </c>
      <c r="D254">
        <f t="shared" si="114"/>
        <v>11</v>
      </c>
      <c r="E254" s="5">
        <f t="shared" ca="1" si="88"/>
        <v>9.495E-3</v>
      </c>
      <c r="F254" s="5">
        <f t="shared" ca="1" si="89"/>
        <v>9.1629999999999993E-3</v>
      </c>
      <c r="G254" s="5">
        <f t="shared" ca="1" si="90"/>
        <v>1.1308E-2</v>
      </c>
      <c r="H254" s="5">
        <f t="shared" ca="1" si="91"/>
        <v>1.1280999999999999E-2</v>
      </c>
      <c r="I254" s="5">
        <f t="shared" ca="1" si="92"/>
        <v>1.2305E-2</v>
      </c>
      <c r="J254" s="5">
        <f t="shared" ca="1" si="93"/>
        <v>1.5296000000000001E-2</v>
      </c>
      <c r="K254" s="5">
        <f t="shared" ca="1" si="94"/>
        <v>1.7035000000000002E-2</v>
      </c>
      <c r="L254" s="5">
        <f t="shared" ca="1" si="95"/>
        <v>1.9304999999999999E-2</v>
      </c>
      <c r="M254" s="5">
        <f t="shared" ca="1" si="96"/>
        <v>2.2037000000000001E-2</v>
      </c>
      <c r="N254" s="5">
        <f t="shared" ca="1" si="97"/>
        <v>2.5180000000000001E-2</v>
      </c>
      <c r="O254" s="5">
        <f t="shared" ca="1" si="98"/>
        <v>2.9180999999999999E-2</v>
      </c>
      <c r="P254" s="8">
        <f t="shared" ca="1" si="99"/>
        <v>987.6989686392335</v>
      </c>
      <c r="Q254" s="8">
        <f t="shared" ca="1" si="100"/>
        <v>2776.7610953404637</v>
      </c>
      <c r="R254" s="8">
        <f t="shared" ca="1" si="101"/>
        <v>2252.8949427262605</v>
      </c>
      <c r="S254" s="5">
        <f t="shared" ca="1" si="102"/>
        <v>-4.9150087289104E-2</v>
      </c>
      <c r="T254">
        <f t="shared" ca="1" si="103"/>
        <v>4.1898397747740519E-2</v>
      </c>
      <c r="U254" s="5">
        <f t="shared" ca="1" si="104"/>
        <v>1.1874604344718221E-2</v>
      </c>
    </row>
    <row r="255" spans="2:21" x14ac:dyDescent="0.25">
      <c r="B255">
        <f t="shared" si="87"/>
        <v>252</v>
      </c>
      <c r="C255">
        <f t="shared" si="113"/>
        <v>21</v>
      </c>
      <c r="D255">
        <f t="shared" si="114"/>
        <v>12</v>
      </c>
      <c r="E255" s="5">
        <f t="shared" ca="1" si="88"/>
        <v>9.4579999999999994E-3</v>
      </c>
      <c r="F255" s="5">
        <f t="shared" ca="1" si="89"/>
        <v>9.1149999999999998E-3</v>
      </c>
      <c r="G255" s="5">
        <f t="shared" ca="1" si="90"/>
        <v>1.1388000000000001E-2</v>
      </c>
      <c r="H255" s="5">
        <f t="shared" ca="1" si="91"/>
        <v>1.1231E-2</v>
      </c>
      <c r="I255" s="5">
        <f t="shared" ca="1" si="92"/>
        <v>1.2401000000000001E-2</v>
      </c>
      <c r="J255" s="5">
        <f t="shared" ca="1" si="93"/>
        <v>1.5348000000000001E-2</v>
      </c>
      <c r="K255" s="5">
        <f t="shared" ca="1" si="94"/>
        <v>1.7052999999999999E-2</v>
      </c>
      <c r="L255" s="5">
        <f t="shared" ca="1" si="95"/>
        <v>1.9372E-2</v>
      </c>
      <c r="M255" s="5">
        <f t="shared" ca="1" si="96"/>
        <v>2.1999000000000001E-2</v>
      </c>
      <c r="N255" s="5">
        <f t="shared" ca="1" si="97"/>
        <v>2.5125000000000001E-2</v>
      </c>
      <c r="O255" s="5">
        <f t="shared" ca="1" si="98"/>
        <v>2.9255E-2</v>
      </c>
      <c r="P255" s="8">
        <f t="shared" ca="1" si="99"/>
        <v>990.81705402105251</v>
      </c>
      <c r="Q255" s="8">
        <f t="shared" ca="1" si="100"/>
        <v>2791.0663728419886</v>
      </c>
      <c r="R255" s="8">
        <f t="shared" ca="1" si="101"/>
        <v>2255.1408890104099</v>
      </c>
      <c r="S255" s="5">
        <f t="shared" ca="1" si="102"/>
        <v>3.8547760945796775E-2</v>
      </c>
      <c r="T255">
        <f t="shared" ca="1" si="103"/>
        <v>6.3603557618269468E-2</v>
      </c>
      <c r="U255" s="5">
        <f t="shared" ca="1" si="104"/>
        <v>1.2028800065990749E-2</v>
      </c>
    </row>
    <row r="256" spans="2:21" x14ac:dyDescent="0.25">
      <c r="B256">
        <f t="shared" si="87"/>
        <v>253</v>
      </c>
      <c r="C256">
        <f>C255+1</f>
        <v>22</v>
      </c>
      <c r="D256">
        <v>1</v>
      </c>
      <c r="E256" s="5">
        <f t="shared" ca="1" si="88"/>
        <v>9.5560000000000003E-3</v>
      </c>
      <c r="F256" s="5">
        <f t="shared" ca="1" si="89"/>
        <v>9.0369999999999999E-3</v>
      </c>
      <c r="G256" s="5">
        <f t="shared" ca="1" si="90"/>
        <v>1.1467E-2</v>
      </c>
      <c r="H256" s="5">
        <f t="shared" ca="1" si="91"/>
        <v>1.1332E-2</v>
      </c>
      <c r="I256" s="5">
        <f t="shared" ca="1" si="92"/>
        <v>1.2329E-2</v>
      </c>
      <c r="J256" s="5">
        <f t="shared" ca="1" si="93"/>
        <v>1.5294E-2</v>
      </c>
      <c r="K256" s="5">
        <f t="shared" ca="1" si="94"/>
        <v>1.711E-2</v>
      </c>
      <c r="L256" s="5">
        <f t="shared" ca="1" si="95"/>
        <v>1.9283000000000002E-2</v>
      </c>
      <c r="M256" s="5">
        <f t="shared" ca="1" si="96"/>
        <v>2.1999999999999999E-2</v>
      </c>
      <c r="N256" s="5">
        <f t="shared" ca="1" si="97"/>
        <v>2.5121999999999998E-2</v>
      </c>
      <c r="O256" s="5">
        <f t="shared" ca="1" si="98"/>
        <v>2.9329000000000001E-2</v>
      </c>
      <c r="P256" s="8">
        <f t="shared" ca="1" si="99"/>
        <v>991.57068577933524</v>
      </c>
      <c r="Q256" s="8">
        <f t="shared" ca="1" si="100"/>
        <v>2806.765138064743</v>
      </c>
      <c r="R256" s="8">
        <f t="shared" ca="1" si="101"/>
        <v>2257.2788096638733</v>
      </c>
      <c r="S256" s="5">
        <f t="shared" ca="1" si="102"/>
        <v>9.1656779414959026E-3</v>
      </c>
      <c r="T256">
        <f t="shared" ca="1" si="103"/>
        <v>6.9623440684344035E-2</v>
      </c>
      <c r="U256" s="5">
        <f t="shared" ca="1" si="104"/>
        <v>1.1435755501355942E-2</v>
      </c>
    </row>
    <row r="257" spans="2:21" x14ac:dyDescent="0.25">
      <c r="B257">
        <f t="shared" si="87"/>
        <v>254</v>
      </c>
      <c r="C257">
        <f>C256</f>
        <v>22</v>
      </c>
      <c r="D257">
        <v>2</v>
      </c>
      <c r="E257" s="5">
        <f t="shared" ca="1" si="88"/>
        <v>9.6069999999999992E-3</v>
      </c>
      <c r="F257" s="5">
        <f t="shared" ca="1" si="89"/>
        <v>9.0419999999999997E-3</v>
      </c>
      <c r="G257" s="5">
        <f t="shared" ca="1" si="90"/>
        <v>1.1553000000000001E-2</v>
      </c>
      <c r="H257" s="5">
        <f t="shared" ca="1" si="91"/>
        <v>1.1386E-2</v>
      </c>
      <c r="I257" s="5">
        <f t="shared" ca="1" si="92"/>
        <v>1.2256E-2</v>
      </c>
      <c r="J257" s="5">
        <f t="shared" ca="1" si="93"/>
        <v>1.5351999999999999E-2</v>
      </c>
      <c r="K257" s="5">
        <f t="shared" ca="1" si="94"/>
        <v>1.7104999999999999E-2</v>
      </c>
      <c r="L257" s="5">
        <f t="shared" ca="1" si="95"/>
        <v>1.9317999999999998E-2</v>
      </c>
      <c r="M257" s="5">
        <f t="shared" ca="1" si="96"/>
        <v>2.196E-2</v>
      </c>
      <c r="N257" s="5">
        <f t="shared" ca="1" si="97"/>
        <v>2.5059000000000001E-2</v>
      </c>
      <c r="O257" s="5">
        <f t="shared" ca="1" si="98"/>
        <v>2.9373E-2</v>
      </c>
      <c r="P257" s="8">
        <f t="shared" ca="1" si="99"/>
        <v>990.79652932389911</v>
      </c>
      <c r="Q257" s="8">
        <f t="shared" ca="1" si="100"/>
        <v>2821.6289347686034</v>
      </c>
      <c r="R257" s="8">
        <f t="shared" ca="1" si="101"/>
        <v>2258.563401221676</v>
      </c>
      <c r="S257" s="5">
        <f t="shared" ca="1" si="102"/>
        <v>-9.3287245909863779E-3</v>
      </c>
      <c r="T257">
        <f t="shared" ca="1" si="103"/>
        <v>6.5432446716393561E-2</v>
      </c>
      <c r="U257" s="5">
        <f t="shared" ca="1" si="104"/>
        <v>6.8504782535070818E-3</v>
      </c>
    </row>
    <row r="258" spans="2:21" x14ac:dyDescent="0.25">
      <c r="B258">
        <f t="shared" si="87"/>
        <v>255</v>
      </c>
      <c r="C258">
        <f t="shared" ref="C258:C267" si="115">C257</f>
        <v>22</v>
      </c>
      <c r="D258">
        <v>3</v>
      </c>
      <c r="E258" s="5">
        <f t="shared" ca="1" si="88"/>
        <v>9.5340000000000008E-3</v>
      </c>
      <c r="F258" s="5">
        <f t="shared" ca="1" si="89"/>
        <v>8.9599999999999992E-3</v>
      </c>
      <c r="G258" s="5">
        <f t="shared" ca="1" si="90"/>
        <v>1.1471E-2</v>
      </c>
      <c r="H258" s="5">
        <f t="shared" ca="1" si="91"/>
        <v>1.1389E-2</v>
      </c>
      <c r="I258" s="5">
        <f t="shared" ca="1" si="92"/>
        <v>1.2186000000000001E-2</v>
      </c>
      <c r="J258" s="5">
        <f t="shared" ca="1" si="93"/>
        <v>1.5316E-2</v>
      </c>
      <c r="K258" s="5">
        <f t="shared" ca="1" si="94"/>
        <v>1.7134E-2</v>
      </c>
      <c r="L258" s="5">
        <f t="shared" ca="1" si="95"/>
        <v>1.9279999999999999E-2</v>
      </c>
      <c r="M258" s="5">
        <f t="shared" ca="1" si="96"/>
        <v>2.1971000000000001E-2</v>
      </c>
      <c r="N258" s="5">
        <f t="shared" ca="1" si="97"/>
        <v>2.5052000000000001E-2</v>
      </c>
      <c r="O258" s="5">
        <f t="shared" ca="1" si="98"/>
        <v>2.9371000000000001E-2</v>
      </c>
      <c r="P258" s="8">
        <f t="shared" ca="1" si="99"/>
        <v>993.41916312464434</v>
      </c>
      <c r="Q258" s="8">
        <f t="shared" ca="1" si="100"/>
        <v>2829.9671240185467</v>
      </c>
      <c r="R258" s="8">
        <f t="shared" ca="1" si="101"/>
        <v>2259.4298779496462</v>
      </c>
      <c r="S258" s="5">
        <f t="shared" ca="1" si="102"/>
        <v>3.2230483315862687E-2</v>
      </c>
      <c r="T258">
        <f t="shared" ca="1" si="103"/>
        <v>3.6043239666531598E-2</v>
      </c>
      <c r="U258" s="5">
        <f t="shared" ca="1" si="104"/>
        <v>4.6134141048396939E-3</v>
      </c>
    </row>
    <row r="259" spans="2:21" x14ac:dyDescent="0.25">
      <c r="B259">
        <f t="shared" si="87"/>
        <v>256</v>
      </c>
      <c r="C259">
        <f t="shared" si="115"/>
        <v>22</v>
      </c>
      <c r="D259">
        <f>D258+1</f>
        <v>4</v>
      </c>
      <c r="E259" s="5">
        <f t="shared" ca="1" si="88"/>
        <v>9.5890000000000003E-3</v>
      </c>
      <c r="F259" s="5">
        <f t="shared" ca="1" si="89"/>
        <v>8.9259999999999999E-3</v>
      </c>
      <c r="G259" s="5">
        <f t="shared" ca="1" si="90"/>
        <v>1.1384999999999999E-2</v>
      </c>
      <c r="H259" s="5">
        <f t="shared" ca="1" si="91"/>
        <v>1.1334E-2</v>
      </c>
      <c r="I259" s="5">
        <f t="shared" ca="1" si="92"/>
        <v>1.2263E-2</v>
      </c>
      <c r="J259" s="5">
        <f t="shared" ca="1" si="93"/>
        <v>1.5355000000000001E-2</v>
      </c>
      <c r="K259" s="5">
        <f t="shared" ca="1" si="94"/>
        <v>1.7058E-2</v>
      </c>
      <c r="L259" s="5">
        <f t="shared" ca="1" si="95"/>
        <v>1.9363999999999999E-2</v>
      </c>
      <c r="M259" s="5">
        <f t="shared" ca="1" si="96"/>
        <v>2.2003000000000002E-2</v>
      </c>
      <c r="N259" s="5">
        <f t="shared" ca="1" si="97"/>
        <v>2.5042999999999999E-2</v>
      </c>
      <c r="O259" s="5">
        <f t="shared" ca="1" si="98"/>
        <v>2.937E-2</v>
      </c>
      <c r="P259" s="8">
        <f t="shared" ca="1" si="99"/>
        <v>992.53972575864805</v>
      </c>
      <c r="Q259" s="8">
        <f t="shared" ca="1" si="100"/>
        <v>2845.0510409471922</v>
      </c>
      <c r="R259" s="8">
        <f t="shared" ca="1" si="101"/>
        <v>2260.2388786043834</v>
      </c>
      <c r="S259" s="5">
        <f t="shared" ca="1" si="102"/>
        <v>-1.0571586391614655E-2</v>
      </c>
      <c r="T259">
        <f t="shared" ca="1" si="103"/>
        <v>6.5869566480399405E-2</v>
      </c>
      <c r="U259" s="5">
        <f t="shared" ca="1" si="104"/>
        <v>4.3051341418342652E-3</v>
      </c>
    </row>
    <row r="260" spans="2:21" x14ac:dyDescent="0.25">
      <c r="B260">
        <f t="shared" si="87"/>
        <v>257</v>
      </c>
      <c r="C260">
        <f t="shared" si="115"/>
        <v>22</v>
      </c>
      <c r="D260">
        <f t="shared" ref="D260:D267" si="116">D259+1</f>
        <v>5</v>
      </c>
      <c r="E260" s="5">
        <f t="shared" ca="1" si="88"/>
        <v>9.4940000000000007E-3</v>
      </c>
      <c r="F260" s="5">
        <f t="shared" ca="1" si="89"/>
        <v>9.0100000000000006E-3</v>
      </c>
      <c r="G260" s="5">
        <f t="shared" ca="1" si="90"/>
        <v>1.1375E-2</v>
      </c>
      <c r="H260" s="5">
        <f t="shared" ca="1" si="91"/>
        <v>1.1322E-2</v>
      </c>
      <c r="I260" s="5">
        <f t="shared" ca="1" si="92"/>
        <v>1.2187E-2</v>
      </c>
      <c r="J260" s="5">
        <f t="shared" ca="1" si="93"/>
        <v>1.5318999999999999E-2</v>
      </c>
      <c r="K260" s="5">
        <f t="shared" ca="1" si="94"/>
        <v>1.7075E-2</v>
      </c>
      <c r="L260" s="5">
        <f t="shared" ca="1" si="95"/>
        <v>1.9407000000000001E-2</v>
      </c>
      <c r="M260" s="5">
        <f t="shared" ca="1" si="96"/>
        <v>2.1996000000000002E-2</v>
      </c>
      <c r="N260" s="5">
        <f t="shared" ca="1" si="97"/>
        <v>2.5103E-2</v>
      </c>
      <c r="O260" s="5">
        <f t="shared" ca="1" si="98"/>
        <v>2.9304E-2</v>
      </c>
      <c r="P260" s="8">
        <f t="shared" ca="1" si="99"/>
        <v>989.32159737667564</v>
      </c>
      <c r="Q260" s="8">
        <f t="shared" ca="1" si="100"/>
        <v>2859.3716873635731</v>
      </c>
      <c r="R260" s="8">
        <f t="shared" ca="1" si="101"/>
        <v>2260.9302666953486</v>
      </c>
      <c r="S260" s="5">
        <f t="shared" ca="1" si="102"/>
        <v>-3.8221414929083014E-2</v>
      </c>
      <c r="T260">
        <f t="shared" ca="1" si="103"/>
        <v>6.2102926365239126E-2</v>
      </c>
      <c r="U260" s="5">
        <f t="shared" ca="1" si="104"/>
        <v>3.6768811208413828E-3</v>
      </c>
    </row>
    <row r="261" spans="2:21" x14ac:dyDescent="0.25">
      <c r="B261">
        <f t="shared" ref="B261:B324" si="117">B260+1</f>
        <v>258</v>
      </c>
      <c r="C261">
        <f t="shared" si="115"/>
        <v>22</v>
      </c>
      <c r="D261">
        <f t="shared" si="116"/>
        <v>6</v>
      </c>
      <c r="E261" s="5">
        <f t="shared" ref="E261:E324" ca="1" si="118">ROUND(E260+(RAND()*2-1+0.01)/10^4,6)</f>
        <v>9.5399999999999999E-3</v>
      </c>
      <c r="F261" s="5">
        <f t="shared" ref="F261:F324" ca="1" si="119">ROUND(F260+(RAND()*2-1+0.01)/10^4,6)</f>
        <v>9.0100000000000006E-3</v>
      </c>
      <c r="G261" s="5">
        <f t="shared" ref="G261:G324" ca="1" si="120">ROUND(G260+(RAND()*2-1+0.01)/10^4,6)</f>
        <v>1.1355000000000001E-2</v>
      </c>
      <c r="H261" s="5">
        <f t="shared" ref="H261:H324" ca="1" si="121">ROUND(H260+(RAND()*2-1+0.01)/10^4,6)</f>
        <v>1.1254E-2</v>
      </c>
      <c r="I261" s="5">
        <f t="shared" ref="I261:I324" ca="1" si="122">ROUND(I260+(RAND()*2-1+0.01)/10^4,6)</f>
        <v>1.2163E-2</v>
      </c>
      <c r="J261" s="5">
        <f t="shared" ref="J261:J324" ca="1" si="123">ROUND(J260+(RAND()*2-1+0.01)/10^4,6)</f>
        <v>1.5354E-2</v>
      </c>
      <c r="K261" s="5">
        <f t="shared" ref="K261:K324" ca="1" si="124">ROUND(K260+(RAND()*2-1+0.01)/10^4,6)</f>
        <v>1.7094999999999999E-2</v>
      </c>
      <c r="L261" s="5">
        <f t="shared" ref="L261:L324" ca="1" si="125">ROUND(L260+(RAND()*2-1+0.01)/10^4,6)</f>
        <v>1.9463999999999999E-2</v>
      </c>
      <c r="M261" s="5">
        <f t="shared" ref="M261:M324" ca="1" si="126">ROUND(M260+(RAND()*2-1+0.01)/10^4,6)</f>
        <v>2.2002000000000001E-2</v>
      </c>
      <c r="N261" s="5">
        <f t="shared" ref="N261:N324" ca="1" si="127">ROUND(N260+(RAND()*2-1+0.01)/10^4,6)</f>
        <v>2.5009E-2</v>
      </c>
      <c r="O261" s="5">
        <f t="shared" ref="O261:O324" ca="1" si="128">ROUND(O260+(RAND()*2-1+0.01)/10^4,6)</f>
        <v>2.9288000000000002E-2</v>
      </c>
      <c r="P261" s="8">
        <f t="shared" ref="P261:P324" ca="1" si="129">P260*(1+S261)^(1/12)</f>
        <v>985.01177338882599</v>
      </c>
      <c r="Q261" s="8">
        <f t="shared" ref="Q261:Q324" ca="1" si="130">Q260*(1+T261)^(1/12)</f>
        <v>2873.2875592777623</v>
      </c>
      <c r="R261" s="8">
        <f t="shared" ref="R261:R324" ca="1" si="131">R260*(1+U261)^(1/12)</f>
        <v>2260.8235823390473</v>
      </c>
      <c r="S261" s="5">
        <f t="shared" ref="S261:S324" ca="1" si="132">RAND()*10/100-5/100+S260/10</f>
        <v>-5.1041594687308761E-2</v>
      </c>
      <c r="T261">
        <f t="shared" ref="T261:T324" ca="1" si="133">M261+RAND()*4/100+0.01</f>
        <v>5.9989975768027032E-2</v>
      </c>
      <c r="U261" s="5">
        <f t="shared" ref="U261:U324" ca="1" si="134">RAND()*1/100-0.5/100+U260</f>
        <v>-5.6608560727328897E-4</v>
      </c>
    </row>
    <row r="262" spans="2:21" x14ac:dyDescent="0.25">
      <c r="B262">
        <f t="shared" si="117"/>
        <v>259</v>
      </c>
      <c r="C262">
        <f t="shared" si="115"/>
        <v>22</v>
      </c>
      <c r="D262">
        <f t="shared" si="116"/>
        <v>7</v>
      </c>
      <c r="E262" s="5">
        <f t="shared" ca="1" si="118"/>
        <v>9.6270000000000001E-3</v>
      </c>
      <c r="F262" s="5">
        <f t="shared" ca="1" si="119"/>
        <v>9.0559999999999998E-3</v>
      </c>
      <c r="G262" s="5">
        <f t="shared" ca="1" si="120"/>
        <v>1.1405999999999999E-2</v>
      </c>
      <c r="H262" s="5">
        <f t="shared" ca="1" si="121"/>
        <v>1.1243E-2</v>
      </c>
      <c r="I262" s="5">
        <f t="shared" ca="1" si="122"/>
        <v>1.2119E-2</v>
      </c>
      <c r="J262" s="5">
        <f t="shared" ca="1" si="123"/>
        <v>1.5346E-2</v>
      </c>
      <c r="K262" s="5">
        <f t="shared" ca="1" si="124"/>
        <v>1.7108000000000002E-2</v>
      </c>
      <c r="L262" s="5">
        <f t="shared" ca="1" si="125"/>
        <v>1.9525000000000001E-2</v>
      </c>
      <c r="M262" s="5">
        <f t="shared" ca="1" si="126"/>
        <v>2.1912999999999998E-2</v>
      </c>
      <c r="N262" s="5">
        <f t="shared" ca="1" si="127"/>
        <v>2.4924000000000002E-2</v>
      </c>
      <c r="O262" s="5">
        <f t="shared" ca="1" si="128"/>
        <v>2.9323999999999999E-2</v>
      </c>
      <c r="P262" s="8">
        <f t="shared" ca="1" si="129"/>
        <v>984.24122166582436</v>
      </c>
      <c r="Q262" s="8">
        <f t="shared" ca="1" si="130"/>
        <v>2882.5575648776553</v>
      </c>
      <c r="R262" s="8">
        <f t="shared" ca="1" si="131"/>
        <v>2261.4400677613012</v>
      </c>
      <c r="S262" s="5">
        <f t="shared" ca="1" si="132"/>
        <v>-9.3470359406207706E-3</v>
      </c>
      <c r="T262">
        <f t="shared" ca="1" si="133"/>
        <v>3.9409681808006761E-2</v>
      </c>
      <c r="U262" s="5">
        <f t="shared" ca="1" si="134"/>
        <v>3.2770934020253557E-3</v>
      </c>
    </row>
    <row r="263" spans="2:21" x14ac:dyDescent="0.25">
      <c r="B263">
        <f t="shared" si="117"/>
        <v>260</v>
      </c>
      <c r="C263">
        <f t="shared" si="115"/>
        <v>22</v>
      </c>
      <c r="D263">
        <f t="shared" si="116"/>
        <v>8</v>
      </c>
      <c r="E263" s="5">
        <f t="shared" ca="1" si="118"/>
        <v>9.6170000000000005E-3</v>
      </c>
      <c r="F263" s="5">
        <f t="shared" ca="1" si="119"/>
        <v>9.0209999999999995E-3</v>
      </c>
      <c r="G263" s="5">
        <f t="shared" ca="1" si="120"/>
        <v>1.1417999999999999E-2</v>
      </c>
      <c r="H263" s="5">
        <f t="shared" ca="1" si="121"/>
        <v>1.1165E-2</v>
      </c>
      <c r="I263" s="5">
        <f t="shared" ca="1" si="122"/>
        <v>1.2083999999999999E-2</v>
      </c>
      <c r="J263" s="5">
        <f t="shared" ca="1" si="123"/>
        <v>1.5311E-2</v>
      </c>
      <c r="K263" s="5">
        <f t="shared" ca="1" si="124"/>
        <v>1.7191000000000001E-2</v>
      </c>
      <c r="L263" s="5">
        <f t="shared" ca="1" si="125"/>
        <v>1.9547999999999999E-2</v>
      </c>
      <c r="M263" s="5">
        <f t="shared" ca="1" si="126"/>
        <v>2.1843000000000001E-2</v>
      </c>
      <c r="N263" s="5">
        <f t="shared" ca="1" si="127"/>
        <v>2.4847000000000001E-2</v>
      </c>
      <c r="O263" s="5">
        <f t="shared" ca="1" si="128"/>
        <v>2.9412000000000001E-2</v>
      </c>
      <c r="P263" s="8">
        <f t="shared" ca="1" si="129"/>
        <v>982.88729188040588</v>
      </c>
      <c r="Q263" s="8">
        <f t="shared" ca="1" si="130"/>
        <v>2892.8022229901831</v>
      </c>
      <c r="R263" s="8">
        <f t="shared" ca="1" si="131"/>
        <v>2262.7938600093412</v>
      </c>
      <c r="S263" s="5">
        <f t="shared" ca="1" si="132"/>
        <v>-1.6382971518866984E-2</v>
      </c>
      <c r="T263">
        <f t="shared" ca="1" si="133"/>
        <v>4.3491805795583587E-2</v>
      </c>
      <c r="U263" s="5">
        <f t="shared" ca="1" si="134"/>
        <v>7.2073997863531291E-3</v>
      </c>
    </row>
    <row r="264" spans="2:21" x14ac:dyDescent="0.25">
      <c r="B264">
        <f t="shared" si="117"/>
        <v>261</v>
      </c>
      <c r="C264">
        <f t="shared" si="115"/>
        <v>22</v>
      </c>
      <c r="D264">
        <f t="shared" si="116"/>
        <v>9</v>
      </c>
      <c r="E264" s="5">
        <f t="shared" ca="1" si="118"/>
        <v>9.5940000000000001E-3</v>
      </c>
      <c r="F264" s="5">
        <f t="shared" ca="1" si="119"/>
        <v>9.0720000000000002E-3</v>
      </c>
      <c r="G264" s="5">
        <f t="shared" ca="1" si="120"/>
        <v>1.1488E-2</v>
      </c>
      <c r="H264" s="5">
        <f t="shared" ca="1" si="121"/>
        <v>1.1165E-2</v>
      </c>
      <c r="I264" s="5">
        <f t="shared" ca="1" si="122"/>
        <v>1.2068000000000001E-2</v>
      </c>
      <c r="J264" s="5">
        <f t="shared" ca="1" si="123"/>
        <v>1.5396E-2</v>
      </c>
      <c r="K264" s="5">
        <f t="shared" ca="1" si="124"/>
        <v>1.7129999999999999E-2</v>
      </c>
      <c r="L264" s="5">
        <f t="shared" ca="1" si="125"/>
        <v>1.9483E-2</v>
      </c>
      <c r="M264" s="5">
        <f t="shared" ca="1" si="126"/>
        <v>2.1772E-2</v>
      </c>
      <c r="N264" s="5">
        <f t="shared" ca="1" si="127"/>
        <v>2.4924999999999999E-2</v>
      </c>
      <c r="O264" s="5">
        <f t="shared" ca="1" si="128"/>
        <v>2.9464000000000001E-2</v>
      </c>
      <c r="P264" s="8">
        <f t="shared" ca="1" si="129"/>
        <v>979.48423887910997</v>
      </c>
      <c r="Q264" s="8">
        <f t="shared" ca="1" si="130"/>
        <v>2907.563754243225</v>
      </c>
      <c r="R264" s="8">
        <f t="shared" ca="1" si="131"/>
        <v>2263.7368985145004</v>
      </c>
      <c r="S264" s="5">
        <f t="shared" ca="1" si="132"/>
        <v>-4.0765511211607611E-2</v>
      </c>
      <c r="T264">
        <f t="shared" ca="1" si="133"/>
        <v>6.2982329660040345E-2</v>
      </c>
      <c r="U264" s="5">
        <f t="shared" ca="1" si="134"/>
        <v>5.0125809529605967E-3</v>
      </c>
    </row>
    <row r="265" spans="2:21" x14ac:dyDescent="0.25">
      <c r="B265">
        <f t="shared" si="117"/>
        <v>262</v>
      </c>
      <c r="C265">
        <f t="shared" si="115"/>
        <v>22</v>
      </c>
      <c r="D265">
        <f t="shared" si="116"/>
        <v>10</v>
      </c>
      <c r="E265" s="5">
        <f t="shared" ca="1" si="118"/>
        <v>9.5630000000000003E-3</v>
      </c>
      <c r="F265" s="5">
        <f t="shared" ca="1" si="119"/>
        <v>9.0620000000000006E-3</v>
      </c>
      <c r="G265" s="5">
        <f t="shared" ca="1" si="120"/>
        <v>1.1509999999999999E-2</v>
      </c>
      <c r="H265" s="5">
        <f t="shared" ca="1" si="121"/>
        <v>1.1117999999999999E-2</v>
      </c>
      <c r="I265" s="5">
        <f t="shared" ca="1" si="122"/>
        <v>1.2043999999999999E-2</v>
      </c>
      <c r="J265" s="5">
        <f t="shared" ca="1" si="123"/>
        <v>1.5443999999999999E-2</v>
      </c>
      <c r="K265" s="5">
        <f t="shared" ca="1" si="124"/>
        <v>1.7194000000000001E-2</v>
      </c>
      <c r="L265" s="5">
        <f t="shared" ca="1" si="125"/>
        <v>1.9563000000000001E-2</v>
      </c>
      <c r="M265" s="5">
        <f t="shared" ca="1" si="126"/>
        <v>2.18E-2</v>
      </c>
      <c r="N265" s="5">
        <f t="shared" ca="1" si="127"/>
        <v>2.4983999999999999E-2</v>
      </c>
      <c r="O265" s="5">
        <f t="shared" ca="1" si="128"/>
        <v>2.9485000000000001E-2</v>
      </c>
      <c r="P265" s="8">
        <f t="shared" ca="1" si="129"/>
        <v>981.48747628497631</v>
      </c>
      <c r="Q265" s="8">
        <f t="shared" ca="1" si="130"/>
        <v>2921.437210920416</v>
      </c>
      <c r="R265" s="8">
        <f t="shared" ca="1" si="131"/>
        <v>2264.2589364376231</v>
      </c>
      <c r="S265" s="5">
        <f t="shared" ca="1" si="132"/>
        <v>2.48203112691259E-2</v>
      </c>
      <c r="T265">
        <f t="shared" ca="1" si="133"/>
        <v>5.8784864543133364E-2</v>
      </c>
      <c r="U265" s="5">
        <f t="shared" ca="1" si="134"/>
        <v>2.7708196602642295E-3</v>
      </c>
    </row>
    <row r="266" spans="2:21" x14ac:dyDescent="0.25">
      <c r="B266">
        <f t="shared" si="117"/>
        <v>263</v>
      </c>
      <c r="C266">
        <f t="shared" si="115"/>
        <v>22</v>
      </c>
      <c r="D266">
        <f t="shared" si="116"/>
        <v>11</v>
      </c>
      <c r="E266" s="5">
        <f t="shared" ca="1" si="118"/>
        <v>9.4929999999999997E-3</v>
      </c>
      <c r="F266" s="5">
        <f t="shared" ca="1" si="119"/>
        <v>9.1210000000000006E-3</v>
      </c>
      <c r="G266" s="5">
        <f t="shared" ca="1" si="120"/>
        <v>1.1429E-2</v>
      </c>
      <c r="H266" s="5">
        <f t="shared" ca="1" si="121"/>
        <v>1.1044E-2</v>
      </c>
      <c r="I266" s="5">
        <f t="shared" ca="1" si="122"/>
        <v>1.208E-2</v>
      </c>
      <c r="J266" s="5">
        <f t="shared" ca="1" si="123"/>
        <v>1.5509999999999999E-2</v>
      </c>
      <c r="K266" s="5">
        <f t="shared" ca="1" si="124"/>
        <v>1.7198000000000001E-2</v>
      </c>
      <c r="L266" s="5">
        <f t="shared" ca="1" si="125"/>
        <v>1.9503E-2</v>
      </c>
      <c r="M266" s="5">
        <f t="shared" ca="1" si="126"/>
        <v>2.1773000000000001E-2</v>
      </c>
      <c r="N266" s="5">
        <f t="shared" ca="1" si="127"/>
        <v>2.4961000000000001E-2</v>
      </c>
      <c r="O266" s="5">
        <f t="shared" ca="1" si="128"/>
        <v>2.9482999999999999E-2</v>
      </c>
      <c r="P266" s="8">
        <f t="shared" ca="1" si="129"/>
        <v>979.44672378060932</v>
      </c>
      <c r="Q266" s="8">
        <f t="shared" ca="1" si="130"/>
        <v>2934.7820331292874</v>
      </c>
      <c r="R266" s="8">
        <f t="shared" ca="1" si="131"/>
        <v>2265.2187553790604</v>
      </c>
      <c r="S266" s="5">
        <f t="shared" ca="1" si="132"/>
        <v>-2.4667568181827138E-2</v>
      </c>
      <c r="T266">
        <f t="shared" ca="1" si="133"/>
        <v>5.6213075969401081E-2</v>
      </c>
      <c r="U266" s="5">
        <f t="shared" ca="1" si="134"/>
        <v>5.0986741480512857E-3</v>
      </c>
    </row>
    <row r="267" spans="2:21" x14ac:dyDescent="0.25">
      <c r="B267">
        <f t="shared" si="117"/>
        <v>264</v>
      </c>
      <c r="C267">
        <f t="shared" si="115"/>
        <v>22</v>
      </c>
      <c r="D267">
        <f t="shared" si="116"/>
        <v>12</v>
      </c>
      <c r="E267" s="5">
        <f t="shared" ca="1" si="118"/>
        <v>9.5289999999999993E-3</v>
      </c>
      <c r="F267" s="5">
        <f t="shared" ca="1" si="119"/>
        <v>9.0399999999999994E-3</v>
      </c>
      <c r="G267" s="5">
        <f t="shared" ca="1" si="120"/>
        <v>1.1335E-2</v>
      </c>
      <c r="H267" s="5">
        <f t="shared" ca="1" si="121"/>
        <v>1.0999999999999999E-2</v>
      </c>
      <c r="I267" s="5">
        <f t="shared" ca="1" si="122"/>
        <v>1.205E-2</v>
      </c>
      <c r="J267" s="5">
        <f t="shared" ca="1" si="123"/>
        <v>1.5537E-2</v>
      </c>
      <c r="K267" s="5">
        <f t="shared" ca="1" si="124"/>
        <v>1.7297E-2</v>
      </c>
      <c r="L267" s="5">
        <f t="shared" ca="1" si="125"/>
        <v>1.9456999999999999E-2</v>
      </c>
      <c r="M267" s="5">
        <f t="shared" ca="1" si="126"/>
        <v>2.1711999999999999E-2</v>
      </c>
      <c r="N267" s="5">
        <f t="shared" ca="1" si="127"/>
        <v>2.4868000000000001E-2</v>
      </c>
      <c r="O267" s="5">
        <f t="shared" ca="1" si="128"/>
        <v>2.9506999999999999E-2</v>
      </c>
      <c r="P267" s="8">
        <f t="shared" ca="1" si="129"/>
        <v>976.23431545540143</v>
      </c>
      <c r="Q267" s="8">
        <f t="shared" ca="1" si="130"/>
        <v>2943.8488053044707</v>
      </c>
      <c r="R267" s="8">
        <f t="shared" ca="1" si="131"/>
        <v>2265.809819993261</v>
      </c>
      <c r="S267" s="5">
        <f t="shared" ca="1" si="132"/>
        <v>-3.8655561107648978E-2</v>
      </c>
      <c r="T267">
        <f t="shared" ca="1" si="133"/>
        <v>3.7709501487783931E-2</v>
      </c>
      <c r="U267" s="5">
        <f t="shared" ca="1" si="134"/>
        <v>3.1356632462471272E-3</v>
      </c>
    </row>
    <row r="268" spans="2:21" x14ac:dyDescent="0.25">
      <c r="B268">
        <f t="shared" si="117"/>
        <v>265</v>
      </c>
      <c r="C268">
        <f>C267+1</f>
        <v>23</v>
      </c>
      <c r="D268">
        <v>1</v>
      </c>
      <c r="E268" s="5">
        <f t="shared" ca="1" si="118"/>
        <v>9.5409999999999991E-3</v>
      </c>
      <c r="F268" s="5">
        <f t="shared" ca="1" si="119"/>
        <v>9.0159999999999997E-3</v>
      </c>
      <c r="G268" s="5">
        <f t="shared" ca="1" si="120"/>
        <v>1.132E-2</v>
      </c>
      <c r="H268" s="5">
        <f t="shared" ca="1" si="121"/>
        <v>1.0909E-2</v>
      </c>
      <c r="I268" s="5">
        <f t="shared" ca="1" si="122"/>
        <v>1.2125E-2</v>
      </c>
      <c r="J268" s="5">
        <f t="shared" ca="1" si="123"/>
        <v>1.5492000000000001E-2</v>
      </c>
      <c r="K268" s="5">
        <f t="shared" ca="1" si="124"/>
        <v>1.7353E-2</v>
      </c>
      <c r="L268" s="5">
        <f t="shared" ca="1" si="125"/>
        <v>1.9519000000000002E-2</v>
      </c>
      <c r="M268" s="5">
        <f t="shared" ca="1" si="126"/>
        <v>2.1749000000000001E-2</v>
      </c>
      <c r="N268" s="5">
        <f t="shared" ca="1" si="127"/>
        <v>2.4819000000000001E-2</v>
      </c>
      <c r="O268" s="5">
        <f t="shared" ca="1" si="128"/>
        <v>2.9558999999999998E-2</v>
      </c>
      <c r="P268" s="8">
        <f t="shared" ca="1" si="129"/>
        <v>974.75849934335736</v>
      </c>
      <c r="Q268" s="8">
        <f t="shared" ca="1" si="130"/>
        <v>2951.9004199776591</v>
      </c>
      <c r="R268" s="8">
        <f t="shared" ca="1" si="131"/>
        <v>2267.1219945322659</v>
      </c>
      <c r="S268" s="5">
        <f t="shared" ca="1" si="132"/>
        <v>-1.7990847976604878E-2</v>
      </c>
      <c r="T268">
        <f t="shared" ca="1" si="133"/>
        <v>3.3319014038383152E-2</v>
      </c>
      <c r="U268" s="5">
        <f t="shared" ca="1" si="134"/>
        <v>6.9716112333982937E-3</v>
      </c>
    </row>
    <row r="269" spans="2:21" x14ac:dyDescent="0.25">
      <c r="B269">
        <f t="shared" si="117"/>
        <v>266</v>
      </c>
      <c r="C269">
        <f>C268</f>
        <v>23</v>
      </c>
      <c r="D269">
        <v>2</v>
      </c>
      <c r="E269" s="5">
        <f t="shared" ca="1" si="118"/>
        <v>9.5420000000000001E-3</v>
      </c>
      <c r="F269" s="5">
        <f t="shared" ca="1" si="119"/>
        <v>9.0349999999999996E-3</v>
      </c>
      <c r="G269" s="5">
        <f t="shared" ca="1" si="120"/>
        <v>1.1294999999999999E-2</v>
      </c>
      <c r="H269" s="5">
        <f t="shared" ca="1" si="121"/>
        <v>1.1006999999999999E-2</v>
      </c>
      <c r="I269" s="5">
        <f t="shared" ca="1" si="122"/>
        <v>1.2142E-2</v>
      </c>
      <c r="J269" s="5">
        <f t="shared" ca="1" si="123"/>
        <v>1.5566E-2</v>
      </c>
      <c r="K269" s="5">
        <f t="shared" ca="1" si="124"/>
        <v>1.7410999999999999E-2</v>
      </c>
      <c r="L269" s="5">
        <f t="shared" ca="1" si="125"/>
        <v>1.9605000000000001E-2</v>
      </c>
      <c r="M269" s="5">
        <f t="shared" ca="1" si="126"/>
        <v>2.1652000000000001E-2</v>
      </c>
      <c r="N269" s="5">
        <f t="shared" ca="1" si="127"/>
        <v>2.4743000000000001E-2</v>
      </c>
      <c r="O269" s="5">
        <f t="shared" ca="1" si="128"/>
        <v>2.9537999999999998E-2</v>
      </c>
      <c r="P269" s="8">
        <f t="shared" ca="1" si="129"/>
        <v>973.38872609162377</v>
      </c>
      <c r="Q269" s="8">
        <f t="shared" ca="1" si="130"/>
        <v>2966.2130988186454</v>
      </c>
      <c r="R269" s="8">
        <f t="shared" ca="1" si="131"/>
        <v>2268.604980322199</v>
      </c>
      <c r="S269" s="5">
        <f t="shared" ca="1" si="132"/>
        <v>-1.6733202251777751E-2</v>
      </c>
      <c r="T269">
        <f t="shared" ca="1" si="133"/>
        <v>5.976054633500464E-2</v>
      </c>
      <c r="U269" s="5">
        <f t="shared" ca="1" si="134"/>
        <v>7.8778263189938601E-3</v>
      </c>
    </row>
    <row r="270" spans="2:21" x14ac:dyDescent="0.25">
      <c r="B270">
        <f t="shared" si="117"/>
        <v>267</v>
      </c>
      <c r="C270">
        <f t="shared" ref="C270:C279" si="135">C269</f>
        <v>23</v>
      </c>
      <c r="D270">
        <v>3</v>
      </c>
      <c r="E270" s="5">
        <f t="shared" ca="1" si="118"/>
        <v>9.5829999999999995E-3</v>
      </c>
      <c r="F270" s="5">
        <f t="shared" ca="1" si="119"/>
        <v>9.0760000000000007E-3</v>
      </c>
      <c r="G270" s="5">
        <f t="shared" ca="1" si="120"/>
        <v>1.1284000000000001E-2</v>
      </c>
      <c r="H270" s="5">
        <f t="shared" ca="1" si="121"/>
        <v>1.1016E-2</v>
      </c>
      <c r="I270" s="5">
        <f t="shared" ca="1" si="122"/>
        <v>1.2086E-2</v>
      </c>
      <c r="J270" s="5">
        <f t="shared" ca="1" si="123"/>
        <v>1.5481999999999999E-2</v>
      </c>
      <c r="K270" s="5">
        <f t="shared" ca="1" si="124"/>
        <v>1.7448999999999999E-2</v>
      </c>
      <c r="L270" s="5">
        <f t="shared" ca="1" si="125"/>
        <v>1.9508999999999999E-2</v>
      </c>
      <c r="M270" s="5">
        <f t="shared" ca="1" si="126"/>
        <v>2.1752000000000001E-2</v>
      </c>
      <c r="N270" s="5">
        <f t="shared" ca="1" si="127"/>
        <v>2.477E-2</v>
      </c>
      <c r="O270" s="5">
        <f t="shared" ca="1" si="128"/>
        <v>2.9439E-2</v>
      </c>
      <c r="P270" s="8">
        <f t="shared" ca="1" si="129"/>
        <v>974.12488108744776</v>
      </c>
      <c r="Q270" s="8">
        <f t="shared" ca="1" si="130"/>
        <v>2980.8169120733742</v>
      </c>
      <c r="R270" s="8">
        <f t="shared" ca="1" si="131"/>
        <v>2270.7251705948015</v>
      </c>
      <c r="S270" s="5">
        <f t="shared" ca="1" si="132"/>
        <v>9.1132117349552282E-3</v>
      </c>
      <c r="T270">
        <f t="shared" ca="1" si="133"/>
        <v>6.0707007620447576E-2</v>
      </c>
      <c r="U270" s="5">
        <f t="shared" ca="1" si="134"/>
        <v>1.127277325512728E-2</v>
      </c>
    </row>
    <row r="271" spans="2:21" x14ac:dyDescent="0.25">
      <c r="B271">
        <f t="shared" si="117"/>
        <v>268</v>
      </c>
      <c r="C271">
        <f t="shared" si="135"/>
        <v>23</v>
      </c>
      <c r="D271">
        <f>D270+1</f>
        <v>4</v>
      </c>
      <c r="E271" s="5">
        <f t="shared" ca="1" si="118"/>
        <v>9.6469999999999993E-3</v>
      </c>
      <c r="F271" s="5">
        <f t="shared" ca="1" si="119"/>
        <v>9.0589999999999993E-3</v>
      </c>
      <c r="G271" s="5">
        <f t="shared" ca="1" si="120"/>
        <v>1.1202999999999999E-2</v>
      </c>
      <c r="H271" s="5">
        <f t="shared" ca="1" si="121"/>
        <v>1.0936E-2</v>
      </c>
      <c r="I271" s="5">
        <f t="shared" ca="1" si="122"/>
        <v>1.2050999999999999E-2</v>
      </c>
      <c r="J271" s="5">
        <f t="shared" ca="1" si="123"/>
        <v>1.5532000000000001E-2</v>
      </c>
      <c r="K271" s="5">
        <f t="shared" ca="1" si="124"/>
        <v>1.7412E-2</v>
      </c>
      <c r="L271" s="5">
        <f t="shared" ca="1" si="125"/>
        <v>1.9578999999999999E-2</v>
      </c>
      <c r="M271" s="5">
        <f t="shared" ca="1" si="126"/>
        <v>2.1684999999999999E-2</v>
      </c>
      <c r="N271" s="5">
        <f t="shared" ca="1" si="127"/>
        <v>2.4865999999999999E-2</v>
      </c>
      <c r="O271" s="5">
        <f t="shared" ca="1" si="128"/>
        <v>2.9357000000000001E-2</v>
      </c>
      <c r="P271" s="8">
        <f t="shared" ca="1" si="129"/>
        <v>977.13072613500822</v>
      </c>
      <c r="Q271" s="8">
        <f t="shared" ca="1" si="130"/>
        <v>2992.1794811295026</v>
      </c>
      <c r="R271" s="8">
        <f t="shared" ca="1" si="131"/>
        <v>2272.9119879939867</v>
      </c>
      <c r="S271" s="5">
        <f t="shared" ca="1" si="132"/>
        <v>3.7663176604184161E-2</v>
      </c>
      <c r="T271">
        <f t="shared" ca="1" si="133"/>
        <v>4.6714080052071429E-2</v>
      </c>
      <c r="U271" s="5">
        <f t="shared" ca="1" si="134"/>
        <v>1.1617985731605458E-2</v>
      </c>
    </row>
    <row r="272" spans="2:21" x14ac:dyDescent="0.25">
      <c r="B272">
        <f t="shared" si="117"/>
        <v>269</v>
      </c>
      <c r="C272">
        <f t="shared" si="135"/>
        <v>23</v>
      </c>
      <c r="D272">
        <f t="shared" ref="D272:D279" si="136">D271+1</f>
        <v>5</v>
      </c>
      <c r="E272" s="5">
        <f t="shared" ca="1" si="118"/>
        <v>9.5600000000000008E-3</v>
      </c>
      <c r="F272" s="5">
        <f t="shared" ca="1" si="119"/>
        <v>8.992E-3</v>
      </c>
      <c r="G272" s="5">
        <f t="shared" ca="1" si="120"/>
        <v>1.1169999999999999E-2</v>
      </c>
      <c r="H272" s="5">
        <f t="shared" ca="1" si="121"/>
        <v>1.0881E-2</v>
      </c>
      <c r="I272" s="5">
        <f t="shared" ca="1" si="122"/>
        <v>1.1996E-2</v>
      </c>
      <c r="J272" s="5">
        <f t="shared" ca="1" si="123"/>
        <v>1.5602E-2</v>
      </c>
      <c r="K272" s="5">
        <f t="shared" ca="1" si="124"/>
        <v>1.7472000000000001E-2</v>
      </c>
      <c r="L272" s="5">
        <f t="shared" ca="1" si="125"/>
        <v>1.9508999999999999E-2</v>
      </c>
      <c r="M272" s="5">
        <f t="shared" ca="1" si="126"/>
        <v>2.1682E-2</v>
      </c>
      <c r="N272" s="5">
        <f t="shared" ca="1" si="127"/>
        <v>2.4874E-2</v>
      </c>
      <c r="O272" s="5">
        <f t="shared" ca="1" si="128"/>
        <v>2.9347000000000002E-2</v>
      </c>
      <c r="P272" s="8">
        <f t="shared" ca="1" si="129"/>
        <v>975.64747765058269</v>
      </c>
      <c r="Q272" s="8">
        <f t="shared" ca="1" si="130"/>
        <v>3001.2322923653196</v>
      </c>
      <c r="R272" s="8">
        <f t="shared" ca="1" si="131"/>
        <v>2275.2013864352434</v>
      </c>
      <c r="S272" s="5">
        <f t="shared" ca="1" si="132"/>
        <v>-1.8064247270849272E-2</v>
      </c>
      <c r="T272">
        <f t="shared" ca="1" si="133"/>
        <v>3.6916160162024793E-2</v>
      </c>
      <c r="U272" s="5">
        <f t="shared" ca="1" si="134"/>
        <v>1.2154227659203709E-2</v>
      </c>
    </row>
    <row r="273" spans="2:21" x14ac:dyDescent="0.25">
      <c r="B273">
        <f t="shared" si="117"/>
        <v>270</v>
      </c>
      <c r="C273">
        <f t="shared" si="135"/>
        <v>23</v>
      </c>
      <c r="D273">
        <f t="shared" si="136"/>
        <v>6</v>
      </c>
      <c r="E273" s="5">
        <f t="shared" ca="1" si="118"/>
        <v>9.5440000000000004E-3</v>
      </c>
      <c r="F273" s="5">
        <f t="shared" ca="1" si="119"/>
        <v>8.94E-3</v>
      </c>
      <c r="G273" s="5">
        <f t="shared" ca="1" si="120"/>
        <v>1.1154000000000001E-2</v>
      </c>
      <c r="H273" s="5">
        <f t="shared" ca="1" si="121"/>
        <v>1.0828000000000001E-2</v>
      </c>
      <c r="I273" s="5">
        <f t="shared" ca="1" si="122"/>
        <v>1.2059E-2</v>
      </c>
      <c r="J273" s="5">
        <f t="shared" ca="1" si="123"/>
        <v>1.5532000000000001E-2</v>
      </c>
      <c r="K273" s="5">
        <f t="shared" ca="1" si="124"/>
        <v>1.7558000000000001E-2</v>
      </c>
      <c r="L273" s="5">
        <f t="shared" ca="1" si="125"/>
        <v>1.9483E-2</v>
      </c>
      <c r="M273" s="5">
        <f t="shared" ca="1" si="126"/>
        <v>2.1669999999999998E-2</v>
      </c>
      <c r="N273" s="5">
        <f t="shared" ca="1" si="127"/>
        <v>2.4856E-2</v>
      </c>
      <c r="O273" s="5">
        <f t="shared" ca="1" si="128"/>
        <v>2.9392999999999999E-2</v>
      </c>
      <c r="P273" s="8">
        <f t="shared" ca="1" si="129"/>
        <v>977.41645116924008</v>
      </c>
      <c r="Q273" s="8">
        <f t="shared" ca="1" si="130"/>
        <v>3011.1934054380663</v>
      </c>
      <c r="R273" s="8">
        <f t="shared" ca="1" si="131"/>
        <v>2277.3926634637887</v>
      </c>
      <c r="S273" s="5">
        <f t="shared" ca="1" si="132"/>
        <v>2.197582024445608E-2</v>
      </c>
      <c r="T273">
        <f t="shared" ca="1" si="133"/>
        <v>4.0563239868696387E-2</v>
      </c>
      <c r="U273" s="5">
        <f t="shared" ca="1" si="134"/>
        <v>1.1618778994306942E-2</v>
      </c>
    </row>
    <row r="274" spans="2:21" x14ac:dyDescent="0.25">
      <c r="B274">
        <f t="shared" si="117"/>
        <v>271</v>
      </c>
      <c r="C274">
        <f t="shared" si="135"/>
        <v>23</v>
      </c>
      <c r="D274">
        <f t="shared" si="136"/>
        <v>7</v>
      </c>
      <c r="E274" s="5">
        <f t="shared" ca="1" si="118"/>
        <v>9.5849999999999998E-3</v>
      </c>
      <c r="F274" s="5">
        <f t="shared" ca="1" si="119"/>
        <v>8.9619999999999995E-3</v>
      </c>
      <c r="G274" s="5">
        <f t="shared" ca="1" si="120"/>
        <v>1.1224E-2</v>
      </c>
      <c r="H274" s="5">
        <f t="shared" ca="1" si="121"/>
        <v>1.0904E-2</v>
      </c>
      <c r="I274" s="5">
        <f t="shared" ca="1" si="122"/>
        <v>1.1965999999999999E-2</v>
      </c>
      <c r="J274" s="5">
        <f t="shared" ca="1" si="123"/>
        <v>1.5568E-2</v>
      </c>
      <c r="K274" s="5">
        <f t="shared" ca="1" si="124"/>
        <v>1.7465999999999999E-2</v>
      </c>
      <c r="L274" s="5">
        <f t="shared" ca="1" si="125"/>
        <v>1.958E-2</v>
      </c>
      <c r="M274" s="5">
        <f t="shared" ca="1" si="126"/>
        <v>2.1665E-2</v>
      </c>
      <c r="N274" s="5">
        <f t="shared" ca="1" si="127"/>
        <v>2.4948000000000001E-2</v>
      </c>
      <c r="O274" s="5">
        <f t="shared" ca="1" si="128"/>
        <v>2.9363E-2</v>
      </c>
      <c r="P274" s="8">
        <f t="shared" ca="1" si="129"/>
        <v>979.72822704913256</v>
      </c>
      <c r="Q274" s="8">
        <f t="shared" ca="1" si="130"/>
        <v>3026.5481627710178</v>
      </c>
      <c r="R274" s="8">
        <f t="shared" ca="1" si="131"/>
        <v>2280.1833460908929</v>
      </c>
      <c r="S274" s="5">
        <f t="shared" ca="1" si="132"/>
        <v>2.8754421895816069E-2</v>
      </c>
      <c r="T274">
        <f t="shared" ca="1" si="133"/>
        <v>6.2936365203827851E-2</v>
      </c>
      <c r="U274" s="5">
        <f t="shared" ca="1" si="134"/>
        <v>1.4804128461415149E-2</v>
      </c>
    </row>
    <row r="275" spans="2:21" x14ac:dyDescent="0.25">
      <c r="B275">
        <f t="shared" si="117"/>
        <v>272</v>
      </c>
      <c r="C275">
        <f t="shared" si="135"/>
        <v>23</v>
      </c>
      <c r="D275">
        <f t="shared" si="136"/>
        <v>8</v>
      </c>
      <c r="E275" s="5">
        <f t="shared" ca="1" si="118"/>
        <v>9.6729999999999993E-3</v>
      </c>
      <c r="F275" s="5">
        <f t="shared" ca="1" si="119"/>
        <v>8.9420000000000003E-3</v>
      </c>
      <c r="G275" s="5">
        <f t="shared" ca="1" si="120"/>
        <v>1.1287999999999999E-2</v>
      </c>
      <c r="H275" s="5">
        <f t="shared" ca="1" si="121"/>
        <v>1.0810999999999999E-2</v>
      </c>
      <c r="I275" s="5">
        <f t="shared" ca="1" si="122"/>
        <v>1.1953999999999999E-2</v>
      </c>
      <c r="J275" s="5">
        <f t="shared" ca="1" si="123"/>
        <v>1.5484E-2</v>
      </c>
      <c r="K275" s="5">
        <f t="shared" ca="1" si="124"/>
        <v>1.746E-2</v>
      </c>
      <c r="L275" s="5">
        <f t="shared" ca="1" si="125"/>
        <v>1.9577000000000001E-2</v>
      </c>
      <c r="M275" s="5">
        <f t="shared" ca="1" si="126"/>
        <v>2.1638000000000001E-2</v>
      </c>
      <c r="N275" s="5">
        <f t="shared" ca="1" si="127"/>
        <v>2.4854000000000001E-2</v>
      </c>
      <c r="O275" s="5">
        <f t="shared" ca="1" si="128"/>
        <v>2.9363E-2</v>
      </c>
      <c r="P275" s="8">
        <f t="shared" ca="1" si="129"/>
        <v>978.41498538219776</v>
      </c>
      <c r="Q275" s="8">
        <f t="shared" ca="1" si="130"/>
        <v>3037.6186692854531</v>
      </c>
      <c r="R275" s="8">
        <f t="shared" ca="1" si="131"/>
        <v>2283.3668397410938</v>
      </c>
      <c r="S275" s="5">
        <f t="shared" ca="1" si="132"/>
        <v>-1.5966916238151406E-2</v>
      </c>
      <c r="T275">
        <f t="shared" ca="1" si="133"/>
        <v>4.4787497291057993E-2</v>
      </c>
      <c r="U275" s="5">
        <f t="shared" ca="1" si="134"/>
        <v>1.6883133847327855E-2</v>
      </c>
    </row>
    <row r="276" spans="2:21" x14ac:dyDescent="0.25">
      <c r="B276">
        <f t="shared" si="117"/>
        <v>273</v>
      </c>
      <c r="C276">
        <f t="shared" si="135"/>
        <v>23</v>
      </c>
      <c r="D276">
        <f t="shared" si="136"/>
        <v>9</v>
      </c>
      <c r="E276" s="5">
        <f t="shared" ca="1" si="118"/>
        <v>9.6419999999999995E-3</v>
      </c>
      <c r="F276" s="5">
        <f t="shared" ca="1" si="119"/>
        <v>9.0220000000000005E-3</v>
      </c>
      <c r="G276" s="5">
        <f t="shared" ca="1" si="120"/>
        <v>1.1377E-2</v>
      </c>
      <c r="H276" s="5">
        <f t="shared" ca="1" si="121"/>
        <v>1.0776000000000001E-2</v>
      </c>
      <c r="I276" s="5">
        <f t="shared" ca="1" si="122"/>
        <v>1.1903E-2</v>
      </c>
      <c r="J276" s="5">
        <f t="shared" ca="1" si="123"/>
        <v>1.5398999999999999E-2</v>
      </c>
      <c r="K276" s="5">
        <f t="shared" ca="1" si="124"/>
        <v>1.7536E-2</v>
      </c>
      <c r="L276" s="5">
        <f t="shared" ca="1" si="125"/>
        <v>1.9560999999999999E-2</v>
      </c>
      <c r="M276" s="5">
        <f t="shared" ca="1" si="126"/>
        <v>2.1562999999999999E-2</v>
      </c>
      <c r="N276" s="5">
        <f t="shared" ca="1" si="127"/>
        <v>2.4832E-2</v>
      </c>
      <c r="O276" s="5">
        <f t="shared" ca="1" si="128"/>
        <v>2.9381999999999998E-2</v>
      </c>
      <c r="P276" s="8">
        <f t="shared" ca="1" si="129"/>
        <v>976.16877368477685</v>
      </c>
      <c r="Q276" s="8">
        <f t="shared" ca="1" si="130"/>
        <v>3053.6811212928274</v>
      </c>
      <c r="R276" s="8">
        <f t="shared" ca="1" si="131"/>
        <v>2285.6383845721184</v>
      </c>
      <c r="S276" s="5">
        <f t="shared" ca="1" si="132"/>
        <v>-2.7203982631514072E-2</v>
      </c>
      <c r="T276">
        <f t="shared" ca="1" si="133"/>
        <v>6.533248491280283E-2</v>
      </c>
      <c r="U276" s="5">
        <f t="shared" ca="1" si="134"/>
        <v>1.2003406079377259E-2</v>
      </c>
    </row>
    <row r="277" spans="2:21" x14ac:dyDescent="0.25">
      <c r="B277">
        <f t="shared" si="117"/>
        <v>274</v>
      </c>
      <c r="C277">
        <f t="shared" si="135"/>
        <v>23</v>
      </c>
      <c r="D277">
        <f t="shared" si="136"/>
        <v>10</v>
      </c>
      <c r="E277" s="5">
        <f t="shared" ca="1" si="118"/>
        <v>9.5849999999999998E-3</v>
      </c>
      <c r="F277" s="5">
        <f t="shared" ca="1" si="119"/>
        <v>8.9700000000000005E-3</v>
      </c>
      <c r="G277" s="5">
        <f t="shared" ca="1" si="120"/>
        <v>1.1339999999999999E-2</v>
      </c>
      <c r="H277" s="5">
        <f t="shared" ca="1" si="121"/>
        <v>1.0763999999999999E-2</v>
      </c>
      <c r="I277" s="5">
        <f t="shared" ca="1" si="122"/>
        <v>1.1958E-2</v>
      </c>
      <c r="J277" s="5">
        <f t="shared" ca="1" si="123"/>
        <v>1.5325999999999999E-2</v>
      </c>
      <c r="K277" s="5">
        <f t="shared" ca="1" si="124"/>
        <v>1.7441000000000002E-2</v>
      </c>
      <c r="L277" s="5">
        <f t="shared" ca="1" si="125"/>
        <v>1.9529999999999999E-2</v>
      </c>
      <c r="M277" s="5">
        <f t="shared" ca="1" si="126"/>
        <v>2.1595E-2</v>
      </c>
      <c r="N277" s="5">
        <f t="shared" ca="1" si="127"/>
        <v>2.4854999999999999E-2</v>
      </c>
      <c r="O277" s="5">
        <f t="shared" ca="1" si="128"/>
        <v>2.9347999999999999E-2</v>
      </c>
      <c r="P277" s="8">
        <f t="shared" ca="1" si="129"/>
        <v>974.827468206964</v>
      </c>
      <c r="Q277" s="8">
        <f t="shared" ca="1" si="130"/>
        <v>3066.7608399544292</v>
      </c>
      <c r="R277" s="8">
        <f t="shared" ca="1" si="131"/>
        <v>2287.1844695453537</v>
      </c>
      <c r="S277" s="5">
        <f t="shared" ca="1" si="132"/>
        <v>-1.636456946022494E-2</v>
      </c>
      <c r="T277">
        <f t="shared" ca="1" si="133"/>
        <v>5.2627467532395604E-2</v>
      </c>
      <c r="U277" s="5">
        <f t="shared" ca="1" si="134"/>
        <v>8.1474830643097802E-3</v>
      </c>
    </row>
    <row r="278" spans="2:21" x14ac:dyDescent="0.25">
      <c r="B278">
        <f t="shared" si="117"/>
        <v>275</v>
      </c>
      <c r="C278">
        <f t="shared" si="135"/>
        <v>23</v>
      </c>
      <c r="D278">
        <f t="shared" si="136"/>
        <v>11</v>
      </c>
      <c r="E278" s="5">
        <f t="shared" ca="1" si="118"/>
        <v>9.6259999999999991E-3</v>
      </c>
      <c r="F278" s="5">
        <f t="shared" ca="1" si="119"/>
        <v>8.8920000000000006E-3</v>
      </c>
      <c r="G278" s="5">
        <f t="shared" ca="1" si="120"/>
        <v>1.1364000000000001E-2</v>
      </c>
      <c r="H278" s="5">
        <f t="shared" ca="1" si="121"/>
        <v>1.0772E-2</v>
      </c>
      <c r="I278" s="5">
        <f t="shared" ca="1" si="122"/>
        <v>1.1882E-2</v>
      </c>
      <c r="J278" s="5">
        <f t="shared" ca="1" si="123"/>
        <v>1.5252E-2</v>
      </c>
      <c r="K278" s="5">
        <f t="shared" ca="1" si="124"/>
        <v>1.7426000000000001E-2</v>
      </c>
      <c r="L278" s="5">
        <f t="shared" ca="1" si="125"/>
        <v>1.9522999999999999E-2</v>
      </c>
      <c r="M278" s="5">
        <f t="shared" ca="1" si="126"/>
        <v>2.1641000000000001E-2</v>
      </c>
      <c r="N278" s="5">
        <f t="shared" ca="1" si="127"/>
        <v>2.4881E-2</v>
      </c>
      <c r="O278" s="5">
        <f t="shared" ca="1" si="128"/>
        <v>2.9440999999999998E-2</v>
      </c>
      <c r="P278" s="8">
        <f t="shared" ca="1" si="129"/>
        <v>975.3266173489825</v>
      </c>
      <c r="Q278" s="8">
        <f t="shared" ca="1" si="130"/>
        <v>3077.0675026613208</v>
      </c>
      <c r="R278" s="8">
        <f t="shared" ca="1" si="131"/>
        <v>2288.5827739890151</v>
      </c>
      <c r="S278" s="5">
        <f t="shared" ca="1" si="132"/>
        <v>6.1617950240234858E-3</v>
      </c>
      <c r="T278">
        <f t="shared" ca="1" si="133"/>
        <v>4.1083048256964308E-2</v>
      </c>
      <c r="U278" s="5">
        <f t="shared" ca="1" si="134"/>
        <v>7.3610985007190582E-3</v>
      </c>
    </row>
    <row r="279" spans="2:21" x14ac:dyDescent="0.25">
      <c r="B279">
        <f t="shared" si="117"/>
        <v>276</v>
      </c>
      <c r="C279">
        <f t="shared" si="135"/>
        <v>23</v>
      </c>
      <c r="D279">
        <f t="shared" si="136"/>
        <v>12</v>
      </c>
      <c r="E279" s="5">
        <f t="shared" ca="1" si="118"/>
        <v>9.5370000000000003E-3</v>
      </c>
      <c r="F279" s="5">
        <f t="shared" ca="1" si="119"/>
        <v>8.8459999999999997E-3</v>
      </c>
      <c r="G279" s="5">
        <f t="shared" ca="1" si="120"/>
        <v>1.1310000000000001E-2</v>
      </c>
      <c r="H279" s="5">
        <f t="shared" ca="1" si="121"/>
        <v>1.0723999999999999E-2</v>
      </c>
      <c r="I279" s="5">
        <f t="shared" ca="1" si="122"/>
        <v>1.1847E-2</v>
      </c>
      <c r="J279" s="5">
        <f t="shared" ca="1" si="123"/>
        <v>1.5207E-2</v>
      </c>
      <c r="K279" s="5">
        <f t="shared" ca="1" si="124"/>
        <v>1.7337999999999999E-2</v>
      </c>
      <c r="L279" s="5">
        <f t="shared" ca="1" si="125"/>
        <v>1.9602000000000001E-2</v>
      </c>
      <c r="M279" s="5">
        <f t="shared" ca="1" si="126"/>
        <v>2.1551000000000001E-2</v>
      </c>
      <c r="N279" s="5">
        <f t="shared" ca="1" si="127"/>
        <v>2.4827999999999999E-2</v>
      </c>
      <c r="O279" s="5">
        <f t="shared" ca="1" si="128"/>
        <v>2.9350999999999999E-2</v>
      </c>
      <c r="P279" s="8">
        <f t="shared" ca="1" si="129"/>
        <v>979.19694692824237</v>
      </c>
      <c r="Q279" s="8">
        <f t="shared" ca="1" si="130"/>
        <v>3085.3182511074397</v>
      </c>
      <c r="R279" s="8">
        <f t="shared" ca="1" si="131"/>
        <v>2290.5746993351763</v>
      </c>
      <c r="S279" s="5">
        <f t="shared" ca="1" si="132"/>
        <v>4.867204144913273E-2</v>
      </c>
      <c r="T279">
        <f t="shared" ca="1" si="133"/>
        <v>3.2655197807782435E-2</v>
      </c>
      <c r="U279" s="5">
        <f t="shared" ca="1" si="134"/>
        <v>1.0494644421647683E-2</v>
      </c>
    </row>
    <row r="280" spans="2:21" x14ac:dyDescent="0.25">
      <c r="B280">
        <f t="shared" si="117"/>
        <v>277</v>
      </c>
      <c r="C280">
        <f>C279+1</f>
        <v>24</v>
      </c>
      <c r="D280">
        <v>1</v>
      </c>
      <c r="E280" s="5">
        <f t="shared" ca="1" si="118"/>
        <v>9.4889999999999992E-3</v>
      </c>
      <c r="F280" s="5">
        <f t="shared" ca="1" si="119"/>
        <v>8.8730000000000007E-3</v>
      </c>
      <c r="G280" s="5">
        <f t="shared" ca="1" si="120"/>
        <v>1.1361E-2</v>
      </c>
      <c r="H280" s="5">
        <f t="shared" ca="1" si="121"/>
        <v>1.0784999999999999E-2</v>
      </c>
      <c r="I280" s="5">
        <f t="shared" ca="1" si="122"/>
        <v>1.1906E-2</v>
      </c>
      <c r="J280" s="5">
        <f t="shared" ca="1" si="123"/>
        <v>1.5133000000000001E-2</v>
      </c>
      <c r="K280" s="5">
        <f t="shared" ca="1" si="124"/>
        <v>1.7299999999999999E-2</v>
      </c>
      <c r="L280" s="5">
        <f t="shared" ca="1" si="125"/>
        <v>1.9677E-2</v>
      </c>
      <c r="M280" s="5">
        <f t="shared" ca="1" si="126"/>
        <v>2.1477E-2</v>
      </c>
      <c r="N280" s="5">
        <f t="shared" ca="1" si="127"/>
        <v>2.4750999999999999E-2</v>
      </c>
      <c r="O280" s="5">
        <f t="shared" ca="1" si="128"/>
        <v>2.9350000000000001E-2</v>
      </c>
      <c r="P280" s="8">
        <f t="shared" ca="1" si="129"/>
        <v>978.55849046557762</v>
      </c>
      <c r="Q280" s="8">
        <f t="shared" ca="1" si="130"/>
        <v>3095.3597700518344</v>
      </c>
      <c r="R280" s="8">
        <f t="shared" ca="1" si="131"/>
        <v>2292.3246582369329</v>
      </c>
      <c r="S280" s="5">
        <f t="shared" ca="1" si="132"/>
        <v>-7.7962480183275838E-3</v>
      </c>
      <c r="T280">
        <f t="shared" ca="1" si="133"/>
        <v>3.9762109887266965E-2</v>
      </c>
      <c r="U280" s="5">
        <f t="shared" ca="1" si="134"/>
        <v>9.2064099998788677E-3</v>
      </c>
    </row>
    <row r="281" spans="2:21" x14ac:dyDescent="0.25">
      <c r="B281">
        <f t="shared" si="117"/>
        <v>278</v>
      </c>
      <c r="C281">
        <f>C280</f>
        <v>24</v>
      </c>
      <c r="D281">
        <v>2</v>
      </c>
      <c r="E281" s="5">
        <f t="shared" ca="1" si="118"/>
        <v>9.4710000000000003E-3</v>
      </c>
      <c r="F281" s="5">
        <f t="shared" ca="1" si="119"/>
        <v>8.9130000000000008E-3</v>
      </c>
      <c r="G281" s="5">
        <f t="shared" ca="1" si="120"/>
        <v>1.1313999999999999E-2</v>
      </c>
      <c r="H281" s="5">
        <f t="shared" ca="1" si="121"/>
        <v>1.0872E-2</v>
      </c>
      <c r="I281" s="5">
        <f t="shared" ca="1" si="122"/>
        <v>1.1852E-2</v>
      </c>
      <c r="J281" s="5">
        <f t="shared" ca="1" si="123"/>
        <v>1.5091E-2</v>
      </c>
      <c r="K281" s="5">
        <f t="shared" ca="1" si="124"/>
        <v>1.7332E-2</v>
      </c>
      <c r="L281" s="5">
        <f t="shared" ca="1" si="125"/>
        <v>1.9654999999999999E-2</v>
      </c>
      <c r="M281" s="5">
        <f t="shared" ca="1" si="126"/>
        <v>2.1557E-2</v>
      </c>
      <c r="N281" s="5">
        <f t="shared" ca="1" si="127"/>
        <v>2.4761999999999999E-2</v>
      </c>
      <c r="O281" s="5">
        <f t="shared" ca="1" si="128"/>
        <v>2.9307E-2</v>
      </c>
      <c r="P281" s="8">
        <f t="shared" ca="1" si="129"/>
        <v>980.33832540874391</v>
      </c>
      <c r="Q281" s="8">
        <f t="shared" ca="1" si="130"/>
        <v>3107.5695606822005</v>
      </c>
      <c r="R281" s="8">
        <f t="shared" ca="1" si="131"/>
        <v>2293.8491821227149</v>
      </c>
      <c r="S281" s="5">
        <f t="shared" ca="1" si="132"/>
        <v>2.2045669156537814E-2</v>
      </c>
      <c r="T281">
        <f t="shared" ca="1" si="133"/>
        <v>4.8375104933973241E-2</v>
      </c>
      <c r="U281" s="5">
        <f t="shared" ca="1" si="134"/>
        <v>8.0099265616279582E-3</v>
      </c>
    </row>
    <row r="282" spans="2:21" x14ac:dyDescent="0.25">
      <c r="B282">
        <f t="shared" si="117"/>
        <v>279</v>
      </c>
      <c r="C282">
        <f t="shared" ref="C282:C291" si="137">C281</f>
        <v>24</v>
      </c>
      <c r="D282">
        <v>3</v>
      </c>
      <c r="E282" s="5">
        <f t="shared" ca="1" si="118"/>
        <v>9.4540000000000006E-3</v>
      </c>
      <c r="F282" s="5">
        <f t="shared" ca="1" si="119"/>
        <v>8.9239999999999996E-3</v>
      </c>
      <c r="G282" s="5">
        <f t="shared" ca="1" si="120"/>
        <v>1.1405E-2</v>
      </c>
      <c r="H282" s="5">
        <f t="shared" ca="1" si="121"/>
        <v>1.0794E-2</v>
      </c>
      <c r="I282" s="5">
        <f t="shared" ca="1" si="122"/>
        <v>1.1769999999999999E-2</v>
      </c>
      <c r="J282" s="5">
        <f t="shared" ca="1" si="123"/>
        <v>1.5117E-2</v>
      </c>
      <c r="K282" s="5">
        <f t="shared" ca="1" si="124"/>
        <v>1.729E-2</v>
      </c>
      <c r="L282" s="5">
        <f t="shared" ca="1" si="125"/>
        <v>1.9602000000000001E-2</v>
      </c>
      <c r="M282" s="5">
        <f t="shared" ca="1" si="126"/>
        <v>2.1597999999999999E-2</v>
      </c>
      <c r="N282" s="5">
        <f t="shared" ca="1" si="127"/>
        <v>2.4861999999999999E-2</v>
      </c>
      <c r="O282" s="5">
        <f t="shared" ca="1" si="128"/>
        <v>2.9395999999999999E-2</v>
      </c>
      <c r="P282" s="8">
        <f t="shared" ca="1" si="129"/>
        <v>978.53754535558187</v>
      </c>
      <c r="Q282" s="8">
        <f t="shared" ca="1" si="130"/>
        <v>3120.4783286589827</v>
      </c>
      <c r="R282" s="8">
        <f t="shared" ca="1" si="131"/>
        <v>2295.0451743949993</v>
      </c>
      <c r="S282" s="5">
        <f t="shared" ca="1" si="132"/>
        <v>-2.1821419663848478E-2</v>
      </c>
      <c r="T282">
        <f t="shared" ca="1" si="133"/>
        <v>5.1002488203870294E-2</v>
      </c>
      <c r="U282" s="5">
        <f t="shared" ca="1" si="134"/>
        <v>6.2746649798711097E-3</v>
      </c>
    </row>
    <row r="283" spans="2:21" x14ac:dyDescent="0.25">
      <c r="B283">
        <f t="shared" si="117"/>
        <v>280</v>
      </c>
      <c r="C283">
        <f t="shared" si="137"/>
        <v>24</v>
      </c>
      <c r="D283">
        <f>D282+1</f>
        <v>4</v>
      </c>
      <c r="E283" s="5">
        <f t="shared" ca="1" si="118"/>
        <v>9.5350000000000001E-3</v>
      </c>
      <c r="F283" s="5">
        <f t="shared" ca="1" si="119"/>
        <v>8.914E-3</v>
      </c>
      <c r="G283" s="5">
        <f t="shared" ca="1" si="120"/>
        <v>1.1461000000000001E-2</v>
      </c>
      <c r="H283" s="5">
        <f t="shared" ca="1" si="121"/>
        <v>1.0822999999999999E-2</v>
      </c>
      <c r="I283" s="5">
        <f t="shared" ca="1" si="122"/>
        <v>1.1691E-2</v>
      </c>
      <c r="J283" s="5">
        <f t="shared" ca="1" si="123"/>
        <v>1.521E-2</v>
      </c>
      <c r="K283" s="5">
        <f t="shared" ca="1" si="124"/>
        <v>1.7381000000000001E-2</v>
      </c>
      <c r="L283" s="5">
        <f t="shared" ca="1" si="125"/>
        <v>1.9594E-2</v>
      </c>
      <c r="M283" s="5">
        <f t="shared" ca="1" si="126"/>
        <v>2.1607000000000001E-2</v>
      </c>
      <c r="N283" s="5">
        <f t="shared" ca="1" si="127"/>
        <v>2.4813000000000002E-2</v>
      </c>
      <c r="O283" s="5">
        <f t="shared" ca="1" si="128"/>
        <v>2.9463E-2</v>
      </c>
      <c r="P283" s="8">
        <f t="shared" ca="1" si="129"/>
        <v>976.55772701000171</v>
      </c>
      <c r="Q283" s="8">
        <f t="shared" ca="1" si="130"/>
        <v>3129.1834040760482</v>
      </c>
      <c r="R283" s="8">
        <f t="shared" ca="1" si="131"/>
        <v>2296.7846217865754</v>
      </c>
      <c r="S283" s="5">
        <f t="shared" ca="1" si="132"/>
        <v>-2.4010547288567791E-2</v>
      </c>
      <c r="T283">
        <f t="shared" ca="1" si="133"/>
        <v>3.3994358946126027E-2</v>
      </c>
      <c r="U283" s="5">
        <f t="shared" ca="1" si="134"/>
        <v>9.1329793237832722E-3</v>
      </c>
    </row>
    <row r="284" spans="2:21" x14ac:dyDescent="0.25">
      <c r="B284">
        <f t="shared" si="117"/>
        <v>281</v>
      </c>
      <c r="C284">
        <f t="shared" si="137"/>
        <v>24</v>
      </c>
      <c r="D284">
        <f t="shared" ref="D284:D291" si="138">D283+1</f>
        <v>5</v>
      </c>
      <c r="E284" s="5">
        <f t="shared" ca="1" si="118"/>
        <v>9.5119999999999996E-3</v>
      </c>
      <c r="F284" s="5">
        <f t="shared" ca="1" si="119"/>
        <v>8.9510000000000006E-3</v>
      </c>
      <c r="G284" s="5">
        <f t="shared" ca="1" si="120"/>
        <v>1.1528E-2</v>
      </c>
      <c r="H284" s="5">
        <f t="shared" ca="1" si="121"/>
        <v>1.0825E-2</v>
      </c>
      <c r="I284" s="5">
        <f t="shared" ca="1" si="122"/>
        <v>1.1776999999999999E-2</v>
      </c>
      <c r="J284" s="5">
        <f t="shared" ca="1" si="123"/>
        <v>1.5231E-2</v>
      </c>
      <c r="K284" s="5">
        <f t="shared" ca="1" si="124"/>
        <v>1.738E-2</v>
      </c>
      <c r="L284" s="5">
        <f t="shared" ca="1" si="125"/>
        <v>1.9569E-2</v>
      </c>
      <c r="M284" s="5">
        <f t="shared" ca="1" si="126"/>
        <v>2.1628999999999999E-2</v>
      </c>
      <c r="N284" s="5">
        <f t="shared" ca="1" si="127"/>
        <v>2.4785000000000001E-2</v>
      </c>
      <c r="O284" s="5">
        <f t="shared" ca="1" si="128"/>
        <v>2.9536E-2</v>
      </c>
      <c r="P284" s="8">
        <f t="shared" ca="1" si="129"/>
        <v>976.47302563645655</v>
      </c>
      <c r="Q284" s="8">
        <f t="shared" ca="1" si="130"/>
        <v>3146.6163787156534</v>
      </c>
      <c r="R284" s="8">
        <f t="shared" ca="1" si="131"/>
        <v>2297.6842114991728</v>
      </c>
      <c r="S284" s="5">
        <f t="shared" ca="1" si="132"/>
        <v>-1.0403191975302392E-3</v>
      </c>
      <c r="T284">
        <f t="shared" ca="1" si="133"/>
        <v>6.8940096251758495E-2</v>
      </c>
      <c r="U284" s="5">
        <f t="shared" ca="1" si="134"/>
        <v>4.7102203825024587E-3</v>
      </c>
    </row>
    <row r="285" spans="2:21" x14ac:dyDescent="0.25">
      <c r="B285">
        <f t="shared" si="117"/>
        <v>282</v>
      </c>
      <c r="C285">
        <f t="shared" si="137"/>
        <v>24</v>
      </c>
      <c r="D285">
        <f t="shared" si="138"/>
        <v>6</v>
      </c>
      <c r="E285" s="5">
        <f t="shared" ca="1" si="118"/>
        <v>9.5329999999999998E-3</v>
      </c>
      <c r="F285" s="5">
        <f t="shared" ca="1" si="119"/>
        <v>8.9960000000000005E-3</v>
      </c>
      <c r="G285" s="5">
        <f t="shared" ca="1" si="120"/>
        <v>1.158E-2</v>
      </c>
      <c r="H285" s="5">
        <f t="shared" ca="1" si="121"/>
        <v>1.0805E-2</v>
      </c>
      <c r="I285" s="5">
        <f t="shared" ca="1" si="122"/>
        <v>1.1756000000000001E-2</v>
      </c>
      <c r="J285" s="5">
        <f t="shared" ca="1" si="123"/>
        <v>1.5132E-2</v>
      </c>
      <c r="K285" s="5">
        <f t="shared" ca="1" si="124"/>
        <v>1.7425E-2</v>
      </c>
      <c r="L285" s="5">
        <f t="shared" ca="1" si="125"/>
        <v>1.9552E-2</v>
      </c>
      <c r="M285" s="5">
        <f t="shared" ca="1" si="126"/>
        <v>2.1669000000000001E-2</v>
      </c>
      <c r="N285" s="5">
        <f t="shared" ca="1" si="127"/>
        <v>2.4794E-2</v>
      </c>
      <c r="O285" s="5">
        <f t="shared" ca="1" si="128"/>
        <v>2.9488E-2</v>
      </c>
      <c r="P285" s="8">
        <f t="shared" ca="1" si="129"/>
        <v>974.95674731540112</v>
      </c>
      <c r="Q285" s="8">
        <f t="shared" ca="1" si="130"/>
        <v>3158.5539366244961</v>
      </c>
      <c r="R285" s="8">
        <f t="shared" ca="1" si="131"/>
        <v>2297.9729426454228</v>
      </c>
      <c r="S285" s="5">
        <f t="shared" ca="1" si="132"/>
        <v>-1.8475415404148304E-2</v>
      </c>
      <c r="T285">
        <f t="shared" ca="1" si="133"/>
        <v>4.6487349218250852E-2</v>
      </c>
      <c r="U285" s="5">
        <f t="shared" ca="1" si="134"/>
        <v>1.5089843001362619E-3</v>
      </c>
    </row>
    <row r="286" spans="2:21" x14ac:dyDescent="0.25">
      <c r="B286">
        <f t="shared" si="117"/>
        <v>283</v>
      </c>
      <c r="C286">
        <f t="shared" si="137"/>
        <v>24</v>
      </c>
      <c r="D286">
        <f t="shared" si="138"/>
        <v>7</v>
      </c>
      <c r="E286" s="5">
        <f t="shared" ca="1" si="118"/>
        <v>9.5069999999999998E-3</v>
      </c>
      <c r="F286" s="5">
        <f t="shared" ca="1" si="119"/>
        <v>9.0200000000000002E-3</v>
      </c>
      <c r="G286" s="5">
        <f t="shared" ca="1" si="120"/>
        <v>1.1578E-2</v>
      </c>
      <c r="H286" s="5">
        <f t="shared" ca="1" si="121"/>
        <v>1.0858E-2</v>
      </c>
      <c r="I286" s="5">
        <f t="shared" ca="1" si="122"/>
        <v>1.174E-2</v>
      </c>
      <c r="J286" s="5">
        <f t="shared" ca="1" si="123"/>
        <v>1.5036000000000001E-2</v>
      </c>
      <c r="K286" s="5">
        <f t="shared" ca="1" si="124"/>
        <v>1.7329000000000001E-2</v>
      </c>
      <c r="L286" s="5">
        <f t="shared" ca="1" si="125"/>
        <v>1.9519999999999999E-2</v>
      </c>
      <c r="M286" s="5">
        <f t="shared" ca="1" si="126"/>
        <v>2.1759000000000001E-2</v>
      </c>
      <c r="N286" s="5">
        <f t="shared" ca="1" si="127"/>
        <v>2.479E-2</v>
      </c>
      <c r="O286" s="5">
        <f t="shared" ca="1" si="128"/>
        <v>2.9423000000000001E-2</v>
      </c>
      <c r="P286" s="8">
        <f t="shared" ca="1" si="129"/>
        <v>977.2651533839288</v>
      </c>
      <c r="Q286" s="8">
        <f t="shared" ca="1" si="130"/>
        <v>3171.3005368306813</v>
      </c>
      <c r="R286" s="8">
        <f t="shared" ca="1" si="131"/>
        <v>2297.9532131598653</v>
      </c>
      <c r="S286" s="5">
        <f t="shared" ca="1" si="132"/>
        <v>2.8785344319770659E-2</v>
      </c>
      <c r="T286">
        <f t="shared" ca="1" si="133"/>
        <v>4.9516433362751106E-2</v>
      </c>
      <c r="U286" s="5">
        <f t="shared" ca="1" si="134"/>
        <v>-1.0302238242570864E-4</v>
      </c>
    </row>
    <row r="287" spans="2:21" x14ac:dyDescent="0.25">
      <c r="B287">
        <f t="shared" si="117"/>
        <v>284</v>
      </c>
      <c r="C287">
        <f t="shared" si="137"/>
        <v>24</v>
      </c>
      <c r="D287">
        <f t="shared" si="138"/>
        <v>8</v>
      </c>
      <c r="E287" s="5">
        <f t="shared" ca="1" si="118"/>
        <v>9.5650000000000006E-3</v>
      </c>
      <c r="F287" s="5">
        <f t="shared" ca="1" si="119"/>
        <v>8.9610000000000002E-3</v>
      </c>
      <c r="G287" s="5">
        <f t="shared" ca="1" si="120"/>
        <v>1.1505E-2</v>
      </c>
      <c r="H287" s="5">
        <f t="shared" ca="1" si="121"/>
        <v>1.0819E-2</v>
      </c>
      <c r="I287" s="5">
        <f t="shared" ca="1" si="122"/>
        <v>1.1752E-2</v>
      </c>
      <c r="J287" s="5">
        <f t="shared" ca="1" si="123"/>
        <v>1.5110999999999999E-2</v>
      </c>
      <c r="K287" s="5">
        <f t="shared" ca="1" si="124"/>
        <v>1.7410999999999999E-2</v>
      </c>
      <c r="L287" s="5">
        <f t="shared" ca="1" si="125"/>
        <v>1.9567999999999999E-2</v>
      </c>
      <c r="M287" s="5">
        <f t="shared" ca="1" si="126"/>
        <v>2.1752000000000001E-2</v>
      </c>
      <c r="N287" s="5">
        <f t="shared" ca="1" si="127"/>
        <v>2.4726999999999999E-2</v>
      </c>
      <c r="O287" s="5">
        <f t="shared" ca="1" si="128"/>
        <v>2.9522E-2</v>
      </c>
      <c r="P287" s="8">
        <f t="shared" ca="1" si="129"/>
        <v>978.09848230364082</v>
      </c>
      <c r="Q287" s="8">
        <f t="shared" ca="1" si="130"/>
        <v>3186.4060673500398</v>
      </c>
      <c r="R287" s="8">
        <f t="shared" ca="1" si="131"/>
        <v>2297.2551018537047</v>
      </c>
      <c r="S287" s="5">
        <f t="shared" ca="1" si="132"/>
        <v>1.0280710055597551E-2</v>
      </c>
      <c r="T287">
        <f t="shared" ca="1" si="133"/>
        <v>5.8679811892889497E-2</v>
      </c>
      <c r="U287" s="5">
        <f t="shared" ca="1" si="134"/>
        <v>-3.6394789236064112E-3</v>
      </c>
    </row>
    <row r="288" spans="2:21" x14ac:dyDescent="0.25">
      <c r="B288">
        <f t="shared" si="117"/>
        <v>285</v>
      </c>
      <c r="C288">
        <f t="shared" si="137"/>
        <v>24</v>
      </c>
      <c r="D288">
        <f t="shared" si="138"/>
        <v>9</v>
      </c>
      <c r="E288" s="5">
        <f t="shared" ca="1" si="118"/>
        <v>9.6489999999999996E-3</v>
      </c>
      <c r="F288" s="5">
        <f t="shared" ca="1" si="119"/>
        <v>8.8909999999999996E-3</v>
      </c>
      <c r="G288" s="5">
        <f t="shared" ca="1" si="120"/>
        <v>1.1538E-2</v>
      </c>
      <c r="H288" s="5">
        <f t="shared" ca="1" si="121"/>
        <v>1.0802000000000001E-2</v>
      </c>
      <c r="I288" s="5">
        <f t="shared" ca="1" si="122"/>
        <v>1.1779E-2</v>
      </c>
      <c r="J288" s="5">
        <f t="shared" ca="1" si="123"/>
        <v>1.5112E-2</v>
      </c>
      <c r="K288" s="5">
        <f t="shared" ca="1" si="124"/>
        <v>1.7430000000000001E-2</v>
      </c>
      <c r="L288" s="5">
        <f t="shared" ca="1" si="125"/>
        <v>1.9650000000000001E-2</v>
      </c>
      <c r="M288" s="5">
        <f t="shared" ca="1" si="126"/>
        <v>2.1701000000000002E-2</v>
      </c>
      <c r="N288" s="5">
        <f t="shared" ca="1" si="127"/>
        <v>2.4799000000000002E-2</v>
      </c>
      <c r="O288" s="5">
        <f t="shared" ca="1" si="128"/>
        <v>2.9468000000000001E-2</v>
      </c>
      <c r="P288" s="8">
        <f t="shared" ca="1" si="129"/>
        <v>976.22657929267609</v>
      </c>
      <c r="Q288" s="8">
        <f t="shared" ca="1" si="130"/>
        <v>3204.0381010067672</v>
      </c>
      <c r="R288" s="8">
        <f t="shared" ca="1" si="131"/>
        <v>2295.6054350653767</v>
      </c>
      <c r="S288" s="5">
        <f t="shared" ca="1" si="132"/>
        <v>-2.2725619730149169E-2</v>
      </c>
      <c r="T288">
        <f t="shared" ca="1" si="133"/>
        <v>6.8460861532034289E-2</v>
      </c>
      <c r="U288" s="5">
        <f t="shared" ca="1" si="134"/>
        <v>-8.5832882126794536E-3</v>
      </c>
    </row>
    <row r="289" spans="2:21" x14ac:dyDescent="0.25">
      <c r="B289">
        <f t="shared" si="117"/>
        <v>286</v>
      </c>
      <c r="C289">
        <f t="shared" si="137"/>
        <v>24</v>
      </c>
      <c r="D289">
        <f t="shared" si="138"/>
        <v>10</v>
      </c>
      <c r="E289" s="5">
        <f t="shared" ca="1" si="118"/>
        <v>9.7249999999999993E-3</v>
      </c>
      <c r="F289" s="5">
        <f t="shared" ca="1" si="119"/>
        <v>8.8159999999999992E-3</v>
      </c>
      <c r="G289" s="5">
        <f t="shared" ca="1" si="120"/>
        <v>1.1613999999999999E-2</v>
      </c>
      <c r="H289" s="5">
        <f t="shared" ca="1" si="121"/>
        <v>1.0865E-2</v>
      </c>
      <c r="I289" s="5">
        <f t="shared" ca="1" si="122"/>
        <v>1.1764999999999999E-2</v>
      </c>
      <c r="J289" s="5">
        <f t="shared" ca="1" si="123"/>
        <v>1.5082999999999999E-2</v>
      </c>
      <c r="K289" s="5">
        <f t="shared" ca="1" si="124"/>
        <v>1.7506000000000001E-2</v>
      </c>
      <c r="L289" s="5">
        <f t="shared" ca="1" si="125"/>
        <v>1.9720999999999999E-2</v>
      </c>
      <c r="M289" s="5">
        <f t="shared" ca="1" si="126"/>
        <v>2.1672E-2</v>
      </c>
      <c r="N289" s="5">
        <f t="shared" ca="1" si="127"/>
        <v>2.4893999999999999E-2</v>
      </c>
      <c r="O289" s="5">
        <f t="shared" ca="1" si="128"/>
        <v>2.9513000000000001E-2</v>
      </c>
      <c r="P289" s="8">
        <f t="shared" ca="1" si="129"/>
        <v>978.07801115989889</v>
      </c>
      <c r="Q289" s="8">
        <f t="shared" ca="1" si="130"/>
        <v>3220.552596519477</v>
      </c>
      <c r="R289" s="8">
        <f t="shared" ca="1" si="131"/>
        <v>2293.1511219798954</v>
      </c>
      <c r="S289" s="5">
        <f t="shared" ca="1" si="132"/>
        <v>2.2997118010769056E-2</v>
      </c>
      <c r="T289">
        <f t="shared" ca="1" si="133"/>
        <v>6.3635177543333754E-2</v>
      </c>
      <c r="U289" s="5">
        <f t="shared" ca="1" si="134"/>
        <v>-1.2754451938273686E-2</v>
      </c>
    </row>
    <row r="290" spans="2:21" x14ac:dyDescent="0.25">
      <c r="B290">
        <f t="shared" si="117"/>
        <v>287</v>
      </c>
      <c r="C290">
        <f t="shared" si="137"/>
        <v>24</v>
      </c>
      <c r="D290">
        <f t="shared" si="138"/>
        <v>11</v>
      </c>
      <c r="E290" s="5">
        <f t="shared" ca="1" si="118"/>
        <v>9.691E-3</v>
      </c>
      <c r="F290" s="5">
        <f t="shared" ca="1" si="119"/>
        <v>8.8000000000000005E-3</v>
      </c>
      <c r="G290" s="5">
        <f t="shared" ca="1" si="120"/>
        <v>1.1705999999999999E-2</v>
      </c>
      <c r="H290" s="5">
        <f t="shared" ca="1" si="121"/>
        <v>1.0767000000000001E-2</v>
      </c>
      <c r="I290" s="5">
        <f t="shared" ca="1" si="122"/>
        <v>1.1719E-2</v>
      </c>
      <c r="J290" s="5">
        <f t="shared" ca="1" si="123"/>
        <v>1.5132E-2</v>
      </c>
      <c r="K290" s="5">
        <f t="shared" ca="1" si="124"/>
        <v>1.7433000000000001E-2</v>
      </c>
      <c r="L290" s="5">
        <f t="shared" ca="1" si="125"/>
        <v>1.9671000000000001E-2</v>
      </c>
      <c r="M290" s="5">
        <f t="shared" ca="1" si="126"/>
        <v>2.1627E-2</v>
      </c>
      <c r="N290" s="5">
        <f t="shared" ca="1" si="127"/>
        <v>2.4910999999999999E-2</v>
      </c>
      <c r="O290" s="5">
        <f t="shared" ca="1" si="128"/>
        <v>2.9513999999999999E-2</v>
      </c>
      <c r="P290" s="8">
        <f t="shared" ca="1" si="129"/>
        <v>981.81856322615249</v>
      </c>
      <c r="Q290" s="8">
        <f t="shared" ca="1" si="130"/>
        <v>3229.6477045930546</v>
      </c>
      <c r="R290" s="8">
        <f t="shared" ca="1" si="131"/>
        <v>2290.7030367755115</v>
      </c>
      <c r="S290" s="5">
        <f t="shared" ca="1" si="132"/>
        <v>4.6870409461016338E-2</v>
      </c>
      <c r="T290">
        <f t="shared" ca="1" si="133"/>
        <v>3.4420363018487825E-2</v>
      </c>
      <c r="U290" s="5">
        <f t="shared" ca="1" si="134"/>
        <v>-1.273581333474411E-2</v>
      </c>
    </row>
    <row r="291" spans="2:21" x14ac:dyDescent="0.25">
      <c r="B291">
        <f t="shared" si="117"/>
        <v>288</v>
      </c>
      <c r="C291">
        <f t="shared" si="137"/>
        <v>24</v>
      </c>
      <c r="D291">
        <f t="shared" si="138"/>
        <v>12</v>
      </c>
      <c r="E291" s="5">
        <f t="shared" ca="1" si="118"/>
        <v>9.6430000000000005E-3</v>
      </c>
      <c r="F291" s="5">
        <f t="shared" ca="1" si="119"/>
        <v>8.77E-3</v>
      </c>
      <c r="G291" s="5">
        <f t="shared" ca="1" si="120"/>
        <v>1.1773E-2</v>
      </c>
      <c r="H291" s="5">
        <f t="shared" ca="1" si="121"/>
        <v>1.0855E-2</v>
      </c>
      <c r="I291" s="5">
        <f t="shared" ca="1" si="122"/>
        <v>1.1795999999999999E-2</v>
      </c>
      <c r="J291" s="5">
        <f t="shared" ca="1" si="123"/>
        <v>1.5055000000000001E-2</v>
      </c>
      <c r="K291" s="5">
        <f t="shared" ca="1" si="124"/>
        <v>1.7343000000000001E-2</v>
      </c>
      <c r="L291" s="5">
        <f t="shared" ca="1" si="125"/>
        <v>1.9585000000000002E-2</v>
      </c>
      <c r="M291" s="5">
        <f t="shared" ca="1" si="126"/>
        <v>2.1635000000000001E-2</v>
      </c>
      <c r="N291" s="5">
        <f t="shared" ca="1" si="127"/>
        <v>2.4888E-2</v>
      </c>
      <c r="O291" s="5">
        <f t="shared" ca="1" si="128"/>
        <v>2.9613E-2</v>
      </c>
      <c r="P291" s="8">
        <f t="shared" ca="1" si="129"/>
        <v>985.83655162773698</v>
      </c>
      <c r="Q291" s="8">
        <f t="shared" ca="1" si="130"/>
        <v>3243.9014422686751</v>
      </c>
      <c r="R291" s="8">
        <f t="shared" ca="1" si="131"/>
        <v>2289.2018698047641</v>
      </c>
      <c r="S291" s="5">
        <f t="shared" ca="1" si="132"/>
        <v>5.0229293651071344E-2</v>
      </c>
      <c r="T291">
        <f t="shared" ca="1" si="133"/>
        <v>5.4265496861937663E-2</v>
      </c>
      <c r="U291" s="5">
        <f t="shared" ca="1" si="134"/>
        <v>-7.835680494531691E-3</v>
      </c>
    </row>
    <row r="292" spans="2:21" x14ac:dyDescent="0.25">
      <c r="B292">
        <f t="shared" si="117"/>
        <v>289</v>
      </c>
      <c r="C292">
        <f>C291+1</f>
        <v>25</v>
      </c>
      <c r="D292">
        <v>1</v>
      </c>
      <c r="E292" s="5">
        <f t="shared" ca="1" si="118"/>
        <v>9.5790000000000007E-3</v>
      </c>
      <c r="F292" s="5">
        <f t="shared" ca="1" si="119"/>
        <v>8.7159999999999998E-3</v>
      </c>
      <c r="G292" s="5">
        <f t="shared" ca="1" si="120"/>
        <v>1.1816E-2</v>
      </c>
      <c r="H292" s="5">
        <f t="shared" ca="1" si="121"/>
        <v>1.077E-2</v>
      </c>
      <c r="I292" s="5">
        <f t="shared" ca="1" si="122"/>
        <v>1.1717E-2</v>
      </c>
      <c r="J292" s="5">
        <f t="shared" ca="1" si="123"/>
        <v>1.5143999999999999E-2</v>
      </c>
      <c r="K292" s="5">
        <f t="shared" ca="1" si="124"/>
        <v>1.7326000000000001E-2</v>
      </c>
      <c r="L292" s="5">
        <f t="shared" ca="1" si="125"/>
        <v>1.9612999999999998E-2</v>
      </c>
      <c r="M292" s="5">
        <f t="shared" ca="1" si="126"/>
        <v>2.1554E-2</v>
      </c>
      <c r="N292" s="5">
        <f t="shared" ca="1" si="127"/>
        <v>2.4958999999999999E-2</v>
      </c>
      <c r="O292" s="5">
        <f t="shared" ca="1" si="128"/>
        <v>2.9551000000000001E-2</v>
      </c>
      <c r="P292" s="8">
        <f t="shared" ca="1" si="129"/>
        <v>989.62297168825091</v>
      </c>
      <c r="Q292" s="8">
        <f t="shared" ca="1" si="130"/>
        <v>3256.4333523626947</v>
      </c>
      <c r="R292" s="8">
        <f t="shared" ca="1" si="131"/>
        <v>2286.8214368308136</v>
      </c>
      <c r="S292" s="5">
        <f t="shared" ca="1" si="132"/>
        <v>4.7076030056173945E-2</v>
      </c>
      <c r="T292">
        <f t="shared" ca="1" si="133"/>
        <v>4.7356470242280034E-2</v>
      </c>
      <c r="U292" s="5">
        <f t="shared" ca="1" si="134"/>
        <v>-1.2407114992731297E-2</v>
      </c>
    </row>
    <row r="293" spans="2:21" x14ac:dyDescent="0.25">
      <c r="B293">
        <f t="shared" si="117"/>
        <v>290</v>
      </c>
      <c r="C293">
        <f>C292</f>
        <v>25</v>
      </c>
      <c r="D293">
        <v>2</v>
      </c>
      <c r="E293" s="5">
        <f t="shared" ca="1" si="118"/>
        <v>9.5420000000000001E-3</v>
      </c>
      <c r="F293" s="5">
        <f t="shared" ca="1" si="119"/>
        <v>8.7220000000000006E-3</v>
      </c>
      <c r="G293" s="5">
        <f t="shared" ca="1" si="120"/>
        <v>1.1773E-2</v>
      </c>
      <c r="H293" s="5">
        <f t="shared" ca="1" si="121"/>
        <v>1.076E-2</v>
      </c>
      <c r="I293" s="5">
        <f t="shared" ca="1" si="122"/>
        <v>1.1785E-2</v>
      </c>
      <c r="J293" s="5">
        <f t="shared" ca="1" si="123"/>
        <v>1.5114000000000001E-2</v>
      </c>
      <c r="K293" s="5">
        <f t="shared" ca="1" si="124"/>
        <v>1.7351999999999999E-2</v>
      </c>
      <c r="L293" s="5">
        <f t="shared" ca="1" si="125"/>
        <v>1.9675999999999999E-2</v>
      </c>
      <c r="M293" s="5">
        <f t="shared" ca="1" si="126"/>
        <v>2.1551000000000001E-2</v>
      </c>
      <c r="N293" s="5">
        <f t="shared" ca="1" si="127"/>
        <v>2.4993999999999999E-2</v>
      </c>
      <c r="O293" s="5">
        <f t="shared" ca="1" si="128"/>
        <v>2.9617000000000001E-2</v>
      </c>
      <c r="P293" s="8">
        <f t="shared" ca="1" si="129"/>
        <v>992.30875150619477</v>
      </c>
      <c r="Q293" s="8">
        <f t="shared" ca="1" si="130"/>
        <v>3271.0069083084513</v>
      </c>
      <c r="R293" s="8">
        <f t="shared" ca="1" si="131"/>
        <v>2284.0247690439819</v>
      </c>
      <c r="S293" s="5">
        <f t="shared" ca="1" si="132"/>
        <v>3.3057856299268738E-2</v>
      </c>
      <c r="T293">
        <f t="shared" ca="1" si="133"/>
        <v>5.5045541556933857E-2</v>
      </c>
      <c r="U293" s="5">
        <f t="shared" ca="1" si="134"/>
        <v>-1.4577088710589027E-2</v>
      </c>
    </row>
    <row r="294" spans="2:21" x14ac:dyDescent="0.25">
      <c r="B294">
        <f t="shared" si="117"/>
        <v>291</v>
      </c>
      <c r="C294">
        <f t="shared" ref="C294:C303" si="139">C293</f>
        <v>25</v>
      </c>
      <c r="D294">
        <v>3</v>
      </c>
      <c r="E294" s="5">
        <f t="shared" ca="1" si="118"/>
        <v>9.4549999999999999E-3</v>
      </c>
      <c r="F294" s="5">
        <f t="shared" ca="1" si="119"/>
        <v>8.8109999999999994E-3</v>
      </c>
      <c r="G294" s="5">
        <f t="shared" ca="1" si="120"/>
        <v>1.1747E-2</v>
      </c>
      <c r="H294" s="5">
        <f t="shared" ca="1" si="121"/>
        <v>1.0777E-2</v>
      </c>
      <c r="I294" s="5">
        <f t="shared" ca="1" si="122"/>
        <v>1.1878E-2</v>
      </c>
      <c r="J294" s="5">
        <f t="shared" ca="1" si="123"/>
        <v>1.5106E-2</v>
      </c>
      <c r="K294" s="5">
        <f t="shared" ca="1" si="124"/>
        <v>1.7342E-2</v>
      </c>
      <c r="L294" s="5">
        <f t="shared" ca="1" si="125"/>
        <v>1.9632E-2</v>
      </c>
      <c r="M294" s="5">
        <f t="shared" ca="1" si="126"/>
        <v>2.1631000000000001E-2</v>
      </c>
      <c r="N294" s="5">
        <f t="shared" ca="1" si="127"/>
        <v>2.4910999999999999E-2</v>
      </c>
      <c r="O294" s="5">
        <f t="shared" ca="1" si="128"/>
        <v>2.9711999999999999E-2</v>
      </c>
      <c r="P294" s="8">
        <f t="shared" ca="1" si="129"/>
        <v>991.47017691095141</v>
      </c>
      <c r="Q294" s="8">
        <f t="shared" ca="1" si="130"/>
        <v>3288.4733298214906</v>
      </c>
      <c r="R294" s="8">
        <f t="shared" ca="1" si="131"/>
        <v>2280.5739779913638</v>
      </c>
      <c r="S294" s="5">
        <f t="shared" ca="1" si="132"/>
        <v>-1.0093889843064023E-2</v>
      </c>
      <c r="T294">
        <f t="shared" ca="1" si="133"/>
        <v>6.5992997326249567E-2</v>
      </c>
      <c r="U294" s="5">
        <f t="shared" ca="1" si="134"/>
        <v>-1.798015659415448E-2</v>
      </c>
    </row>
    <row r="295" spans="2:21" x14ac:dyDescent="0.25">
      <c r="B295">
        <f t="shared" si="117"/>
        <v>292</v>
      </c>
      <c r="C295">
        <f t="shared" si="139"/>
        <v>25</v>
      </c>
      <c r="D295">
        <f>D294+1</f>
        <v>4</v>
      </c>
      <c r="E295" s="5">
        <f t="shared" ca="1" si="118"/>
        <v>9.4009999999999996E-3</v>
      </c>
      <c r="F295" s="5">
        <f t="shared" ca="1" si="119"/>
        <v>8.7130000000000003E-3</v>
      </c>
      <c r="G295" s="5">
        <f t="shared" ca="1" si="120"/>
        <v>1.1831E-2</v>
      </c>
      <c r="H295" s="5">
        <f t="shared" ca="1" si="121"/>
        <v>1.0751999999999999E-2</v>
      </c>
      <c r="I295" s="5">
        <f t="shared" ca="1" si="122"/>
        <v>1.1827000000000001E-2</v>
      </c>
      <c r="J295" s="5">
        <f t="shared" ca="1" si="123"/>
        <v>1.5008000000000001E-2</v>
      </c>
      <c r="K295" s="5">
        <f t="shared" ca="1" si="124"/>
        <v>1.737E-2</v>
      </c>
      <c r="L295" s="5">
        <f t="shared" ca="1" si="125"/>
        <v>1.9546000000000001E-2</v>
      </c>
      <c r="M295" s="5">
        <f t="shared" ca="1" si="126"/>
        <v>2.1708999999999999E-2</v>
      </c>
      <c r="N295" s="5">
        <f t="shared" ca="1" si="127"/>
        <v>2.4856E-2</v>
      </c>
      <c r="O295" s="5">
        <f t="shared" ca="1" si="128"/>
        <v>2.9662999999999998E-2</v>
      </c>
      <c r="P295" s="8">
        <f t="shared" ca="1" si="129"/>
        <v>990.85239142232001</v>
      </c>
      <c r="Q295" s="8">
        <f t="shared" ca="1" si="130"/>
        <v>3305.6869789248558</v>
      </c>
      <c r="R295" s="8">
        <f t="shared" ca="1" si="131"/>
        <v>2276.3932549085216</v>
      </c>
      <c r="S295" s="5">
        <f t="shared" ca="1" si="132"/>
        <v>-7.4516334752125508E-3</v>
      </c>
      <c r="T295">
        <f t="shared" ca="1" si="133"/>
        <v>6.4654851189909629E-2</v>
      </c>
      <c r="U295" s="5">
        <f t="shared" ca="1" si="134"/>
        <v>-2.1777819104125233E-2</v>
      </c>
    </row>
    <row r="296" spans="2:21" x14ac:dyDescent="0.25">
      <c r="B296">
        <f t="shared" si="117"/>
        <v>293</v>
      </c>
      <c r="C296">
        <f t="shared" si="139"/>
        <v>25</v>
      </c>
      <c r="D296">
        <f t="shared" ref="D296:D303" si="140">D295+1</f>
        <v>5</v>
      </c>
      <c r="E296" s="5">
        <f t="shared" ca="1" si="118"/>
        <v>9.4409999999999997E-3</v>
      </c>
      <c r="F296" s="5">
        <f t="shared" ca="1" si="119"/>
        <v>8.6180000000000007E-3</v>
      </c>
      <c r="G296" s="5">
        <f t="shared" ca="1" si="120"/>
        <v>1.1894999999999999E-2</v>
      </c>
      <c r="H296" s="5">
        <f t="shared" ca="1" si="121"/>
        <v>1.0729000000000001E-2</v>
      </c>
      <c r="I296" s="5">
        <f t="shared" ca="1" si="122"/>
        <v>1.174E-2</v>
      </c>
      <c r="J296" s="5">
        <f t="shared" ca="1" si="123"/>
        <v>1.4984000000000001E-2</v>
      </c>
      <c r="K296" s="5">
        <f t="shared" ca="1" si="124"/>
        <v>1.7298999999999998E-2</v>
      </c>
      <c r="L296" s="5">
        <f t="shared" ca="1" si="125"/>
        <v>1.9587E-2</v>
      </c>
      <c r="M296" s="5">
        <f t="shared" ca="1" si="126"/>
        <v>2.1773000000000001E-2</v>
      </c>
      <c r="N296" s="5">
        <f t="shared" ca="1" si="127"/>
        <v>2.4920999999999999E-2</v>
      </c>
      <c r="O296" s="5">
        <f t="shared" ca="1" si="128"/>
        <v>2.9729999999999999E-2</v>
      </c>
      <c r="P296" s="8">
        <f t="shared" ca="1" si="129"/>
        <v>991.59445591812539</v>
      </c>
      <c r="Q296" s="8">
        <f t="shared" ca="1" si="130"/>
        <v>3321.8025267379808</v>
      </c>
      <c r="R296" s="8">
        <f t="shared" ca="1" si="131"/>
        <v>2271.935930265668</v>
      </c>
      <c r="S296" s="5">
        <f t="shared" ca="1" si="132"/>
        <v>9.0240936123206841E-3</v>
      </c>
      <c r="T296">
        <f t="shared" ca="1" si="133"/>
        <v>6.0095541640483356E-2</v>
      </c>
      <c r="U296" s="5">
        <f t="shared" ca="1" si="134"/>
        <v>-2.3245372330740151E-2</v>
      </c>
    </row>
    <row r="297" spans="2:21" x14ac:dyDescent="0.25">
      <c r="B297">
        <f t="shared" si="117"/>
        <v>294</v>
      </c>
      <c r="C297">
        <f t="shared" si="139"/>
        <v>25</v>
      </c>
      <c r="D297">
        <f t="shared" si="140"/>
        <v>6</v>
      </c>
      <c r="E297" s="5">
        <f t="shared" ca="1" si="118"/>
        <v>9.4579999999999994E-3</v>
      </c>
      <c r="F297" s="5">
        <f t="shared" ca="1" si="119"/>
        <v>8.5349999999999992E-3</v>
      </c>
      <c r="G297" s="5">
        <f t="shared" ca="1" si="120"/>
        <v>1.1946E-2</v>
      </c>
      <c r="H297" s="5">
        <f t="shared" ca="1" si="121"/>
        <v>1.072E-2</v>
      </c>
      <c r="I297" s="5">
        <f t="shared" ca="1" si="122"/>
        <v>1.1811E-2</v>
      </c>
      <c r="J297" s="5">
        <f t="shared" ca="1" si="123"/>
        <v>1.4885000000000001E-2</v>
      </c>
      <c r="K297" s="5">
        <f t="shared" ca="1" si="124"/>
        <v>1.7298000000000001E-2</v>
      </c>
      <c r="L297" s="5">
        <f t="shared" ca="1" si="125"/>
        <v>1.9528E-2</v>
      </c>
      <c r="M297" s="5">
        <f t="shared" ca="1" si="126"/>
        <v>2.1713E-2</v>
      </c>
      <c r="N297" s="5">
        <f t="shared" ca="1" si="127"/>
        <v>2.4844999999999999E-2</v>
      </c>
      <c r="O297" s="5">
        <f t="shared" ca="1" si="128"/>
        <v>2.9735000000000001E-2</v>
      </c>
      <c r="P297" s="8">
        <f t="shared" ca="1" si="129"/>
        <v>994.22115219429725</v>
      </c>
      <c r="Q297" s="8">
        <f t="shared" ca="1" si="130"/>
        <v>3330.9230440602855</v>
      </c>
      <c r="R297" s="8">
        <f t="shared" ca="1" si="131"/>
        <v>2266.8517998916827</v>
      </c>
      <c r="S297" s="5">
        <f t="shared" ca="1" si="132"/>
        <v>3.2254782791667908E-2</v>
      </c>
      <c r="T297">
        <f t="shared" ca="1" si="133"/>
        <v>3.3449967119517525E-2</v>
      </c>
      <c r="U297" s="5">
        <f t="shared" ca="1" si="134"/>
        <v>-2.6525501145299276E-2</v>
      </c>
    </row>
    <row r="298" spans="2:21" x14ac:dyDescent="0.25">
      <c r="B298">
        <f t="shared" si="117"/>
        <v>295</v>
      </c>
      <c r="C298">
        <f t="shared" si="139"/>
        <v>25</v>
      </c>
      <c r="D298">
        <f t="shared" si="140"/>
        <v>7</v>
      </c>
      <c r="E298" s="5">
        <f t="shared" ca="1" si="118"/>
        <v>9.3919999999999993E-3</v>
      </c>
      <c r="F298" s="5">
        <f t="shared" ca="1" si="119"/>
        <v>8.5290000000000001E-3</v>
      </c>
      <c r="G298" s="5">
        <f t="shared" ca="1" si="120"/>
        <v>1.1872000000000001E-2</v>
      </c>
      <c r="H298" s="5">
        <f t="shared" ca="1" si="121"/>
        <v>1.074E-2</v>
      </c>
      <c r="I298" s="5">
        <f t="shared" ca="1" si="122"/>
        <v>1.1868E-2</v>
      </c>
      <c r="J298" s="5">
        <f t="shared" ca="1" si="123"/>
        <v>1.4888999999999999E-2</v>
      </c>
      <c r="K298" s="5">
        <f t="shared" ca="1" si="124"/>
        <v>1.7253000000000001E-2</v>
      </c>
      <c r="L298" s="5">
        <f t="shared" ca="1" si="125"/>
        <v>1.9508000000000001E-2</v>
      </c>
      <c r="M298" s="5">
        <f t="shared" ca="1" si="126"/>
        <v>2.1617000000000001E-2</v>
      </c>
      <c r="N298" s="5">
        <f t="shared" ca="1" si="127"/>
        <v>2.4875999999999999E-2</v>
      </c>
      <c r="O298" s="5">
        <f t="shared" ca="1" si="128"/>
        <v>2.9777999999999999E-2</v>
      </c>
      <c r="P298" s="8">
        <f t="shared" ca="1" si="129"/>
        <v>995.35022553355884</v>
      </c>
      <c r="Q298" s="8">
        <f t="shared" ca="1" si="130"/>
        <v>3340.4229820706373</v>
      </c>
      <c r="R298" s="8">
        <f t="shared" ca="1" si="131"/>
        <v>2261.9986146922688</v>
      </c>
      <c r="S298" s="5">
        <f t="shared" ca="1" si="132"/>
        <v>1.3713073281792415E-2</v>
      </c>
      <c r="T298">
        <f t="shared" ca="1" si="133"/>
        <v>3.4766514918243348E-2</v>
      </c>
      <c r="U298" s="5">
        <f t="shared" ca="1" si="134"/>
        <v>-2.5390865452410448E-2</v>
      </c>
    </row>
    <row r="299" spans="2:21" x14ac:dyDescent="0.25">
      <c r="B299">
        <f t="shared" si="117"/>
        <v>296</v>
      </c>
      <c r="C299">
        <f t="shared" si="139"/>
        <v>25</v>
      </c>
      <c r="D299">
        <f t="shared" si="140"/>
        <v>8</v>
      </c>
      <c r="E299" s="5">
        <f t="shared" ca="1" si="118"/>
        <v>9.3810000000000004E-3</v>
      </c>
      <c r="F299" s="5">
        <f t="shared" ca="1" si="119"/>
        <v>8.6049999999999998E-3</v>
      </c>
      <c r="G299" s="5">
        <f t="shared" ca="1" si="120"/>
        <v>1.1957000000000001E-2</v>
      </c>
      <c r="H299" s="5">
        <f t="shared" ca="1" si="121"/>
        <v>1.0670000000000001E-2</v>
      </c>
      <c r="I299" s="5">
        <f t="shared" ca="1" si="122"/>
        <v>1.192E-2</v>
      </c>
      <c r="J299" s="5">
        <f t="shared" ca="1" si="123"/>
        <v>1.4838E-2</v>
      </c>
      <c r="K299" s="5">
        <f t="shared" ca="1" si="124"/>
        <v>1.7346E-2</v>
      </c>
      <c r="L299" s="5">
        <f t="shared" ca="1" si="125"/>
        <v>1.9554999999999999E-2</v>
      </c>
      <c r="M299" s="5">
        <f t="shared" ca="1" si="126"/>
        <v>2.1602E-2</v>
      </c>
      <c r="N299" s="5">
        <f t="shared" ca="1" si="127"/>
        <v>2.4898E-2</v>
      </c>
      <c r="O299" s="5">
        <f t="shared" ca="1" si="128"/>
        <v>2.9725000000000001E-2</v>
      </c>
      <c r="P299" s="8">
        <f t="shared" ca="1" si="129"/>
        <v>995.53752632162877</v>
      </c>
      <c r="Q299" s="8">
        <f t="shared" ca="1" si="130"/>
        <v>3354.5730913310535</v>
      </c>
      <c r="R299" s="8">
        <f t="shared" ca="1" si="131"/>
        <v>2257.5577857665039</v>
      </c>
      <c r="S299" s="5">
        <f t="shared" ca="1" si="132"/>
        <v>2.2604476894569126E-3</v>
      </c>
      <c r="T299">
        <f t="shared" ca="1" si="133"/>
        <v>5.2033458179316122E-2</v>
      </c>
      <c r="U299" s="5">
        <f t="shared" ca="1" si="134"/>
        <v>-2.3306063375431538E-2</v>
      </c>
    </row>
    <row r="300" spans="2:21" x14ac:dyDescent="0.25">
      <c r="B300">
        <f t="shared" si="117"/>
        <v>297</v>
      </c>
      <c r="C300">
        <f t="shared" si="139"/>
        <v>25</v>
      </c>
      <c r="D300">
        <f t="shared" si="140"/>
        <v>9</v>
      </c>
      <c r="E300" s="5">
        <f t="shared" ca="1" si="118"/>
        <v>9.4820000000000008E-3</v>
      </c>
      <c r="F300" s="5">
        <f t="shared" ca="1" si="119"/>
        <v>8.6829999999999997E-3</v>
      </c>
      <c r="G300" s="5">
        <f t="shared" ca="1" si="120"/>
        <v>1.1908999999999999E-2</v>
      </c>
      <c r="H300" s="5">
        <f t="shared" ca="1" si="121"/>
        <v>1.0722000000000001E-2</v>
      </c>
      <c r="I300" s="5">
        <f t="shared" ca="1" si="122"/>
        <v>1.1835E-2</v>
      </c>
      <c r="J300" s="5">
        <f t="shared" ca="1" si="123"/>
        <v>1.4872E-2</v>
      </c>
      <c r="K300" s="5">
        <f t="shared" ca="1" si="124"/>
        <v>1.7364000000000001E-2</v>
      </c>
      <c r="L300" s="5">
        <f t="shared" ca="1" si="125"/>
        <v>1.9539999999999998E-2</v>
      </c>
      <c r="M300" s="5">
        <f t="shared" ca="1" si="126"/>
        <v>2.1583000000000001E-2</v>
      </c>
      <c r="N300" s="5">
        <f t="shared" ca="1" si="127"/>
        <v>2.4886999999999999E-2</v>
      </c>
      <c r="O300" s="5">
        <f t="shared" ca="1" si="128"/>
        <v>2.9714999999999998E-2</v>
      </c>
      <c r="P300" s="8">
        <f t="shared" ca="1" si="129"/>
        <v>993.58307202051378</v>
      </c>
      <c r="Q300" s="8">
        <f t="shared" ca="1" si="130"/>
        <v>3371.0615323379052</v>
      </c>
      <c r="R300" s="8">
        <f t="shared" ca="1" si="131"/>
        <v>2253.4996203531482</v>
      </c>
      <c r="S300" s="5">
        <f t="shared" ca="1" si="132"/>
        <v>-2.330586040250953E-2</v>
      </c>
      <c r="T300">
        <f t="shared" ca="1" si="133"/>
        <v>6.0603485864108055E-2</v>
      </c>
      <c r="U300" s="5">
        <f t="shared" ca="1" si="134"/>
        <v>-2.1359095985067644E-2</v>
      </c>
    </row>
    <row r="301" spans="2:21" x14ac:dyDescent="0.25">
      <c r="B301">
        <f t="shared" si="117"/>
        <v>298</v>
      </c>
      <c r="C301">
        <f t="shared" si="139"/>
        <v>25</v>
      </c>
      <c r="D301">
        <f t="shared" si="140"/>
        <v>10</v>
      </c>
      <c r="E301" s="5">
        <f t="shared" ca="1" si="118"/>
        <v>9.5580000000000005E-3</v>
      </c>
      <c r="F301" s="5">
        <f t="shared" ca="1" si="119"/>
        <v>8.5959999999999995E-3</v>
      </c>
      <c r="G301" s="5">
        <f t="shared" ca="1" si="120"/>
        <v>1.1975E-2</v>
      </c>
      <c r="H301" s="5">
        <f t="shared" ca="1" si="121"/>
        <v>1.072E-2</v>
      </c>
      <c r="I301" s="5">
        <f t="shared" ca="1" si="122"/>
        <v>1.1828999999999999E-2</v>
      </c>
      <c r="J301" s="5">
        <f t="shared" ca="1" si="123"/>
        <v>1.4840000000000001E-2</v>
      </c>
      <c r="K301" s="5">
        <f t="shared" ca="1" si="124"/>
        <v>1.7399999999999999E-2</v>
      </c>
      <c r="L301" s="5">
        <f t="shared" ca="1" si="125"/>
        <v>1.9585999999999999E-2</v>
      </c>
      <c r="M301" s="5">
        <f t="shared" ca="1" si="126"/>
        <v>2.1493999999999999E-2</v>
      </c>
      <c r="N301" s="5">
        <f t="shared" ca="1" si="127"/>
        <v>2.4827999999999999E-2</v>
      </c>
      <c r="O301" s="5">
        <f t="shared" ca="1" si="128"/>
        <v>2.9798000000000002E-2</v>
      </c>
      <c r="P301" s="8">
        <f t="shared" ca="1" si="129"/>
        <v>997.32192275624868</v>
      </c>
      <c r="Q301" s="8">
        <f t="shared" ca="1" si="130"/>
        <v>3386.1697985681799</v>
      </c>
      <c r="R301" s="8">
        <f t="shared" ca="1" si="131"/>
        <v>2250.3910026426984</v>
      </c>
      <c r="S301" s="5">
        <f t="shared" ca="1" si="132"/>
        <v>4.6102363885339073E-2</v>
      </c>
      <c r="T301">
        <f t="shared" ca="1" si="133"/>
        <v>5.5126729114183308E-2</v>
      </c>
      <c r="U301" s="5">
        <f t="shared" ca="1" si="134"/>
        <v>-1.6428530531251179E-2</v>
      </c>
    </row>
    <row r="302" spans="2:21" x14ac:dyDescent="0.25">
      <c r="B302">
        <f t="shared" si="117"/>
        <v>299</v>
      </c>
      <c r="C302">
        <f t="shared" si="139"/>
        <v>25</v>
      </c>
      <c r="D302">
        <f t="shared" si="140"/>
        <v>11</v>
      </c>
      <c r="E302" s="5">
        <f t="shared" ca="1" si="118"/>
        <v>9.4830000000000001E-3</v>
      </c>
      <c r="F302" s="5">
        <f t="shared" ca="1" si="119"/>
        <v>8.5810000000000001E-3</v>
      </c>
      <c r="G302" s="5">
        <f t="shared" ca="1" si="120"/>
        <v>1.2054E-2</v>
      </c>
      <c r="H302" s="5">
        <f t="shared" ca="1" si="121"/>
        <v>1.0671E-2</v>
      </c>
      <c r="I302" s="5">
        <f t="shared" ca="1" si="122"/>
        <v>1.1900000000000001E-2</v>
      </c>
      <c r="J302" s="5">
        <f t="shared" ca="1" si="123"/>
        <v>1.4924E-2</v>
      </c>
      <c r="K302" s="5">
        <f t="shared" ca="1" si="124"/>
        <v>1.7371999999999999E-2</v>
      </c>
      <c r="L302" s="5">
        <f t="shared" ca="1" si="125"/>
        <v>1.9539999999999998E-2</v>
      </c>
      <c r="M302" s="5">
        <f t="shared" ca="1" si="126"/>
        <v>2.1512E-2</v>
      </c>
      <c r="N302" s="5">
        <f t="shared" ca="1" si="127"/>
        <v>2.4903999999999999E-2</v>
      </c>
      <c r="O302" s="5">
        <f t="shared" ca="1" si="128"/>
        <v>2.9760000000000002E-2</v>
      </c>
      <c r="P302" s="8">
        <f t="shared" ca="1" si="129"/>
        <v>997.46300543865073</v>
      </c>
      <c r="Q302" s="8">
        <f t="shared" ca="1" si="130"/>
        <v>3395.2867599259898</v>
      </c>
      <c r="R302" s="8">
        <f t="shared" ca="1" si="131"/>
        <v>2247.5460498138732</v>
      </c>
      <c r="S302" s="5">
        <f t="shared" ca="1" si="132"/>
        <v>1.6988597005769867E-3</v>
      </c>
      <c r="T302">
        <f t="shared" ca="1" si="133"/>
        <v>3.2791693041298767E-2</v>
      </c>
      <c r="U302" s="5">
        <f t="shared" ca="1" si="134"/>
        <v>-1.5065406749758904E-2</v>
      </c>
    </row>
    <row r="303" spans="2:21" x14ac:dyDescent="0.25">
      <c r="B303">
        <f t="shared" si="117"/>
        <v>300</v>
      </c>
      <c r="C303">
        <f t="shared" si="139"/>
        <v>25</v>
      </c>
      <c r="D303">
        <f t="shared" si="140"/>
        <v>12</v>
      </c>
      <c r="E303" s="5">
        <f t="shared" ca="1" si="118"/>
        <v>9.4719999999999995E-3</v>
      </c>
      <c r="F303" s="5">
        <f t="shared" ca="1" si="119"/>
        <v>8.6490000000000004E-3</v>
      </c>
      <c r="G303" s="5">
        <f t="shared" ca="1" si="120"/>
        <v>1.2007E-2</v>
      </c>
      <c r="H303" s="5">
        <f t="shared" ca="1" si="121"/>
        <v>1.0579E-2</v>
      </c>
      <c r="I303" s="5">
        <f t="shared" ca="1" si="122"/>
        <v>1.1965999999999999E-2</v>
      </c>
      <c r="J303" s="5">
        <f t="shared" ca="1" si="123"/>
        <v>1.4933E-2</v>
      </c>
      <c r="K303" s="5">
        <f t="shared" ca="1" si="124"/>
        <v>1.7406000000000001E-2</v>
      </c>
      <c r="L303" s="5">
        <f t="shared" ca="1" si="125"/>
        <v>1.9545E-2</v>
      </c>
      <c r="M303" s="5">
        <f t="shared" ca="1" si="126"/>
        <v>2.1444000000000001E-2</v>
      </c>
      <c r="N303" s="5">
        <f t="shared" ca="1" si="127"/>
        <v>2.4941000000000001E-2</v>
      </c>
      <c r="O303" s="5">
        <f t="shared" ca="1" si="128"/>
        <v>2.9848E-2</v>
      </c>
      <c r="P303" s="8">
        <f t="shared" ca="1" si="129"/>
        <v>998.92314309880567</v>
      </c>
      <c r="Q303" s="8">
        <f t="shared" ca="1" si="130"/>
        <v>3409.7777600490385</v>
      </c>
      <c r="R303" s="8">
        <f t="shared" ca="1" si="131"/>
        <v>2244.6705561813587</v>
      </c>
      <c r="S303" s="5">
        <f t="shared" ca="1" si="132"/>
        <v>1.7708338529787305E-2</v>
      </c>
      <c r="T303">
        <f t="shared" ca="1" si="133"/>
        <v>5.2435203427092111E-2</v>
      </c>
      <c r="U303" s="5">
        <f t="shared" ca="1" si="134"/>
        <v>-1.5245137996344374E-2</v>
      </c>
    </row>
    <row r="304" spans="2:21" x14ac:dyDescent="0.25">
      <c r="B304">
        <f t="shared" si="117"/>
        <v>301</v>
      </c>
      <c r="C304">
        <f>C303+1</f>
        <v>26</v>
      </c>
      <c r="D304">
        <v>1</v>
      </c>
      <c r="E304" s="5">
        <f t="shared" ca="1" si="118"/>
        <v>9.4479999999999998E-3</v>
      </c>
      <c r="F304" s="5">
        <f t="shared" ca="1" si="119"/>
        <v>8.6090000000000003E-3</v>
      </c>
      <c r="G304" s="5">
        <f t="shared" ca="1" si="120"/>
        <v>1.2043E-2</v>
      </c>
      <c r="H304" s="5">
        <f t="shared" ca="1" si="121"/>
        <v>1.0499E-2</v>
      </c>
      <c r="I304" s="5">
        <f t="shared" ca="1" si="122"/>
        <v>1.1979E-2</v>
      </c>
      <c r="J304" s="5">
        <f t="shared" ca="1" si="123"/>
        <v>1.4995E-2</v>
      </c>
      <c r="K304" s="5">
        <f t="shared" ca="1" si="124"/>
        <v>1.737E-2</v>
      </c>
      <c r="L304" s="5">
        <f t="shared" ca="1" si="125"/>
        <v>1.9524E-2</v>
      </c>
      <c r="M304" s="5">
        <f t="shared" ca="1" si="126"/>
        <v>2.1437000000000001E-2</v>
      </c>
      <c r="N304" s="5">
        <f t="shared" ca="1" si="127"/>
        <v>2.496E-2</v>
      </c>
      <c r="O304" s="5">
        <f t="shared" ca="1" si="128"/>
        <v>2.9933000000000001E-2</v>
      </c>
      <c r="P304" s="8">
        <f t="shared" ca="1" si="129"/>
        <v>998.33644220700489</v>
      </c>
      <c r="Q304" s="8">
        <f t="shared" ca="1" si="130"/>
        <v>3421.920332310553</v>
      </c>
      <c r="R304" s="8">
        <f t="shared" ca="1" si="131"/>
        <v>2241.338759288245</v>
      </c>
      <c r="S304" s="5">
        <f t="shared" ca="1" si="132"/>
        <v>-7.0252775122665017E-3</v>
      </c>
      <c r="T304">
        <f t="shared" ca="1" si="133"/>
        <v>4.3580236224855302E-2</v>
      </c>
      <c r="U304" s="5">
        <f t="shared" ca="1" si="134"/>
        <v>-1.7667079695856569E-2</v>
      </c>
    </row>
    <row r="305" spans="2:21" x14ac:dyDescent="0.25">
      <c r="B305">
        <f t="shared" si="117"/>
        <v>302</v>
      </c>
      <c r="C305">
        <f>C304</f>
        <v>26</v>
      </c>
      <c r="D305">
        <v>2</v>
      </c>
      <c r="E305" s="5">
        <f t="shared" ca="1" si="118"/>
        <v>9.3980000000000001E-3</v>
      </c>
      <c r="F305" s="5">
        <f t="shared" ca="1" si="119"/>
        <v>8.5459999999999998E-3</v>
      </c>
      <c r="G305" s="5">
        <f t="shared" ca="1" si="120"/>
        <v>1.2068000000000001E-2</v>
      </c>
      <c r="H305" s="5">
        <f t="shared" ca="1" si="121"/>
        <v>1.0496E-2</v>
      </c>
      <c r="I305" s="5">
        <f t="shared" ca="1" si="122"/>
        <v>1.2024E-2</v>
      </c>
      <c r="J305" s="5">
        <f t="shared" ca="1" si="123"/>
        <v>1.5018999999999999E-2</v>
      </c>
      <c r="K305" s="5">
        <f t="shared" ca="1" si="124"/>
        <v>1.7426000000000001E-2</v>
      </c>
      <c r="L305" s="5">
        <f t="shared" ca="1" si="125"/>
        <v>1.9460999999999999E-2</v>
      </c>
      <c r="M305" s="5">
        <f t="shared" ca="1" si="126"/>
        <v>2.1408E-2</v>
      </c>
      <c r="N305" s="5">
        <f t="shared" ca="1" si="127"/>
        <v>2.4893999999999999E-2</v>
      </c>
      <c r="O305" s="5">
        <f t="shared" ca="1" si="128"/>
        <v>2.9947999999999999E-2</v>
      </c>
      <c r="P305" s="8">
        <f t="shared" ca="1" si="129"/>
        <v>999.18439192264782</v>
      </c>
      <c r="Q305" s="8">
        <f t="shared" ca="1" si="130"/>
        <v>3436.6937151348566</v>
      </c>
      <c r="R305" s="8">
        <f t="shared" ca="1" si="131"/>
        <v>2237.395141810714</v>
      </c>
      <c r="S305" s="5">
        <f t="shared" ca="1" si="132"/>
        <v>1.0240100735814274E-2</v>
      </c>
      <c r="T305">
        <f t="shared" ca="1" si="133"/>
        <v>5.3055384448582987E-2</v>
      </c>
      <c r="U305" s="5">
        <f t="shared" ca="1" si="134"/>
        <v>-2.0910773294721349E-2</v>
      </c>
    </row>
    <row r="306" spans="2:21" x14ac:dyDescent="0.25">
      <c r="B306">
        <f t="shared" si="117"/>
        <v>303</v>
      </c>
      <c r="C306">
        <f t="shared" ref="C306:C315" si="141">C305</f>
        <v>26</v>
      </c>
      <c r="D306">
        <v>3</v>
      </c>
      <c r="E306" s="5">
        <f t="shared" ca="1" si="118"/>
        <v>9.391E-3</v>
      </c>
      <c r="F306" s="5">
        <f t="shared" ca="1" si="119"/>
        <v>8.4530000000000004E-3</v>
      </c>
      <c r="G306" s="5">
        <f t="shared" ca="1" si="120"/>
        <v>1.2024999999999999E-2</v>
      </c>
      <c r="H306" s="5">
        <f t="shared" ca="1" si="121"/>
        <v>1.0496999999999999E-2</v>
      </c>
      <c r="I306" s="5">
        <f t="shared" ca="1" si="122"/>
        <v>1.2120000000000001E-2</v>
      </c>
      <c r="J306" s="5">
        <f t="shared" ca="1" si="123"/>
        <v>1.4969E-2</v>
      </c>
      <c r="K306" s="5">
        <f t="shared" ca="1" si="124"/>
        <v>1.7405E-2</v>
      </c>
      <c r="L306" s="5">
        <f t="shared" ca="1" si="125"/>
        <v>1.9526000000000002E-2</v>
      </c>
      <c r="M306" s="5">
        <f t="shared" ca="1" si="126"/>
        <v>2.1321E-2</v>
      </c>
      <c r="N306" s="5">
        <f t="shared" ca="1" si="127"/>
        <v>2.4874E-2</v>
      </c>
      <c r="O306" s="5">
        <f t="shared" ca="1" si="128"/>
        <v>3.0006000000000001E-2</v>
      </c>
      <c r="P306" s="8">
        <f t="shared" ca="1" si="129"/>
        <v>1002.0277550890621</v>
      </c>
      <c r="Q306" s="8">
        <f t="shared" ca="1" si="130"/>
        <v>3455.7682079855103</v>
      </c>
      <c r="R306" s="8">
        <f t="shared" ca="1" si="131"/>
        <v>2232.8629625053713</v>
      </c>
      <c r="S306" s="5">
        <f t="shared" ca="1" si="132"/>
        <v>3.4687774465673074E-2</v>
      </c>
      <c r="T306">
        <f t="shared" ca="1" si="133"/>
        <v>6.867417601136816E-2</v>
      </c>
      <c r="U306" s="5">
        <f t="shared" ca="1" si="134"/>
        <v>-2.4038804399611584E-2</v>
      </c>
    </row>
    <row r="307" spans="2:21" x14ac:dyDescent="0.25">
      <c r="B307">
        <f t="shared" si="117"/>
        <v>304</v>
      </c>
      <c r="C307">
        <f t="shared" si="141"/>
        <v>26</v>
      </c>
      <c r="D307">
        <f>D306+1</f>
        <v>4</v>
      </c>
      <c r="E307" s="5">
        <f t="shared" ca="1" si="118"/>
        <v>9.3880000000000005E-3</v>
      </c>
      <c r="F307" s="5">
        <f t="shared" ca="1" si="119"/>
        <v>8.515E-3</v>
      </c>
      <c r="G307" s="5">
        <f t="shared" ca="1" si="120"/>
        <v>1.2026E-2</v>
      </c>
      <c r="H307" s="5">
        <f t="shared" ca="1" si="121"/>
        <v>1.0472E-2</v>
      </c>
      <c r="I307" s="5">
        <f t="shared" ca="1" si="122"/>
        <v>1.2076E-2</v>
      </c>
      <c r="J307" s="5">
        <f t="shared" ca="1" si="123"/>
        <v>1.5032E-2</v>
      </c>
      <c r="K307" s="5">
        <f t="shared" ca="1" si="124"/>
        <v>1.7500000000000002E-2</v>
      </c>
      <c r="L307" s="5">
        <f t="shared" ca="1" si="125"/>
        <v>1.9583E-2</v>
      </c>
      <c r="M307" s="5">
        <f t="shared" ca="1" si="126"/>
        <v>2.1243000000000001E-2</v>
      </c>
      <c r="N307" s="5">
        <f t="shared" ca="1" si="127"/>
        <v>2.4812000000000001E-2</v>
      </c>
      <c r="O307" s="5">
        <f t="shared" ca="1" si="128"/>
        <v>2.9929999999999998E-2</v>
      </c>
      <c r="P307" s="8">
        <f t="shared" ca="1" si="129"/>
        <v>999.25718436839145</v>
      </c>
      <c r="Q307" s="8">
        <f t="shared" ca="1" si="130"/>
        <v>3475.5031844681371</v>
      </c>
      <c r="R307" s="8">
        <f t="shared" ca="1" si="131"/>
        <v>2228.1393171301675</v>
      </c>
      <c r="S307" s="5">
        <f t="shared" ca="1" si="132"/>
        <v>-3.2679618485193983E-2</v>
      </c>
      <c r="T307">
        <f t="shared" ca="1" si="133"/>
        <v>7.0722749114618108E-2</v>
      </c>
      <c r="U307" s="5">
        <f t="shared" ca="1" si="134"/>
        <v>-2.5092825377843041E-2</v>
      </c>
    </row>
    <row r="308" spans="2:21" x14ac:dyDescent="0.25">
      <c r="B308">
        <f t="shared" si="117"/>
        <v>305</v>
      </c>
      <c r="C308">
        <f t="shared" si="141"/>
        <v>26</v>
      </c>
      <c r="D308">
        <f t="shared" ref="D308:D315" si="142">D307+1</f>
        <v>5</v>
      </c>
      <c r="E308" s="5">
        <f t="shared" ca="1" si="118"/>
        <v>9.3279999999999995E-3</v>
      </c>
      <c r="F308" s="5">
        <f t="shared" ca="1" si="119"/>
        <v>8.4399999999999996E-3</v>
      </c>
      <c r="G308" s="5">
        <f t="shared" ca="1" si="120"/>
        <v>1.2073E-2</v>
      </c>
      <c r="H308" s="5">
        <f t="shared" ca="1" si="121"/>
        <v>1.0418999999999999E-2</v>
      </c>
      <c r="I308" s="5">
        <f t="shared" ca="1" si="122"/>
        <v>1.2030000000000001E-2</v>
      </c>
      <c r="J308" s="5">
        <f t="shared" ca="1" si="123"/>
        <v>1.5056E-2</v>
      </c>
      <c r="K308" s="5">
        <f t="shared" ca="1" si="124"/>
        <v>1.7586999999999998E-2</v>
      </c>
      <c r="L308" s="5">
        <f t="shared" ca="1" si="125"/>
        <v>1.9571000000000002E-2</v>
      </c>
      <c r="M308" s="5">
        <f t="shared" ca="1" si="126"/>
        <v>2.1248E-2</v>
      </c>
      <c r="N308" s="5">
        <f t="shared" ca="1" si="127"/>
        <v>2.4895E-2</v>
      </c>
      <c r="O308" s="5">
        <f t="shared" ca="1" si="128"/>
        <v>3.0005E-2</v>
      </c>
      <c r="P308" s="8">
        <f t="shared" ca="1" si="129"/>
        <v>1000.9509129080574</v>
      </c>
      <c r="Q308" s="8">
        <f t="shared" ca="1" si="130"/>
        <v>3494.2767318064639</v>
      </c>
      <c r="R308" s="8">
        <f t="shared" ca="1" si="131"/>
        <v>2223.57041936937</v>
      </c>
      <c r="S308" s="5">
        <f t="shared" ca="1" si="132"/>
        <v>2.0530543536091028E-2</v>
      </c>
      <c r="T308">
        <f t="shared" ca="1" si="133"/>
        <v>6.6780985319342581E-2</v>
      </c>
      <c r="U308" s="5">
        <f t="shared" ca="1" si="134"/>
        <v>-2.4330904166494492E-2</v>
      </c>
    </row>
    <row r="309" spans="2:21" x14ac:dyDescent="0.25">
      <c r="B309">
        <f t="shared" si="117"/>
        <v>306</v>
      </c>
      <c r="C309">
        <f t="shared" si="141"/>
        <v>26</v>
      </c>
      <c r="D309">
        <f t="shared" si="142"/>
        <v>6</v>
      </c>
      <c r="E309" s="5">
        <f t="shared" ca="1" si="118"/>
        <v>9.2700000000000005E-3</v>
      </c>
      <c r="F309" s="5">
        <f t="shared" ca="1" si="119"/>
        <v>8.3459999999999993E-3</v>
      </c>
      <c r="G309" s="5">
        <f t="shared" ca="1" si="120"/>
        <v>1.2081E-2</v>
      </c>
      <c r="H309" s="5">
        <f t="shared" ca="1" si="121"/>
        <v>1.0397999999999999E-2</v>
      </c>
      <c r="I309" s="5">
        <f t="shared" ca="1" si="122"/>
        <v>1.2004000000000001E-2</v>
      </c>
      <c r="J309" s="5">
        <f t="shared" ca="1" si="123"/>
        <v>1.5108E-2</v>
      </c>
      <c r="K309" s="5">
        <f t="shared" ca="1" si="124"/>
        <v>1.753E-2</v>
      </c>
      <c r="L309" s="5">
        <f t="shared" ca="1" si="125"/>
        <v>1.9498000000000001E-2</v>
      </c>
      <c r="M309" s="5">
        <f t="shared" ca="1" si="126"/>
        <v>2.1292999999999999E-2</v>
      </c>
      <c r="N309" s="5">
        <f t="shared" ca="1" si="127"/>
        <v>2.4882999999999999E-2</v>
      </c>
      <c r="O309" s="5">
        <f t="shared" ca="1" si="128"/>
        <v>2.9992999999999999E-2</v>
      </c>
      <c r="P309" s="8">
        <f t="shared" ca="1" si="129"/>
        <v>997.1265017538401</v>
      </c>
      <c r="Q309" s="8">
        <f t="shared" ca="1" si="130"/>
        <v>3505.8020352924059</v>
      </c>
      <c r="R309" s="8">
        <f t="shared" ca="1" si="131"/>
        <v>2218.1473641612711</v>
      </c>
      <c r="S309" s="5">
        <f t="shared" ca="1" si="132"/>
        <v>-4.4898010522520966E-2</v>
      </c>
      <c r="T309">
        <f t="shared" ca="1" si="133"/>
        <v>4.0306017330736264E-2</v>
      </c>
      <c r="U309" s="5">
        <f t="shared" ca="1" si="134"/>
        <v>-2.8877334584640382E-2</v>
      </c>
    </row>
    <row r="310" spans="2:21" x14ac:dyDescent="0.25">
      <c r="B310">
        <f t="shared" si="117"/>
        <v>307</v>
      </c>
      <c r="C310">
        <f t="shared" si="141"/>
        <v>26</v>
      </c>
      <c r="D310">
        <f t="shared" si="142"/>
        <v>7</v>
      </c>
      <c r="E310" s="5">
        <f t="shared" ca="1" si="118"/>
        <v>9.2280000000000001E-3</v>
      </c>
      <c r="F310" s="5">
        <f t="shared" ca="1" si="119"/>
        <v>8.4320000000000003E-3</v>
      </c>
      <c r="G310" s="5">
        <f t="shared" ca="1" si="120"/>
        <v>1.2071999999999999E-2</v>
      </c>
      <c r="H310" s="5">
        <f t="shared" ca="1" si="121"/>
        <v>1.0364999999999999E-2</v>
      </c>
      <c r="I310" s="5">
        <f t="shared" ca="1" si="122"/>
        <v>1.2071999999999999E-2</v>
      </c>
      <c r="J310" s="5">
        <f t="shared" ca="1" si="123"/>
        <v>1.5027E-2</v>
      </c>
      <c r="K310" s="5">
        <f t="shared" ca="1" si="124"/>
        <v>1.7436E-2</v>
      </c>
      <c r="L310" s="5">
        <f t="shared" ca="1" si="125"/>
        <v>1.9595000000000001E-2</v>
      </c>
      <c r="M310" s="5">
        <f t="shared" ca="1" si="126"/>
        <v>2.1375000000000002E-2</v>
      </c>
      <c r="N310" s="5">
        <f t="shared" ca="1" si="127"/>
        <v>2.4888E-2</v>
      </c>
      <c r="O310" s="5">
        <f t="shared" ca="1" si="128"/>
        <v>3.0086999999999999E-2</v>
      </c>
      <c r="P310" s="8">
        <f t="shared" ca="1" si="129"/>
        <v>998.76124250892428</v>
      </c>
      <c r="Q310" s="8">
        <f t="shared" ca="1" si="130"/>
        <v>3517.0860122179902</v>
      </c>
      <c r="R310" s="8">
        <f t="shared" ca="1" si="131"/>
        <v>2212.6983887227893</v>
      </c>
      <c r="S310" s="5">
        <f t="shared" ca="1" si="132"/>
        <v>1.9851788548221849E-2</v>
      </c>
      <c r="T310">
        <f t="shared" ca="1" si="133"/>
        <v>3.9315026325569533E-2</v>
      </c>
      <c r="U310" s="5">
        <f t="shared" ca="1" si="134"/>
        <v>-2.9083481122009758E-2</v>
      </c>
    </row>
    <row r="311" spans="2:21" x14ac:dyDescent="0.25">
      <c r="B311">
        <f t="shared" si="117"/>
        <v>308</v>
      </c>
      <c r="C311">
        <f t="shared" si="141"/>
        <v>26</v>
      </c>
      <c r="D311">
        <f t="shared" si="142"/>
        <v>8</v>
      </c>
      <c r="E311" s="5">
        <f t="shared" ca="1" si="118"/>
        <v>9.2420000000000002E-3</v>
      </c>
      <c r="F311" s="5">
        <f t="shared" ca="1" si="119"/>
        <v>8.3770000000000008E-3</v>
      </c>
      <c r="G311" s="5">
        <f t="shared" ca="1" si="120"/>
        <v>1.2107E-2</v>
      </c>
      <c r="H311" s="5">
        <f t="shared" ca="1" si="121"/>
        <v>1.0318000000000001E-2</v>
      </c>
      <c r="I311" s="5">
        <f t="shared" ca="1" si="122"/>
        <v>1.2068000000000001E-2</v>
      </c>
      <c r="J311" s="5">
        <f t="shared" ca="1" si="123"/>
        <v>1.5016E-2</v>
      </c>
      <c r="K311" s="5">
        <f t="shared" ca="1" si="124"/>
        <v>1.7340999999999999E-2</v>
      </c>
      <c r="L311" s="5">
        <f t="shared" ca="1" si="125"/>
        <v>1.967E-2</v>
      </c>
      <c r="M311" s="5">
        <f t="shared" ca="1" si="126"/>
        <v>2.1425E-2</v>
      </c>
      <c r="N311" s="5">
        <f t="shared" ca="1" si="127"/>
        <v>2.4825E-2</v>
      </c>
      <c r="O311" s="5">
        <f t="shared" ca="1" si="128"/>
        <v>3.0116E-2</v>
      </c>
      <c r="P311" s="8">
        <f t="shared" ca="1" si="129"/>
        <v>1001.1684105768292</v>
      </c>
      <c r="Q311" s="8">
        <f t="shared" ca="1" si="130"/>
        <v>3529.932232802515</v>
      </c>
      <c r="R311" s="8">
        <f t="shared" ca="1" si="131"/>
        <v>2208.1421579185007</v>
      </c>
      <c r="S311" s="5">
        <f t="shared" ca="1" si="132"/>
        <v>2.9308324261713158E-2</v>
      </c>
      <c r="T311">
        <f t="shared" ca="1" si="133"/>
        <v>4.4721525523377874E-2</v>
      </c>
      <c r="U311" s="5">
        <f t="shared" ca="1" si="134"/>
        <v>-2.4431615816813145E-2</v>
      </c>
    </row>
    <row r="312" spans="2:21" x14ac:dyDescent="0.25">
      <c r="B312">
        <f t="shared" si="117"/>
        <v>309</v>
      </c>
      <c r="C312">
        <f t="shared" si="141"/>
        <v>26</v>
      </c>
      <c r="D312">
        <f t="shared" si="142"/>
        <v>9</v>
      </c>
      <c r="E312" s="5">
        <f t="shared" ca="1" si="118"/>
        <v>9.2099999999999994E-3</v>
      </c>
      <c r="F312" s="5">
        <f t="shared" ca="1" si="119"/>
        <v>8.4180000000000001E-3</v>
      </c>
      <c r="G312" s="5">
        <f t="shared" ca="1" si="120"/>
        <v>1.214E-2</v>
      </c>
      <c r="H312" s="5">
        <f t="shared" ca="1" si="121"/>
        <v>1.0325000000000001E-2</v>
      </c>
      <c r="I312" s="5">
        <f t="shared" ca="1" si="122"/>
        <v>1.208E-2</v>
      </c>
      <c r="J312" s="5">
        <f t="shared" ca="1" si="123"/>
        <v>1.5094E-2</v>
      </c>
      <c r="K312" s="5">
        <f t="shared" ca="1" si="124"/>
        <v>1.7434000000000002E-2</v>
      </c>
      <c r="L312" s="5">
        <f t="shared" ca="1" si="125"/>
        <v>1.9730000000000001E-2</v>
      </c>
      <c r="M312" s="5">
        <f t="shared" ca="1" si="126"/>
        <v>2.1382999999999999E-2</v>
      </c>
      <c r="N312" s="5">
        <f t="shared" ca="1" si="127"/>
        <v>2.4901E-2</v>
      </c>
      <c r="O312" s="5">
        <f t="shared" ca="1" si="128"/>
        <v>3.0071000000000001E-2</v>
      </c>
      <c r="P312" s="8">
        <f t="shared" ca="1" si="129"/>
        <v>1003.2962988530587</v>
      </c>
      <c r="Q312" s="8">
        <f t="shared" ca="1" si="130"/>
        <v>3546.7192912299761</v>
      </c>
      <c r="R312" s="8">
        <f t="shared" ca="1" si="131"/>
        <v>2204.1601708241164</v>
      </c>
      <c r="S312" s="5">
        <f t="shared" ca="1" si="132"/>
        <v>2.5805126408754778E-2</v>
      </c>
      <c r="T312">
        <f t="shared" ca="1" si="133"/>
        <v>5.8584158339960328E-2</v>
      </c>
      <c r="U312" s="5">
        <f t="shared" ca="1" si="134"/>
        <v>-2.1426496322629045E-2</v>
      </c>
    </row>
    <row r="313" spans="2:21" x14ac:dyDescent="0.25">
      <c r="B313">
        <f t="shared" si="117"/>
        <v>310</v>
      </c>
      <c r="C313">
        <f t="shared" si="141"/>
        <v>26</v>
      </c>
      <c r="D313">
        <f t="shared" si="142"/>
        <v>10</v>
      </c>
      <c r="E313" s="5">
        <f t="shared" ca="1" si="118"/>
        <v>9.1990000000000006E-3</v>
      </c>
      <c r="F313" s="5">
        <f t="shared" ca="1" si="119"/>
        <v>8.4180000000000001E-3</v>
      </c>
      <c r="G313" s="5">
        <f t="shared" ca="1" si="120"/>
        <v>1.2115000000000001E-2</v>
      </c>
      <c r="H313" s="5">
        <f t="shared" ca="1" si="121"/>
        <v>1.0293E-2</v>
      </c>
      <c r="I313" s="5">
        <f t="shared" ca="1" si="122"/>
        <v>1.2052E-2</v>
      </c>
      <c r="J313" s="5">
        <f t="shared" ca="1" si="123"/>
        <v>1.5107000000000001E-2</v>
      </c>
      <c r="K313" s="5">
        <f t="shared" ca="1" si="124"/>
        <v>1.7405E-2</v>
      </c>
      <c r="L313" s="5">
        <f t="shared" ca="1" si="125"/>
        <v>1.9741000000000002E-2</v>
      </c>
      <c r="M313" s="5">
        <f t="shared" ca="1" si="126"/>
        <v>2.1453E-2</v>
      </c>
      <c r="N313" s="5">
        <f t="shared" ca="1" si="127"/>
        <v>2.4958000000000001E-2</v>
      </c>
      <c r="O313" s="5">
        <f t="shared" ca="1" si="128"/>
        <v>3.0072000000000002E-2</v>
      </c>
      <c r="P313" s="8">
        <f t="shared" ca="1" si="129"/>
        <v>1001.1135680741272</v>
      </c>
      <c r="Q313" s="8">
        <f t="shared" ca="1" si="130"/>
        <v>3559.9862890683544</v>
      </c>
      <c r="R313" s="8">
        <f t="shared" ca="1" si="131"/>
        <v>2200.8455684823998</v>
      </c>
      <c r="S313" s="5">
        <f t="shared" ca="1" si="132"/>
        <v>-2.5796586218580924E-2</v>
      </c>
      <c r="T313">
        <f t="shared" ca="1" si="133"/>
        <v>4.5822782191041092E-2</v>
      </c>
      <c r="U313" s="5">
        <f t="shared" ca="1" si="134"/>
        <v>-1.7897018793177379E-2</v>
      </c>
    </row>
    <row r="314" spans="2:21" x14ac:dyDescent="0.25">
      <c r="B314">
        <f t="shared" si="117"/>
        <v>311</v>
      </c>
      <c r="C314">
        <f t="shared" si="141"/>
        <v>26</v>
      </c>
      <c r="D314">
        <f t="shared" si="142"/>
        <v>11</v>
      </c>
      <c r="E314" s="5">
        <f t="shared" ca="1" si="118"/>
        <v>9.2639999999999997E-3</v>
      </c>
      <c r="F314" s="5">
        <f t="shared" ca="1" si="119"/>
        <v>8.4869999999999998E-3</v>
      </c>
      <c r="G314" s="5">
        <f t="shared" ca="1" si="120"/>
        <v>1.2095E-2</v>
      </c>
      <c r="H314" s="5">
        <f t="shared" ca="1" si="121"/>
        <v>1.0337000000000001E-2</v>
      </c>
      <c r="I314" s="5">
        <f t="shared" ca="1" si="122"/>
        <v>1.2011000000000001E-2</v>
      </c>
      <c r="J314" s="5">
        <f t="shared" ca="1" si="123"/>
        <v>1.5140000000000001E-2</v>
      </c>
      <c r="K314" s="5">
        <f t="shared" ca="1" si="124"/>
        <v>1.7500000000000002E-2</v>
      </c>
      <c r="L314" s="5">
        <f t="shared" ca="1" si="125"/>
        <v>1.9717999999999999E-2</v>
      </c>
      <c r="M314" s="5">
        <f t="shared" ca="1" si="126"/>
        <v>2.1457E-2</v>
      </c>
      <c r="N314" s="5">
        <f t="shared" ca="1" si="127"/>
        <v>2.4889000000000001E-2</v>
      </c>
      <c r="O314" s="5">
        <f t="shared" ca="1" si="128"/>
        <v>3.0124000000000001E-2</v>
      </c>
      <c r="P314" s="8">
        <f t="shared" ca="1" si="129"/>
        <v>997.29517303287901</v>
      </c>
      <c r="Q314" s="8">
        <f t="shared" ca="1" si="130"/>
        <v>3572.5869849952633</v>
      </c>
      <c r="R314" s="8">
        <f t="shared" ca="1" si="131"/>
        <v>2197.4092739070702</v>
      </c>
      <c r="S314" s="5">
        <f t="shared" ca="1" si="132"/>
        <v>-4.4821726079101662E-2</v>
      </c>
      <c r="T314">
        <f t="shared" ca="1" si="133"/>
        <v>4.3311121729674967E-2</v>
      </c>
      <c r="U314" s="5">
        <f t="shared" ca="1" si="134"/>
        <v>-1.8576162032809641E-2</v>
      </c>
    </row>
    <row r="315" spans="2:21" x14ac:dyDescent="0.25">
      <c r="B315">
        <f t="shared" si="117"/>
        <v>312</v>
      </c>
      <c r="C315">
        <f t="shared" si="141"/>
        <v>26</v>
      </c>
      <c r="D315">
        <f t="shared" si="142"/>
        <v>12</v>
      </c>
      <c r="E315" s="5">
        <f t="shared" ca="1" si="118"/>
        <v>9.2440000000000005E-3</v>
      </c>
      <c r="F315" s="5">
        <f t="shared" ca="1" si="119"/>
        <v>8.4759999999999992E-3</v>
      </c>
      <c r="G315" s="5">
        <f t="shared" ca="1" si="120"/>
        <v>1.2007E-2</v>
      </c>
      <c r="H315" s="5">
        <f t="shared" ca="1" si="121"/>
        <v>1.0239E-2</v>
      </c>
      <c r="I315" s="5">
        <f t="shared" ca="1" si="122"/>
        <v>1.2090999999999999E-2</v>
      </c>
      <c r="J315" s="5">
        <f t="shared" ca="1" si="123"/>
        <v>1.5143999999999999E-2</v>
      </c>
      <c r="K315" s="5">
        <f t="shared" ca="1" si="124"/>
        <v>1.7453E-2</v>
      </c>
      <c r="L315" s="5">
        <f t="shared" ca="1" si="125"/>
        <v>1.9699000000000001E-2</v>
      </c>
      <c r="M315" s="5">
        <f t="shared" ca="1" si="126"/>
        <v>2.1385999999999999E-2</v>
      </c>
      <c r="N315" s="5">
        <f t="shared" ca="1" si="127"/>
        <v>2.4934000000000001E-2</v>
      </c>
      <c r="O315" s="5">
        <f t="shared" ca="1" si="128"/>
        <v>3.0134999999999999E-2</v>
      </c>
      <c r="P315" s="8">
        <f t="shared" ca="1" si="129"/>
        <v>997.68044102416627</v>
      </c>
      <c r="Q315" s="8">
        <f t="shared" ca="1" si="130"/>
        <v>3583.9375695128897</v>
      </c>
      <c r="R315" s="8">
        <f t="shared" ca="1" si="131"/>
        <v>2193.2427516250409</v>
      </c>
      <c r="S315" s="5">
        <f t="shared" ca="1" si="132"/>
        <v>4.6456171900224122E-3</v>
      </c>
      <c r="T315">
        <f t="shared" ca="1" si="133"/>
        <v>3.8798919483657365E-2</v>
      </c>
      <c r="U315" s="5">
        <f t="shared" ca="1" si="134"/>
        <v>-2.2517488301495317E-2</v>
      </c>
    </row>
    <row r="316" spans="2:21" x14ac:dyDescent="0.25">
      <c r="B316">
        <f t="shared" si="117"/>
        <v>313</v>
      </c>
      <c r="C316">
        <f>C315+1</f>
        <v>27</v>
      </c>
      <c r="D316">
        <v>1</v>
      </c>
      <c r="E316" s="5">
        <f t="shared" ca="1" si="118"/>
        <v>9.1459999999999996E-3</v>
      </c>
      <c r="F316" s="5">
        <f t="shared" ca="1" si="119"/>
        <v>8.4840000000000002E-3</v>
      </c>
      <c r="G316" s="5">
        <f t="shared" ca="1" si="120"/>
        <v>1.191E-2</v>
      </c>
      <c r="H316" s="5">
        <f t="shared" ca="1" si="121"/>
        <v>1.0269E-2</v>
      </c>
      <c r="I316" s="5">
        <f t="shared" ca="1" si="122"/>
        <v>1.2061000000000001E-2</v>
      </c>
      <c r="J316" s="5">
        <f t="shared" ca="1" si="123"/>
        <v>1.5148E-2</v>
      </c>
      <c r="K316" s="5">
        <f t="shared" ca="1" si="124"/>
        <v>1.7489000000000001E-2</v>
      </c>
      <c r="L316" s="5">
        <f t="shared" ca="1" si="125"/>
        <v>1.9741999999999999E-2</v>
      </c>
      <c r="M316" s="5">
        <f t="shared" ca="1" si="126"/>
        <v>2.1454000000000001E-2</v>
      </c>
      <c r="N316" s="5">
        <f t="shared" ca="1" si="127"/>
        <v>2.4851999999999999E-2</v>
      </c>
      <c r="O316" s="5">
        <f t="shared" ca="1" si="128"/>
        <v>3.0203000000000001E-2</v>
      </c>
      <c r="P316" s="8">
        <f t="shared" ca="1" si="129"/>
        <v>995.93381131953925</v>
      </c>
      <c r="Q316" s="8">
        <f t="shared" ca="1" si="130"/>
        <v>3596.7838817559427</v>
      </c>
      <c r="R316" s="8">
        <f t="shared" ca="1" si="131"/>
        <v>2188.8035163054797</v>
      </c>
      <c r="S316" s="5">
        <f t="shared" ca="1" si="132"/>
        <v>-2.0807177691789774E-2</v>
      </c>
      <c r="T316">
        <f t="shared" ca="1" si="133"/>
        <v>4.3871138244995063E-2</v>
      </c>
      <c r="U316" s="5">
        <f t="shared" ca="1" si="134"/>
        <v>-2.4020041060234702E-2</v>
      </c>
    </row>
    <row r="317" spans="2:21" x14ac:dyDescent="0.25">
      <c r="B317">
        <f t="shared" si="117"/>
        <v>314</v>
      </c>
      <c r="C317">
        <f>C316</f>
        <v>27</v>
      </c>
      <c r="D317">
        <v>2</v>
      </c>
      <c r="E317" s="5">
        <f t="shared" ca="1" si="118"/>
        <v>9.0519999999999993E-3</v>
      </c>
      <c r="F317" s="5">
        <f t="shared" ca="1" si="119"/>
        <v>8.4089999999999998E-3</v>
      </c>
      <c r="G317" s="5">
        <f t="shared" ca="1" si="120"/>
        <v>1.1821999999999999E-2</v>
      </c>
      <c r="H317" s="5">
        <f t="shared" ca="1" si="121"/>
        <v>1.0331E-2</v>
      </c>
      <c r="I317" s="5">
        <f t="shared" ca="1" si="122"/>
        <v>1.2101000000000001E-2</v>
      </c>
      <c r="J317" s="5">
        <f t="shared" ca="1" si="123"/>
        <v>1.5084999999999999E-2</v>
      </c>
      <c r="K317" s="5">
        <f t="shared" ca="1" si="124"/>
        <v>1.7520999999999998E-2</v>
      </c>
      <c r="L317" s="5">
        <f t="shared" ca="1" si="125"/>
        <v>1.9646E-2</v>
      </c>
      <c r="M317" s="5">
        <f t="shared" ca="1" si="126"/>
        <v>2.1482000000000001E-2</v>
      </c>
      <c r="N317" s="5">
        <f t="shared" ca="1" si="127"/>
        <v>2.4757999999999999E-2</v>
      </c>
      <c r="O317" s="5">
        <f t="shared" ca="1" si="128"/>
        <v>3.0270999999999999E-2</v>
      </c>
      <c r="P317" s="8">
        <f t="shared" ca="1" si="129"/>
        <v>998.89490169382088</v>
      </c>
      <c r="Q317" s="8">
        <f t="shared" ca="1" si="130"/>
        <v>3610.3729879430616</v>
      </c>
      <c r="R317" s="8">
        <f t="shared" ca="1" si="131"/>
        <v>2184.4441756303581</v>
      </c>
      <c r="S317" s="5">
        <f t="shared" ca="1" si="132"/>
        <v>3.6267406298917379E-2</v>
      </c>
      <c r="T317">
        <f t="shared" ca="1" si="133"/>
        <v>4.6291589747720727E-2</v>
      </c>
      <c r="U317" s="5">
        <f t="shared" ca="1" si="134"/>
        <v>-2.3639784532247157E-2</v>
      </c>
    </row>
    <row r="318" spans="2:21" x14ac:dyDescent="0.25">
      <c r="B318">
        <f t="shared" si="117"/>
        <v>315</v>
      </c>
      <c r="C318">
        <f t="shared" ref="C318:C327" si="143">C317</f>
        <v>27</v>
      </c>
      <c r="D318">
        <v>3</v>
      </c>
      <c r="E318" s="5">
        <f t="shared" ca="1" si="118"/>
        <v>8.9929999999999993E-3</v>
      </c>
      <c r="F318" s="5">
        <f t="shared" ca="1" si="119"/>
        <v>8.4189999999999994E-3</v>
      </c>
      <c r="G318" s="5">
        <f t="shared" ca="1" si="120"/>
        <v>1.1861E-2</v>
      </c>
      <c r="H318" s="5">
        <f t="shared" ca="1" si="121"/>
        <v>1.0411999999999999E-2</v>
      </c>
      <c r="I318" s="5">
        <f t="shared" ca="1" si="122"/>
        <v>1.2016000000000001E-2</v>
      </c>
      <c r="J318" s="5">
        <f t="shared" ca="1" si="123"/>
        <v>1.5035E-2</v>
      </c>
      <c r="K318" s="5">
        <f t="shared" ca="1" si="124"/>
        <v>1.7552999999999999E-2</v>
      </c>
      <c r="L318" s="5">
        <f t="shared" ca="1" si="125"/>
        <v>1.9733000000000001E-2</v>
      </c>
      <c r="M318" s="5">
        <f t="shared" ca="1" si="126"/>
        <v>2.1543E-2</v>
      </c>
      <c r="N318" s="5">
        <f t="shared" ca="1" si="127"/>
        <v>2.4839E-2</v>
      </c>
      <c r="O318" s="5">
        <f t="shared" ca="1" si="128"/>
        <v>3.0234E-2</v>
      </c>
      <c r="P318" s="8">
        <f t="shared" ca="1" si="129"/>
        <v>1000.4918738149431</v>
      </c>
      <c r="Q318" s="8">
        <f t="shared" ca="1" si="130"/>
        <v>3630.3020211286198</v>
      </c>
      <c r="R318" s="8">
        <f t="shared" ca="1" si="131"/>
        <v>2179.8961565571403</v>
      </c>
      <c r="S318" s="5">
        <f t="shared" ca="1" si="132"/>
        <v>1.935446260749954E-2</v>
      </c>
      <c r="T318">
        <f t="shared" ca="1" si="133"/>
        <v>6.8287716291396586E-2</v>
      </c>
      <c r="U318" s="5">
        <f t="shared" ca="1" si="134"/>
        <v>-2.4699918244479729E-2</v>
      </c>
    </row>
    <row r="319" spans="2:21" x14ac:dyDescent="0.25">
      <c r="B319">
        <f t="shared" si="117"/>
        <v>316</v>
      </c>
      <c r="C319">
        <f t="shared" si="143"/>
        <v>27</v>
      </c>
      <c r="D319">
        <f>D318+1</f>
        <v>4</v>
      </c>
      <c r="E319" s="5">
        <f t="shared" ca="1" si="118"/>
        <v>8.9820000000000004E-3</v>
      </c>
      <c r="F319" s="5">
        <f t="shared" ca="1" si="119"/>
        <v>8.4250000000000002E-3</v>
      </c>
      <c r="G319" s="5">
        <f t="shared" ca="1" si="120"/>
        <v>1.1847E-2</v>
      </c>
      <c r="H319" s="5">
        <f t="shared" ca="1" si="121"/>
        <v>1.0364E-2</v>
      </c>
      <c r="I319" s="5">
        <f t="shared" ca="1" si="122"/>
        <v>1.2035000000000001E-2</v>
      </c>
      <c r="J319" s="5">
        <f t="shared" ca="1" si="123"/>
        <v>1.4976E-2</v>
      </c>
      <c r="K319" s="5">
        <f t="shared" ca="1" si="124"/>
        <v>1.7514999999999999E-2</v>
      </c>
      <c r="L319" s="5">
        <f t="shared" ca="1" si="125"/>
        <v>1.9661999999999999E-2</v>
      </c>
      <c r="M319" s="5">
        <f t="shared" ca="1" si="126"/>
        <v>2.1471000000000001E-2</v>
      </c>
      <c r="N319" s="5">
        <f t="shared" ca="1" si="127"/>
        <v>2.4792000000000002E-2</v>
      </c>
      <c r="O319" s="5">
        <f t="shared" ca="1" si="128"/>
        <v>3.0303E-2</v>
      </c>
      <c r="P319" s="8">
        <f t="shared" ca="1" si="129"/>
        <v>1000.3688402791843</v>
      </c>
      <c r="Q319" s="8">
        <f t="shared" ca="1" si="130"/>
        <v>3645.3748383242669</v>
      </c>
      <c r="R319" s="8">
        <f t="shared" ca="1" si="131"/>
        <v>2175.3240268417494</v>
      </c>
      <c r="S319" s="5">
        <f t="shared" ca="1" si="132"/>
        <v>-1.4746789149811216E-3</v>
      </c>
      <c r="T319">
        <f t="shared" ca="1" si="133"/>
        <v>5.097699499468044E-2</v>
      </c>
      <c r="U319" s="5">
        <f t="shared" ca="1" si="134"/>
        <v>-2.4880564055041843E-2</v>
      </c>
    </row>
    <row r="320" spans="2:21" x14ac:dyDescent="0.25">
      <c r="B320">
        <f t="shared" si="117"/>
        <v>317</v>
      </c>
      <c r="C320">
        <f t="shared" si="143"/>
        <v>27</v>
      </c>
      <c r="D320">
        <f t="shared" ref="D320:D327" si="144">D319+1</f>
        <v>5</v>
      </c>
      <c r="E320" s="5">
        <f t="shared" ca="1" si="118"/>
        <v>9.0580000000000001E-3</v>
      </c>
      <c r="F320" s="5">
        <f t="shared" ca="1" si="119"/>
        <v>8.4469999999999996E-3</v>
      </c>
      <c r="G320" s="5">
        <f t="shared" ca="1" si="120"/>
        <v>1.1807E-2</v>
      </c>
      <c r="H320" s="5">
        <f t="shared" ca="1" si="121"/>
        <v>1.0437999999999999E-2</v>
      </c>
      <c r="I320" s="5">
        <f t="shared" ca="1" si="122"/>
        <v>1.208E-2</v>
      </c>
      <c r="J320" s="5">
        <f t="shared" ca="1" si="123"/>
        <v>1.5025E-2</v>
      </c>
      <c r="K320" s="5">
        <f t="shared" ca="1" si="124"/>
        <v>1.7510000000000001E-2</v>
      </c>
      <c r="L320" s="5">
        <f t="shared" ca="1" si="125"/>
        <v>1.9692999999999999E-2</v>
      </c>
      <c r="M320" s="5">
        <f t="shared" ca="1" si="126"/>
        <v>2.1506999999999998E-2</v>
      </c>
      <c r="N320" s="5">
        <f t="shared" ca="1" si="127"/>
        <v>2.4871999999999998E-2</v>
      </c>
      <c r="O320" s="5">
        <f t="shared" ca="1" si="128"/>
        <v>3.0308999999999999E-2</v>
      </c>
      <c r="P320" s="8">
        <f t="shared" ca="1" si="129"/>
        <v>998.00601594778834</v>
      </c>
      <c r="Q320" s="8">
        <f t="shared" ca="1" si="130"/>
        <v>3665.0089870562083</v>
      </c>
      <c r="R320" s="8">
        <f t="shared" ca="1" si="131"/>
        <v>2170.5251942472619</v>
      </c>
      <c r="S320" s="5">
        <f t="shared" ca="1" si="132"/>
        <v>-2.7978119052784429E-2</v>
      </c>
      <c r="T320">
        <f t="shared" ca="1" si="133"/>
        <v>6.6581945480463645E-2</v>
      </c>
      <c r="U320" s="5">
        <f t="shared" ca="1" si="134"/>
        <v>-2.615353031114805E-2</v>
      </c>
    </row>
    <row r="321" spans="2:21" x14ac:dyDescent="0.25">
      <c r="B321">
        <f t="shared" si="117"/>
        <v>318</v>
      </c>
      <c r="C321">
        <f t="shared" si="143"/>
        <v>27</v>
      </c>
      <c r="D321">
        <f t="shared" si="144"/>
        <v>6</v>
      </c>
      <c r="E321" s="5">
        <f t="shared" ca="1" si="118"/>
        <v>9.0259999999999993E-3</v>
      </c>
      <c r="F321" s="5">
        <f t="shared" ca="1" si="119"/>
        <v>8.4939999999999998E-3</v>
      </c>
      <c r="G321" s="5">
        <f t="shared" ca="1" si="120"/>
        <v>1.1745999999999999E-2</v>
      </c>
      <c r="H321" s="5">
        <f t="shared" ca="1" si="121"/>
        <v>1.0485E-2</v>
      </c>
      <c r="I321" s="5">
        <f t="shared" ca="1" si="122"/>
        <v>1.1997000000000001E-2</v>
      </c>
      <c r="J321" s="5">
        <f t="shared" ca="1" si="123"/>
        <v>1.5076000000000001E-2</v>
      </c>
      <c r="K321" s="5">
        <f t="shared" ca="1" si="124"/>
        <v>1.7597000000000002E-2</v>
      </c>
      <c r="L321" s="5">
        <f t="shared" ca="1" si="125"/>
        <v>1.9644999999999999E-2</v>
      </c>
      <c r="M321" s="5">
        <f t="shared" ca="1" si="126"/>
        <v>2.1569999999999999E-2</v>
      </c>
      <c r="N321" s="5">
        <f t="shared" ca="1" si="127"/>
        <v>2.4944999999999998E-2</v>
      </c>
      <c r="O321" s="5">
        <f t="shared" ca="1" si="128"/>
        <v>3.0356999999999999E-2</v>
      </c>
      <c r="P321" s="8">
        <f t="shared" ca="1" si="129"/>
        <v>994.57422366295145</v>
      </c>
      <c r="Q321" s="8">
        <f t="shared" ca="1" si="130"/>
        <v>3676.8744172085458</v>
      </c>
      <c r="R321" s="8">
        <f t="shared" ca="1" si="131"/>
        <v>2165.5911565682572</v>
      </c>
      <c r="S321" s="5">
        <f t="shared" ca="1" si="132"/>
        <v>-4.0492258831101663E-2</v>
      </c>
      <c r="T321">
        <f t="shared" ca="1" si="133"/>
        <v>3.9549169215878477E-2</v>
      </c>
      <c r="U321" s="5">
        <f t="shared" ca="1" si="134"/>
        <v>-2.6939919124682125E-2</v>
      </c>
    </row>
    <row r="322" spans="2:21" x14ac:dyDescent="0.25">
      <c r="B322">
        <f t="shared" si="117"/>
        <v>319</v>
      </c>
      <c r="C322">
        <f t="shared" si="143"/>
        <v>27</v>
      </c>
      <c r="D322">
        <f t="shared" si="144"/>
        <v>7</v>
      </c>
      <c r="E322" s="5">
        <f t="shared" ca="1" si="118"/>
        <v>9.0480000000000005E-3</v>
      </c>
      <c r="F322" s="5">
        <f t="shared" ca="1" si="119"/>
        <v>8.4320000000000003E-3</v>
      </c>
      <c r="G322" s="5">
        <f t="shared" ca="1" si="120"/>
        <v>1.1754000000000001E-2</v>
      </c>
      <c r="H322" s="5">
        <f t="shared" ca="1" si="121"/>
        <v>1.056E-2</v>
      </c>
      <c r="I322" s="5">
        <f t="shared" ca="1" si="122"/>
        <v>1.2031E-2</v>
      </c>
      <c r="J322" s="5">
        <f t="shared" ca="1" si="123"/>
        <v>1.4997999999999999E-2</v>
      </c>
      <c r="K322" s="5">
        <f t="shared" ca="1" si="124"/>
        <v>1.7589E-2</v>
      </c>
      <c r="L322" s="5">
        <f t="shared" ca="1" si="125"/>
        <v>1.9592999999999999E-2</v>
      </c>
      <c r="M322" s="5">
        <f t="shared" ca="1" si="126"/>
        <v>2.1632999999999999E-2</v>
      </c>
      <c r="N322" s="5">
        <f t="shared" ca="1" si="127"/>
        <v>2.4872999999999999E-2</v>
      </c>
      <c r="O322" s="5">
        <f t="shared" ca="1" si="128"/>
        <v>3.0308000000000002E-2</v>
      </c>
      <c r="P322" s="8">
        <f t="shared" ca="1" si="129"/>
        <v>995.61064996347227</v>
      </c>
      <c r="Q322" s="8">
        <f t="shared" ca="1" si="130"/>
        <v>3690.1831189195905</v>
      </c>
      <c r="R322" s="8">
        <f t="shared" ca="1" si="131"/>
        <v>2160.0580293518578</v>
      </c>
      <c r="S322" s="5">
        <f t="shared" ca="1" si="132"/>
        <v>1.2576885773303534E-2</v>
      </c>
      <c r="T322">
        <f t="shared" ca="1" si="133"/>
        <v>4.4310034115894022E-2</v>
      </c>
      <c r="U322" s="5">
        <f t="shared" ca="1" si="134"/>
        <v>-3.0233024001010009E-2</v>
      </c>
    </row>
    <row r="323" spans="2:21" x14ac:dyDescent="0.25">
      <c r="B323">
        <f t="shared" si="117"/>
        <v>320</v>
      </c>
      <c r="C323">
        <f t="shared" si="143"/>
        <v>27</v>
      </c>
      <c r="D323">
        <f t="shared" si="144"/>
        <v>8</v>
      </c>
      <c r="E323" s="5">
        <f t="shared" ca="1" si="118"/>
        <v>8.9589999999999999E-3</v>
      </c>
      <c r="F323" s="5">
        <f t="shared" ca="1" si="119"/>
        <v>8.5310000000000004E-3</v>
      </c>
      <c r="G323" s="5">
        <f t="shared" ca="1" si="120"/>
        <v>1.1690000000000001E-2</v>
      </c>
      <c r="H323" s="5">
        <f t="shared" ca="1" si="121"/>
        <v>1.065E-2</v>
      </c>
      <c r="I323" s="5">
        <f t="shared" ca="1" si="122"/>
        <v>1.2043E-2</v>
      </c>
      <c r="J323" s="5">
        <f t="shared" ca="1" si="123"/>
        <v>1.4975E-2</v>
      </c>
      <c r="K323" s="5">
        <f t="shared" ca="1" si="124"/>
        <v>1.7533E-2</v>
      </c>
      <c r="L323" s="5">
        <f t="shared" ca="1" si="125"/>
        <v>1.9505000000000002E-2</v>
      </c>
      <c r="M323" s="5">
        <f t="shared" ca="1" si="126"/>
        <v>2.1545000000000002E-2</v>
      </c>
      <c r="N323" s="5">
        <f t="shared" ca="1" si="127"/>
        <v>2.4967E-2</v>
      </c>
      <c r="O323" s="5">
        <f t="shared" ca="1" si="128"/>
        <v>3.0248000000000001E-2</v>
      </c>
      <c r="P323" s="8">
        <f t="shared" ca="1" si="129"/>
        <v>995.27343435062494</v>
      </c>
      <c r="Q323" s="8">
        <f t="shared" ca="1" si="130"/>
        <v>3704.6425256935449</v>
      </c>
      <c r="R323" s="8">
        <f t="shared" ca="1" si="131"/>
        <v>2153.7336836712384</v>
      </c>
      <c r="S323" s="5">
        <f t="shared" ca="1" si="132"/>
        <v>-4.0568646209367849E-3</v>
      </c>
      <c r="T323">
        <f t="shared" ca="1" si="133"/>
        <v>4.8046805946036761E-2</v>
      </c>
      <c r="U323" s="5">
        <f t="shared" ca="1" si="134"/>
        <v>-3.4574019672386228E-2</v>
      </c>
    </row>
    <row r="324" spans="2:21" x14ac:dyDescent="0.25">
      <c r="B324">
        <f t="shared" si="117"/>
        <v>321</v>
      </c>
      <c r="C324">
        <f t="shared" si="143"/>
        <v>27</v>
      </c>
      <c r="D324">
        <f t="shared" si="144"/>
        <v>9</v>
      </c>
      <c r="E324" s="5">
        <f t="shared" ca="1" si="118"/>
        <v>8.8830000000000003E-3</v>
      </c>
      <c r="F324" s="5">
        <f t="shared" ca="1" si="119"/>
        <v>8.5220000000000001E-3</v>
      </c>
      <c r="G324" s="5">
        <f t="shared" ca="1" si="120"/>
        <v>1.1771E-2</v>
      </c>
      <c r="H324" s="5">
        <f t="shared" ca="1" si="121"/>
        <v>1.06E-2</v>
      </c>
      <c r="I324" s="5">
        <f t="shared" ca="1" si="122"/>
        <v>1.2062E-2</v>
      </c>
      <c r="J324" s="5">
        <f t="shared" ca="1" si="123"/>
        <v>1.4943E-2</v>
      </c>
      <c r="K324" s="5">
        <f t="shared" ca="1" si="124"/>
        <v>1.7475999999999998E-2</v>
      </c>
      <c r="L324" s="5">
        <f t="shared" ca="1" si="125"/>
        <v>1.9602000000000001E-2</v>
      </c>
      <c r="M324" s="5">
        <f t="shared" ca="1" si="126"/>
        <v>2.1503000000000001E-2</v>
      </c>
      <c r="N324" s="5">
        <f t="shared" ca="1" si="127"/>
        <v>2.4999E-2</v>
      </c>
      <c r="O324" s="5">
        <f t="shared" ca="1" si="128"/>
        <v>3.0284999999999999E-2</v>
      </c>
      <c r="P324" s="8">
        <f t="shared" ca="1" si="129"/>
        <v>992.49196954682589</v>
      </c>
      <c r="Q324" s="8">
        <f t="shared" ca="1" si="130"/>
        <v>3718.7313429990722</v>
      </c>
      <c r="R324" s="8">
        <f t="shared" ca="1" si="131"/>
        <v>2147.2343034154628</v>
      </c>
      <c r="S324" s="5">
        <f t="shared" ca="1" si="132"/>
        <v>-3.3025386653744306E-2</v>
      </c>
      <c r="T324">
        <f t="shared" ca="1" si="133"/>
        <v>4.6602958671204384E-2</v>
      </c>
      <c r="U324" s="5">
        <f t="shared" ca="1" si="134"/>
        <v>-3.5617688262131894E-2</v>
      </c>
    </row>
    <row r="325" spans="2:21" x14ac:dyDescent="0.25">
      <c r="B325">
        <f t="shared" ref="B325:B387" si="145">B324+1</f>
        <v>322</v>
      </c>
      <c r="C325">
        <f t="shared" si="143"/>
        <v>27</v>
      </c>
      <c r="D325">
        <f t="shared" si="144"/>
        <v>10</v>
      </c>
      <c r="E325" s="5">
        <f t="shared" ref="E325:E387" ca="1" si="146">ROUND(E324+(RAND()*2-1+0.01)/10^4,6)</f>
        <v>8.8559999999999993E-3</v>
      </c>
      <c r="F325" s="5">
        <f t="shared" ref="F325:F387" ca="1" si="147">ROUND(F324+(RAND()*2-1+0.01)/10^4,6)</f>
        <v>8.5710000000000005E-3</v>
      </c>
      <c r="G325" s="5">
        <f t="shared" ref="G325:G387" ca="1" si="148">ROUND(G324+(RAND()*2-1+0.01)/10^4,6)</f>
        <v>1.1797999999999999E-2</v>
      </c>
      <c r="H325" s="5">
        <f t="shared" ref="H325:H387" ca="1" si="149">ROUND(H324+(RAND()*2-1+0.01)/10^4,6)</f>
        <v>1.0515E-2</v>
      </c>
      <c r="I325" s="5">
        <f t="shared" ref="I325:I387" ca="1" si="150">ROUND(I324+(RAND()*2-1+0.01)/10^4,6)</f>
        <v>1.2149999999999999E-2</v>
      </c>
      <c r="J325" s="5">
        <f t="shared" ref="J325:J387" ca="1" si="151">ROUND(J324+(RAND()*2-1+0.01)/10^4,6)</f>
        <v>1.4877E-2</v>
      </c>
      <c r="K325" s="5">
        <f t="shared" ref="K325:K387" ca="1" si="152">ROUND(K324+(RAND()*2-1+0.01)/10^4,6)</f>
        <v>1.7443E-2</v>
      </c>
      <c r="L325" s="5">
        <f t="shared" ref="L325:L387" ca="1" si="153">ROUND(L324+(RAND()*2-1+0.01)/10^4,6)</f>
        <v>1.9581000000000001E-2</v>
      </c>
      <c r="M325" s="5">
        <f t="shared" ref="M325:M387" ca="1" si="154">ROUND(M324+(RAND()*2-1+0.01)/10^4,6)</f>
        <v>2.1507999999999999E-2</v>
      </c>
      <c r="N325" s="5">
        <f t="shared" ref="N325:N387" ca="1" si="155">ROUND(N324+(RAND()*2-1+0.01)/10^4,6)</f>
        <v>2.4945999999999999E-2</v>
      </c>
      <c r="O325" s="5">
        <f t="shared" ref="O325:O387" ca="1" si="156">ROUND(O324+(RAND()*2-1+0.01)/10^4,6)</f>
        <v>3.0199E-2</v>
      </c>
      <c r="P325" s="8">
        <f t="shared" ref="P325:P387" ca="1" si="157">P324*(1+S325)^(1/12)</f>
        <v>990.67893164308407</v>
      </c>
      <c r="Q325" s="8">
        <f t="shared" ref="Q325:Q387" ca="1" si="158">Q324*(1+T325)^(1/12)</f>
        <v>3737.1567546285314</v>
      </c>
      <c r="R325" s="8">
        <f t="shared" ref="R325:R387" ca="1" si="159">R324*(1+U325)^(1/12)</f>
        <v>2139.9192738451934</v>
      </c>
      <c r="S325" s="5">
        <f t="shared" ref="S325:S387" ca="1" si="160">RAND()*10/100-5/100+S324/10</f>
        <v>-2.1702130474098018E-2</v>
      </c>
      <c r="T325">
        <f t="shared" ref="T325:T387" ca="1" si="161">M325+RAND()*4/100+0.01</f>
        <v>6.1104424680624388E-2</v>
      </c>
      <c r="U325" s="5">
        <f t="shared" ref="U325:U387" ca="1" si="162">RAND()*1/100-0.5/100+U324</f>
        <v>-4.0123311994029333E-2</v>
      </c>
    </row>
    <row r="326" spans="2:21" x14ac:dyDescent="0.25">
      <c r="B326">
        <f t="shared" si="145"/>
        <v>323</v>
      </c>
      <c r="C326">
        <f t="shared" si="143"/>
        <v>27</v>
      </c>
      <c r="D326">
        <f t="shared" si="144"/>
        <v>11</v>
      </c>
      <c r="E326" s="5">
        <f t="shared" ca="1" si="146"/>
        <v>8.7869999999999997E-3</v>
      </c>
      <c r="F326" s="5">
        <f t="shared" ca="1" si="147"/>
        <v>8.659E-3</v>
      </c>
      <c r="G326" s="5">
        <f t="shared" ca="1" si="148"/>
        <v>1.1773E-2</v>
      </c>
      <c r="H326" s="5">
        <f t="shared" ca="1" si="149"/>
        <v>1.0418999999999999E-2</v>
      </c>
      <c r="I326" s="5">
        <f t="shared" ca="1" si="150"/>
        <v>1.2121E-2</v>
      </c>
      <c r="J326" s="5">
        <f t="shared" ca="1" si="151"/>
        <v>1.4963000000000001E-2</v>
      </c>
      <c r="K326" s="5">
        <f t="shared" ca="1" si="152"/>
        <v>1.7406999999999999E-2</v>
      </c>
      <c r="L326" s="5">
        <f t="shared" ca="1" si="153"/>
        <v>1.9484000000000001E-2</v>
      </c>
      <c r="M326" s="5">
        <f t="shared" ca="1" si="154"/>
        <v>2.1447999999999998E-2</v>
      </c>
      <c r="N326" s="5">
        <f t="shared" ca="1" si="155"/>
        <v>2.4858999999999999E-2</v>
      </c>
      <c r="O326" s="5">
        <f t="shared" ca="1" si="156"/>
        <v>3.0103999999999999E-2</v>
      </c>
      <c r="P326" s="8">
        <f t="shared" ca="1" si="157"/>
        <v>994.14519513824621</v>
      </c>
      <c r="Q326" s="8">
        <f t="shared" ca="1" si="158"/>
        <v>3758.5398470441619</v>
      </c>
      <c r="R326" s="8">
        <f t="shared" ca="1" si="159"/>
        <v>2133.3315759094326</v>
      </c>
      <c r="S326" s="5">
        <f t="shared" ca="1" si="160"/>
        <v>4.2804000348628912E-2</v>
      </c>
      <c r="T326">
        <f t="shared" ca="1" si="161"/>
        <v>7.0863535856168017E-2</v>
      </c>
      <c r="U326" s="5">
        <f t="shared" ca="1" si="162"/>
        <v>-3.6322645583817599E-2</v>
      </c>
    </row>
    <row r="327" spans="2:21" x14ac:dyDescent="0.25">
      <c r="B327">
        <f t="shared" si="145"/>
        <v>324</v>
      </c>
      <c r="C327">
        <f t="shared" si="143"/>
        <v>27</v>
      </c>
      <c r="D327">
        <f t="shared" si="144"/>
        <v>12</v>
      </c>
      <c r="E327" s="5">
        <f t="shared" ca="1" si="146"/>
        <v>8.8430000000000002E-3</v>
      </c>
      <c r="F327" s="5">
        <f t="shared" ca="1" si="147"/>
        <v>8.6870000000000003E-3</v>
      </c>
      <c r="G327" s="5">
        <f t="shared" ca="1" si="148"/>
        <v>1.1681E-2</v>
      </c>
      <c r="H327" s="5">
        <f t="shared" ca="1" si="149"/>
        <v>1.0462000000000001E-2</v>
      </c>
      <c r="I327" s="5">
        <f t="shared" ca="1" si="150"/>
        <v>1.2070000000000001E-2</v>
      </c>
      <c r="J327" s="5">
        <f t="shared" ca="1" si="151"/>
        <v>1.4926999999999999E-2</v>
      </c>
      <c r="K327" s="5">
        <f t="shared" ca="1" si="152"/>
        <v>1.7330999999999999E-2</v>
      </c>
      <c r="L327" s="5">
        <f t="shared" ca="1" si="153"/>
        <v>1.9517E-2</v>
      </c>
      <c r="M327" s="5">
        <f t="shared" ca="1" si="154"/>
        <v>2.1458000000000001E-2</v>
      </c>
      <c r="N327" s="5">
        <f t="shared" ca="1" si="155"/>
        <v>2.4844000000000001E-2</v>
      </c>
      <c r="O327" s="5">
        <f t="shared" ca="1" si="156"/>
        <v>3.0099999999999998E-2</v>
      </c>
      <c r="P327" s="8">
        <f t="shared" ca="1" si="157"/>
        <v>996.1360725019631</v>
      </c>
      <c r="Q327" s="8">
        <f t="shared" ca="1" si="158"/>
        <v>3779.5924585100597</v>
      </c>
      <c r="R327" s="8">
        <f t="shared" ca="1" si="159"/>
        <v>2127.577158022124</v>
      </c>
      <c r="S327" s="5">
        <f t="shared" ca="1" si="160"/>
        <v>2.4297688802087072E-2</v>
      </c>
      <c r="T327">
        <f t="shared" ca="1" si="161"/>
        <v>6.9325143194208988E-2</v>
      </c>
      <c r="U327" s="5">
        <f t="shared" ca="1" si="162"/>
        <v>-3.1892710201215063E-2</v>
      </c>
    </row>
    <row r="328" spans="2:21" x14ac:dyDescent="0.25">
      <c r="B328">
        <f t="shared" si="145"/>
        <v>325</v>
      </c>
      <c r="C328">
        <f>C327+1</f>
        <v>28</v>
      </c>
      <c r="D328">
        <v>1</v>
      </c>
      <c r="E328" s="5">
        <f t="shared" ca="1" si="146"/>
        <v>8.7950000000000007E-3</v>
      </c>
      <c r="F328" s="5">
        <f t="shared" ca="1" si="147"/>
        <v>8.7240000000000009E-3</v>
      </c>
      <c r="G328" s="5">
        <f t="shared" ca="1" si="148"/>
        <v>1.1712E-2</v>
      </c>
      <c r="H328" s="5">
        <f t="shared" ca="1" si="149"/>
        <v>1.0465E-2</v>
      </c>
      <c r="I328" s="5">
        <f t="shared" ca="1" si="150"/>
        <v>1.2128999999999999E-2</v>
      </c>
      <c r="J328" s="5">
        <f t="shared" ca="1" si="151"/>
        <v>1.4902E-2</v>
      </c>
      <c r="K328" s="5">
        <f t="shared" ca="1" si="152"/>
        <v>1.7409000000000001E-2</v>
      </c>
      <c r="L328" s="5">
        <f t="shared" ca="1" si="153"/>
        <v>1.9543000000000001E-2</v>
      </c>
      <c r="M328" s="5">
        <f t="shared" ca="1" si="154"/>
        <v>2.1391E-2</v>
      </c>
      <c r="N328" s="5">
        <f t="shared" ca="1" si="155"/>
        <v>2.4746000000000001E-2</v>
      </c>
      <c r="O328" s="5">
        <f t="shared" ca="1" si="156"/>
        <v>3.0183000000000001E-2</v>
      </c>
      <c r="P328" s="8">
        <f t="shared" ca="1" si="157"/>
        <v>994.35805317057145</v>
      </c>
      <c r="Q328" s="8">
        <f t="shared" ca="1" si="158"/>
        <v>3795.2104684732385</v>
      </c>
      <c r="R328" s="8">
        <f t="shared" ca="1" si="159"/>
        <v>2121.1447179613688</v>
      </c>
      <c r="S328" s="5">
        <f t="shared" ca="1" si="160"/>
        <v>-2.1209968372357377E-2</v>
      </c>
      <c r="T328">
        <f t="shared" ca="1" si="161"/>
        <v>5.0728949960934362E-2</v>
      </c>
      <c r="U328" s="5">
        <f t="shared" ca="1" si="162"/>
        <v>-3.5683117847053962E-2</v>
      </c>
    </row>
    <row r="329" spans="2:21" x14ac:dyDescent="0.25">
      <c r="B329">
        <f t="shared" si="145"/>
        <v>326</v>
      </c>
      <c r="C329">
        <f>C328</f>
        <v>28</v>
      </c>
      <c r="D329">
        <v>2</v>
      </c>
      <c r="E329" s="5">
        <f t="shared" ca="1" si="146"/>
        <v>8.8190000000000004E-3</v>
      </c>
      <c r="F329" s="5">
        <f t="shared" ca="1" si="147"/>
        <v>8.6320000000000008E-3</v>
      </c>
      <c r="G329" s="5">
        <f t="shared" ca="1" si="148"/>
        <v>1.1728000000000001E-2</v>
      </c>
      <c r="H329" s="5">
        <f t="shared" ca="1" si="149"/>
        <v>1.0456E-2</v>
      </c>
      <c r="I329" s="5">
        <f t="shared" ca="1" si="150"/>
        <v>1.2086E-2</v>
      </c>
      <c r="J329" s="5">
        <f t="shared" ca="1" si="151"/>
        <v>1.4840000000000001E-2</v>
      </c>
      <c r="K329" s="5">
        <f t="shared" ca="1" si="152"/>
        <v>1.7439E-2</v>
      </c>
      <c r="L329" s="5">
        <f t="shared" ca="1" si="153"/>
        <v>1.9470999999999999E-2</v>
      </c>
      <c r="M329" s="5">
        <f t="shared" ca="1" si="154"/>
        <v>2.1344999999999999E-2</v>
      </c>
      <c r="N329" s="5">
        <f t="shared" ca="1" si="155"/>
        <v>2.4663000000000001E-2</v>
      </c>
      <c r="O329" s="5">
        <f t="shared" ca="1" si="156"/>
        <v>3.0269999999999998E-2</v>
      </c>
      <c r="P329" s="8">
        <f t="shared" ca="1" si="157"/>
        <v>998.18827848025728</v>
      </c>
      <c r="Q329" s="8">
        <f t="shared" ca="1" si="158"/>
        <v>3812.1333436899176</v>
      </c>
      <c r="R329" s="8">
        <f t="shared" ca="1" si="159"/>
        <v>2114.9209774855512</v>
      </c>
      <c r="S329" s="5">
        <f t="shared" ca="1" si="160"/>
        <v>4.7215457917132012E-2</v>
      </c>
      <c r="T329">
        <f t="shared" ca="1" si="161"/>
        <v>5.4840063929999183E-2</v>
      </c>
      <c r="U329" s="5">
        <f t="shared" ca="1" si="162"/>
        <v>-3.4647021993448657E-2</v>
      </c>
    </row>
    <row r="330" spans="2:21" x14ac:dyDescent="0.25">
      <c r="B330">
        <f t="shared" si="145"/>
        <v>327</v>
      </c>
      <c r="C330">
        <f t="shared" ref="C330:C339" si="163">C329</f>
        <v>28</v>
      </c>
      <c r="D330">
        <v>3</v>
      </c>
      <c r="E330" s="5">
        <f t="shared" ca="1" si="146"/>
        <v>8.7679999999999998E-3</v>
      </c>
      <c r="F330" s="5">
        <f t="shared" ca="1" si="147"/>
        <v>8.5369999999999994E-3</v>
      </c>
      <c r="G330" s="5">
        <f t="shared" ca="1" si="148"/>
        <v>1.1637E-2</v>
      </c>
      <c r="H330" s="5">
        <f t="shared" ca="1" si="149"/>
        <v>1.0422000000000001E-2</v>
      </c>
      <c r="I330" s="5">
        <f t="shared" ca="1" si="150"/>
        <v>1.204E-2</v>
      </c>
      <c r="J330" s="5">
        <f t="shared" ca="1" si="151"/>
        <v>1.4832E-2</v>
      </c>
      <c r="K330" s="5">
        <f t="shared" ca="1" si="152"/>
        <v>1.7486999999999999E-2</v>
      </c>
      <c r="L330" s="5">
        <f t="shared" ca="1" si="153"/>
        <v>1.9503E-2</v>
      </c>
      <c r="M330" s="5">
        <f t="shared" ca="1" si="154"/>
        <v>2.1252E-2</v>
      </c>
      <c r="N330" s="5">
        <f t="shared" ca="1" si="155"/>
        <v>2.4652E-2</v>
      </c>
      <c r="O330" s="5">
        <f t="shared" ca="1" si="156"/>
        <v>3.0336999999999999E-2</v>
      </c>
      <c r="P330" s="8">
        <f t="shared" ca="1" si="157"/>
        <v>999.51994555102817</v>
      </c>
      <c r="Q330" s="8">
        <f t="shared" ca="1" si="158"/>
        <v>3826.3577863538726</v>
      </c>
      <c r="R330" s="8">
        <f t="shared" ca="1" si="159"/>
        <v>2109.0902123379933</v>
      </c>
      <c r="S330" s="5">
        <f t="shared" ca="1" si="160"/>
        <v>1.6126998147350108E-2</v>
      </c>
      <c r="T330">
        <f t="shared" ca="1" si="161"/>
        <v>4.5706769674838853E-2</v>
      </c>
      <c r="U330" s="5">
        <f t="shared" ca="1" si="162"/>
        <v>-3.2586516396445088E-2</v>
      </c>
    </row>
    <row r="331" spans="2:21" x14ac:dyDescent="0.25">
      <c r="B331">
        <f t="shared" si="145"/>
        <v>328</v>
      </c>
      <c r="C331">
        <f t="shared" si="163"/>
        <v>28</v>
      </c>
      <c r="D331">
        <f>D330+1</f>
        <v>4</v>
      </c>
      <c r="E331" s="5">
        <f t="shared" ca="1" si="146"/>
        <v>8.711E-3</v>
      </c>
      <c r="F331" s="5">
        <f t="shared" ca="1" si="147"/>
        <v>8.5540000000000008E-3</v>
      </c>
      <c r="G331" s="5">
        <f t="shared" ca="1" si="148"/>
        <v>1.1627E-2</v>
      </c>
      <c r="H331" s="5">
        <f t="shared" ca="1" si="149"/>
        <v>1.0456999999999999E-2</v>
      </c>
      <c r="I331" s="5">
        <f t="shared" ca="1" si="150"/>
        <v>1.2137999999999999E-2</v>
      </c>
      <c r="J331" s="5">
        <f t="shared" ca="1" si="151"/>
        <v>1.4826000000000001E-2</v>
      </c>
      <c r="K331" s="5">
        <f t="shared" ca="1" si="152"/>
        <v>1.7468000000000001E-2</v>
      </c>
      <c r="L331" s="5">
        <f t="shared" ca="1" si="153"/>
        <v>1.9595999999999999E-2</v>
      </c>
      <c r="M331" s="5">
        <f t="shared" ca="1" si="154"/>
        <v>2.1201000000000001E-2</v>
      </c>
      <c r="N331" s="5">
        <f t="shared" ca="1" si="155"/>
        <v>2.4629000000000002E-2</v>
      </c>
      <c r="O331" s="5">
        <f t="shared" ca="1" si="156"/>
        <v>3.0299E-2</v>
      </c>
      <c r="P331" s="8">
        <f t="shared" ca="1" si="157"/>
        <v>1001.057158325905</v>
      </c>
      <c r="Q331" s="8">
        <f t="shared" ca="1" si="158"/>
        <v>3840.9273055674507</v>
      </c>
      <c r="R331" s="8">
        <f t="shared" ca="1" si="159"/>
        <v>2103.463094264675</v>
      </c>
      <c r="S331" s="5">
        <f t="shared" ca="1" si="160"/>
        <v>1.8612325344633279E-2</v>
      </c>
      <c r="T331">
        <f t="shared" ca="1" si="161"/>
        <v>4.6661218405789712E-2</v>
      </c>
      <c r="U331" s="5">
        <f t="shared" ca="1" si="162"/>
        <v>-3.1550711608891849E-2</v>
      </c>
    </row>
    <row r="332" spans="2:21" x14ac:dyDescent="0.25">
      <c r="B332">
        <f t="shared" si="145"/>
        <v>329</v>
      </c>
      <c r="C332">
        <f t="shared" si="163"/>
        <v>28</v>
      </c>
      <c r="D332">
        <f t="shared" ref="D332:D339" si="164">D331+1</f>
        <v>5</v>
      </c>
      <c r="E332" s="5">
        <f t="shared" ca="1" si="146"/>
        <v>8.8059999999999996E-3</v>
      </c>
      <c r="F332" s="5">
        <f t="shared" ca="1" si="147"/>
        <v>8.5839999999999996E-3</v>
      </c>
      <c r="G332" s="5">
        <f t="shared" ca="1" si="148"/>
        <v>1.1701E-2</v>
      </c>
      <c r="H332" s="5">
        <f t="shared" ca="1" si="149"/>
        <v>1.048E-2</v>
      </c>
      <c r="I332" s="5">
        <f t="shared" ca="1" si="150"/>
        <v>1.2199E-2</v>
      </c>
      <c r="J332" s="5">
        <f t="shared" ca="1" si="151"/>
        <v>1.4796E-2</v>
      </c>
      <c r="K332" s="5">
        <f t="shared" ca="1" si="152"/>
        <v>1.7429E-2</v>
      </c>
      <c r="L332" s="5">
        <f t="shared" ca="1" si="153"/>
        <v>1.9559E-2</v>
      </c>
      <c r="M332" s="5">
        <f t="shared" ca="1" si="154"/>
        <v>2.1267999999999999E-2</v>
      </c>
      <c r="N332" s="5">
        <f t="shared" ca="1" si="155"/>
        <v>2.4601000000000001E-2</v>
      </c>
      <c r="O332" s="5">
        <f t="shared" ca="1" si="156"/>
        <v>3.0286E-2</v>
      </c>
      <c r="P332" s="8">
        <f t="shared" ca="1" si="157"/>
        <v>1004.3606593442677</v>
      </c>
      <c r="Q332" s="8">
        <f t="shared" ca="1" si="158"/>
        <v>3859.238251500431</v>
      </c>
      <c r="R332" s="8">
        <f t="shared" ca="1" si="159"/>
        <v>2097.7663770921927</v>
      </c>
      <c r="S332" s="5">
        <f t="shared" ca="1" si="160"/>
        <v>4.0326859231642934E-2</v>
      </c>
      <c r="T332">
        <f t="shared" ca="1" si="161"/>
        <v>5.8731992646628657E-2</v>
      </c>
      <c r="U332" s="5">
        <f t="shared" ca="1" si="162"/>
        <v>-3.2019332122861621E-2</v>
      </c>
    </row>
    <row r="333" spans="2:21" x14ac:dyDescent="0.25">
      <c r="B333">
        <f t="shared" si="145"/>
        <v>330</v>
      </c>
      <c r="C333">
        <f t="shared" si="163"/>
        <v>28</v>
      </c>
      <c r="D333">
        <f t="shared" si="164"/>
        <v>6</v>
      </c>
      <c r="E333" s="5">
        <f t="shared" ca="1" si="146"/>
        <v>8.8269999999999998E-3</v>
      </c>
      <c r="F333" s="5">
        <f t="shared" ca="1" si="147"/>
        <v>8.6800000000000002E-3</v>
      </c>
      <c r="G333" s="5">
        <f t="shared" ca="1" si="148"/>
        <v>1.1705999999999999E-2</v>
      </c>
      <c r="H333" s="5">
        <f t="shared" ca="1" si="149"/>
        <v>1.0499E-2</v>
      </c>
      <c r="I333" s="5">
        <f t="shared" ca="1" si="150"/>
        <v>1.2286E-2</v>
      </c>
      <c r="J333" s="5">
        <f t="shared" ca="1" si="151"/>
        <v>1.4829E-2</v>
      </c>
      <c r="K333" s="5">
        <f t="shared" ca="1" si="152"/>
        <v>1.7513000000000001E-2</v>
      </c>
      <c r="L333" s="5">
        <f t="shared" ca="1" si="153"/>
        <v>1.9609999999999999E-2</v>
      </c>
      <c r="M333" s="5">
        <f t="shared" ca="1" si="154"/>
        <v>2.1198999999999999E-2</v>
      </c>
      <c r="N333" s="5">
        <f t="shared" ca="1" si="155"/>
        <v>2.4669E-2</v>
      </c>
      <c r="O333" s="5">
        <f t="shared" ca="1" si="156"/>
        <v>3.0322999999999999E-2</v>
      </c>
      <c r="P333" s="8">
        <f t="shared" ca="1" si="157"/>
        <v>1001.651417751911</v>
      </c>
      <c r="Q333" s="8">
        <f t="shared" ca="1" si="158"/>
        <v>3878.839652039062</v>
      </c>
      <c r="R333" s="8">
        <f t="shared" ca="1" si="159"/>
        <v>2092.0852970042779</v>
      </c>
      <c r="S333" s="5">
        <f t="shared" ca="1" si="160"/>
        <v>-3.1893795853681337E-2</v>
      </c>
      <c r="T333">
        <f t="shared" ca="1" si="161"/>
        <v>6.268079133622971E-2</v>
      </c>
      <c r="U333" s="5">
        <f t="shared" ca="1" si="162"/>
        <v>-3.2018172178346786E-2</v>
      </c>
    </row>
    <row r="334" spans="2:21" x14ac:dyDescent="0.25">
      <c r="B334">
        <f t="shared" si="145"/>
        <v>331</v>
      </c>
      <c r="C334">
        <f t="shared" si="163"/>
        <v>28</v>
      </c>
      <c r="D334">
        <f t="shared" si="164"/>
        <v>7</v>
      </c>
      <c r="E334" s="5">
        <f t="shared" ca="1" si="146"/>
        <v>8.8920000000000006E-3</v>
      </c>
      <c r="F334" s="5">
        <f t="shared" ca="1" si="147"/>
        <v>8.763E-3</v>
      </c>
      <c r="G334" s="5">
        <f t="shared" ca="1" si="148"/>
        <v>1.18E-2</v>
      </c>
      <c r="H334" s="5">
        <f t="shared" ca="1" si="149"/>
        <v>1.0475999999999999E-2</v>
      </c>
      <c r="I334" s="5">
        <f t="shared" ca="1" si="150"/>
        <v>1.2305E-2</v>
      </c>
      <c r="J334" s="5">
        <f t="shared" ca="1" si="151"/>
        <v>1.4789E-2</v>
      </c>
      <c r="K334" s="5">
        <f t="shared" ca="1" si="152"/>
        <v>1.7561E-2</v>
      </c>
      <c r="L334" s="5">
        <f t="shared" ca="1" si="153"/>
        <v>1.9612999999999998E-2</v>
      </c>
      <c r="M334" s="5">
        <f t="shared" ca="1" si="154"/>
        <v>2.1135999999999999E-2</v>
      </c>
      <c r="N334" s="5">
        <f t="shared" ca="1" si="155"/>
        <v>2.4736999999999999E-2</v>
      </c>
      <c r="O334" s="5">
        <f t="shared" ca="1" si="156"/>
        <v>3.0422999999999999E-2</v>
      </c>
      <c r="P334" s="8">
        <f t="shared" ca="1" si="157"/>
        <v>1002.3584036063074</v>
      </c>
      <c r="Q334" s="8">
        <f t="shared" ca="1" si="158"/>
        <v>3897.1731741070862</v>
      </c>
      <c r="R334" s="8">
        <f t="shared" ca="1" si="159"/>
        <v>2087.1669921218331</v>
      </c>
      <c r="S334" s="5">
        <f t="shared" ca="1" si="160"/>
        <v>8.5028005115179734E-3</v>
      </c>
      <c r="T334">
        <f t="shared" ca="1" si="161"/>
        <v>5.8216513001207108E-2</v>
      </c>
      <c r="U334" s="5">
        <f t="shared" ca="1" si="162"/>
        <v>-2.7848999610378893E-2</v>
      </c>
    </row>
    <row r="335" spans="2:21" x14ac:dyDescent="0.25">
      <c r="B335">
        <f t="shared" si="145"/>
        <v>332</v>
      </c>
      <c r="C335">
        <f t="shared" si="163"/>
        <v>28</v>
      </c>
      <c r="D335">
        <f t="shared" si="164"/>
        <v>8</v>
      </c>
      <c r="E335" s="5">
        <f t="shared" ca="1" si="146"/>
        <v>8.8999999999999999E-3</v>
      </c>
      <c r="F335" s="5">
        <f t="shared" ca="1" si="147"/>
        <v>8.7810000000000006E-3</v>
      </c>
      <c r="G335" s="5">
        <f t="shared" ca="1" si="148"/>
        <v>1.1828999999999999E-2</v>
      </c>
      <c r="H335" s="5">
        <f t="shared" ca="1" si="149"/>
        <v>1.0466E-2</v>
      </c>
      <c r="I335" s="5">
        <f t="shared" ca="1" si="150"/>
        <v>1.2366E-2</v>
      </c>
      <c r="J335" s="5">
        <f t="shared" ca="1" si="151"/>
        <v>1.4755000000000001E-2</v>
      </c>
      <c r="K335" s="5">
        <f t="shared" ca="1" si="152"/>
        <v>1.7609E-2</v>
      </c>
      <c r="L335" s="5">
        <f t="shared" ca="1" si="153"/>
        <v>1.9546999999999998E-2</v>
      </c>
      <c r="M335" s="5">
        <f t="shared" ca="1" si="154"/>
        <v>2.1162E-2</v>
      </c>
      <c r="N335" s="5">
        <f t="shared" ca="1" si="155"/>
        <v>2.4708999999999998E-2</v>
      </c>
      <c r="O335" s="5">
        <f t="shared" ca="1" si="156"/>
        <v>3.0415000000000001E-2</v>
      </c>
      <c r="P335" s="8">
        <f t="shared" ca="1" si="157"/>
        <v>1003.7170410167272</v>
      </c>
      <c r="Q335" s="8">
        <f t="shared" ca="1" si="158"/>
        <v>3910.6239432206289</v>
      </c>
      <c r="R335" s="8">
        <f t="shared" ca="1" si="159"/>
        <v>2082.3085038607105</v>
      </c>
      <c r="S335" s="5">
        <f t="shared" ca="1" si="160"/>
        <v>1.6387094829510378E-2</v>
      </c>
      <c r="T335">
        <f t="shared" ca="1" si="161"/>
        <v>4.2212328179352582E-2</v>
      </c>
      <c r="U335" s="5">
        <f t="shared" ca="1" si="162"/>
        <v>-2.7578622583283936E-2</v>
      </c>
    </row>
    <row r="336" spans="2:21" x14ac:dyDescent="0.25">
      <c r="B336">
        <f t="shared" si="145"/>
        <v>333</v>
      </c>
      <c r="C336">
        <f t="shared" si="163"/>
        <v>28</v>
      </c>
      <c r="D336">
        <f t="shared" si="164"/>
        <v>9</v>
      </c>
      <c r="E336" s="5">
        <f t="shared" ca="1" si="146"/>
        <v>8.9259999999999999E-3</v>
      </c>
      <c r="F336" s="5">
        <f t="shared" ca="1" si="147"/>
        <v>8.8030000000000001E-3</v>
      </c>
      <c r="G336" s="5">
        <f t="shared" ca="1" si="148"/>
        <v>1.1833E-2</v>
      </c>
      <c r="H336" s="5">
        <f t="shared" ca="1" si="149"/>
        <v>1.039E-2</v>
      </c>
      <c r="I336" s="5">
        <f t="shared" ca="1" si="150"/>
        <v>1.2348E-2</v>
      </c>
      <c r="J336" s="5">
        <f t="shared" ca="1" si="151"/>
        <v>1.4695E-2</v>
      </c>
      <c r="K336" s="5">
        <f t="shared" ca="1" si="152"/>
        <v>1.7579000000000001E-2</v>
      </c>
      <c r="L336" s="5">
        <f t="shared" ca="1" si="153"/>
        <v>1.9474999999999999E-2</v>
      </c>
      <c r="M336" s="5">
        <f t="shared" ca="1" si="154"/>
        <v>2.1239999999999998E-2</v>
      </c>
      <c r="N336" s="5">
        <f t="shared" ca="1" si="155"/>
        <v>2.4659E-2</v>
      </c>
      <c r="O336" s="5">
        <f t="shared" ca="1" si="156"/>
        <v>3.0367999999999999E-2</v>
      </c>
      <c r="P336" s="8">
        <f t="shared" ca="1" si="157"/>
        <v>1000.210580952667</v>
      </c>
      <c r="Q336" s="8">
        <f t="shared" ca="1" si="158"/>
        <v>3925.0630261463266</v>
      </c>
      <c r="R336" s="8">
        <f t="shared" ca="1" si="159"/>
        <v>2077.3823435666191</v>
      </c>
      <c r="S336" s="5">
        <f t="shared" ca="1" si="160"/>
        <v>-4.1125514517455018E-2</v>
      </c>
      <c r="T336">
        <f t="shared" ca="1" si="161"/>
        <v>4.521818617069976E-2</v>
      </c>
      <c r="U336" s="5">
        <f t="shared" ca="1" si="162"/>
        <v>-2.802216768853177E-2</v>
      </c>
    </row>
    <row r="337" spans="2:21" x14ac:dyDescent="0.25">
      <c r="B337">
        <f t="shared" si="145"/>
        <v>334</v>
      </c>
      <c r="C337">
        <f t="shared" si="163"/>
        <v>28</v>
      </c>
      <c r="D337">
        <f t="shared" si="164"/>
        <v>10</v>
      </c>
      <c r="E337" s="5">
        <f t="shared" ca="1" si="146"/>
        <v>8.9189999999999998E-3</v>
      </c>
      <c r="F337" s="5">
        <f t="shared" ca="1" si="147"/>
        <v>8.7620000000000007E-3</v>
      </c>
      <c r="G337" s="5">
        <f t="shared" ca="1" si="148"/>
        <v>1.191E-2</v>
      </c>
      <c r="H337" s="5">
        <f t="shared" ca="1" si="149"/>
        <v>1.0462000000000001E-2</v>
      </c>
      <c r="I337" s="5">
        <f t="shared" ca="1" si="150"/>
        <v>1.2329E-2</v>
      </c>
      <c r="J337" s="5">
        <f t="shared" ca="1" si="151"/>
        <v>1.461E-2</v>
      </c>
      <c r="K337" s="5">
        <f t="shared" ca="1" si="152"/>
        <v>1.7642999999999999E-2</v>
      </c>
      <c r="L337" s="5">
        <f t="shared" ca="1" si="153"/>
        <v>1.9567999999999999E-2</v>
      </c>
      <c r="M337" s="5">
        <f t="shared" ca="1" si="154"/>
        <v>2.1326999999999999E-2</v>
      </c>
      <c r="N337" s="5">
        <f t="shared" ca="1" si="155"/>
        <v>2.4750999999999999E-2</v>
      </c>
      <c r="O337" s="5">
        <f t="shared" ca="1" si="156"/>
        <v>3.0379E-2</v>
      </c>
      <c r="P337" s="8">
        <f t="shared" ca="1" si="157"/>
        <v>995.73470352931724</v>
      </c>
      <c r="Q337" s="8">
        <f t="shared" ca="1" si="158"/>
        <v>3945.2755280827073</v>
      </c>
      <c r="R337" s="8">
        <f t="shared" ca="1" si="159"/>
        <v>2072.348920434893</v>
      </c>
      <c r="S337" s="5">
        <f t="shared" ca="1" si="160"/>
        <v>-5.2397085428268451E-2</v>
      </c>
      <c r="T337">
        <f t="shared" ca="1" si="161"/>
        <v>6.3575798577610379E-2</v>
      </c>
      <c r="U337" s="5">
        <f t="shared" ca="1" si="162"/>
        <v>-2.8691213430066195E-2</v>
      </c>
    </row>
    <row r="338" spans="2:21" x14ac:dyDescent="0.25">
      <c r="B338">
        <f t="shared" si="145"/>
        <v>335</v>
      </c>
      <c r="C338">
        <f t="shared" si="163"/>
        <v>28</v>
      </c>
      <c r="D338">
        <f t="shared" si="164"/>
        <v>11</v>
      </c>
      <c r="E338" s="5">
        <f t="shared" ca="1" si="146"/>
        <v>8.9619999999999995E-3</v>
      </c>
      <c r="F338" s="5">
        <f t="shared" ca="1" si="147"/>
        <v>8.7589999999999994E-3</v>
      </c>
      <c r="G338" s="5">
        <f t="shared" ca="1" si="148"/>
        <v>1.1950000000000001E-2</v>
      </c>
      <c r="H338" s="5">
        <f t="shared" ca="1" si="149"/>
        <v>1.0427000000000001E-2</v>
      </c>
      <c r="I338" s="5">
        <f t="shared" ca="1" si="150"/>
        <v>1.2385E-2</v>
      </c>
      <c r="J338" s="5">
        <f t="shared" ca="1" si="151"/>
        <v>1.4638999999999999E-2</v>
      </c>
      <c r="K338" s="5">
        <f t="shared" ca="1" si="152"/>
        <v>1.7658E-2</v>
      </c>
      <c r="L338" s="5">
        <f t="shared" ca="1" si="153"/>
        <v>1.9487000000000001E-2</v>
      </c>
      <c r="M338" s="5">
        <f t="shared" ca="1" si="154"/>
        <v>2.1399000000000001E-2</v>
      </c>
      <c r="N338" s="5">
        <f t="shared" ca="1" si="155"/>
        <v>2.4656000000000001E-2</v>
      </c>
      <c r="O338" s="5">
        <f t="shared" ca="1" si="156"/>
        <v>3.0332999999999999E-2</v>
      </c>
      <c r="P338" s="8">
        <f t="shared" ca="1" si="157"/>
        <v>996.75377213423349</v>
      </c>
      <c r="Q338" s="8">
        <f t="shared" ca="1" si="158"/>
        <v>3961.5474767380133</v>
      </c>
      <c r="R338" s="8">
        <f t="shared" ca="1" si="159"/>
        <v>2067.4478321824104</v>
      </c>
      <c r="S338" s="5">
        <f t="shared" ca="1" si="160"/>
        <v>1.2350572132497645E-2</v>
      </c>
      <c r="T338">
        <f t="shared" ca="1" si="161"/>
        <v>5.0631256405668242E-2</v>
      </c>
      <c r="U338" s="5">
        <f t="shared" ca="1" si="162"/>
        <v>-2.8013646283520197E-2</v>
      </c>
    </row>
    <row r="339" spans="2:21" x14ac:dyDescent="0.25">
      <c r="B339">
        <f t="shared" si="145"/>
        <v>336</v>
      </c>
      <c r="C339">
        <f t="shared" si="163"/>
        <v>28</v>
      </c>
      <c r="D339">
        <f t="shared" si="164"/>
        <v>12</v>
      </c>
      <c r="E339" s="5">
        <f t="shared" ca="1" si="146"/>
        <v>8.8669999999999999E-3</v>
      </c>
      <c r="F339" s="5">
        <f t="shared" ca="1" si="147"/>
        <v>8.7480000000000006E-3</v>
      </c>
      <c r="G339" s="5">
        <f t="shared" ca="1" si="148"/>
        <v>1.201E-2</v>
      </c>
      <c r="H339" s="5">
        <f t="shared" ca="1" si="149"/>
        <v>1.0515999999999999E-2</v>
      </c>
      <c r="I339" s="5">
        <f t="shared" ca="1" si="150"/>
        <v>1.2466E-2</v>
      </c>
      <c r="J339" s="5">
        <f t="shared" ca="1" si="151"/>
        <v>1.4670000000000001E-2</v>
      </c>
      <c r="K339" s="5">
        <f t="shared" ca="1" si="152"/>
        <v>1.7689E-2</v>
      </c>
      <c r="L339" s="5">
        <f t="shared" ca="1" si="153"/>
        <v>1.9392E-2</v>
      </c>
      <c r="M339" s="5">
        <f t="shared" ca="1" si="154"/>
        <v>2.1399000000000001E-2</v>
      </c>
      <c r="N339" s="5">
        <f t="shared" ca="1" si="155"/>
        <v>2.4729999999999999E-2</v>
      </c>
      <c r="O339" s="5">
        <f t="shared" ca="1" si="156"/>
        <v>3.0397E-2</v>
      </c>
      <c r="P339" s="8">
        <f t="shared" ca="1" si="157"/>
        <v>1000.3064451453337</v>
      </c>
      <c r="Q339" s="8">
        <f t="shared" ca="1" si="158"/>
        <v>3978.0524726908093</v>
      </c>
      <c r="R339" s="8">
        <f t="shared" ca="1" si="159"/>
        <v>2061.8909518512964</v>
      </c>
      <c r="S339" s="5">
        <f t="shared" ca="1" si="160"/>
        <v>4.3619414957227404E-2</v>
      </c>
      <c r="T339">
        <f t="shared" ca="1" si="161"/>
        <v>5.1157294191044513E-2</v>
      </c>
      <c r="U339" s="5">
        <f t="shared" ca="1" si="162"/>
        <v>-3.1781010818558789E-2</v>
      </c>
    </row>
    <row r="340" spans="2:21" x14ac:dyDescent="0.25">
      <c r="B340">
        <f t="shared" si="145"/>
        <v>337</v>
      </c>
      <c r="C340">
        <f>C339+1</f>
        <v>29</v>
      </c>
      <c r="D340">
        <v>1</v>
      </c>
      <c r="E340" s="5">
        <f t="shared" ca="1" si="146"/>
        <v>8.966E-3</v>
      </c>
      <c r="F340" s="5">
        <f t="shared" ca="1" si="147"/>
        <v>8.685E-3</v>
      </c>
      <c r="G340" s="5">
        <f t="shared" ca="1" si="148"/>
        <v>1.2099E-2</v>
      </c>
      <c r="H340" s="5">
        <f t="shared" ca="1" si="149"/>
        <v>1.0493000000000001E-2</v>
      </c>
      <c r="I340" s="5">
        <f t="shared" ca="1" si="150"/>
        <v>1.2489E-2</v>
      </c>
      <c r="J340" s="5">
        <f t="shared" ca="1" si="151"/>
        <v>1.4626E-2</v>
      </c>
      <c r="K340" s="5">
        <f t="shared" ca="1" si="152"/>
        <v>1.7642000000000001E-2</v>
      </c>
      <c r="L340" s="5">
        <f t="shared" ca="1" si="153"/>
        <v>1.9446000000000001E-2</v>
      </c>
      <c r="M340" s="5">
        <f t="shared" ca="1" si="154"/>
        <v>2.1361000000000002E-2</v>
      </c>
      <c r="N340" s="5">
        <f t="shared" ca="1" si="155"/>
        <v>2.4686E-2</v>
      </c>
      <c r="O340" s="5">
        <f t="shared" ca="1" si="156"/>
        <v>3.0404E-2</v>
      </c>
      <c r="P340" s="8">
        <f t="shared" ca="1" si="157"/>
        <v>998.15112401567967</v>
      </c>
      <c r="Q340" s="8">
        <f t="shared" ca="1" si="158"/>
        <v>3994.9644177199243</v>
      </c>
      <c r="R340" s="8">
        <f t="shared" ca="1" si="159"/>
        <v>2055.8765755085824</v>
      </c>
      <c r="S340" s="5">
        <f t="shared" ca="1" si="160"/>
        <v>-2.5551711010862725E-2</v>
      </c>
      <c r="T340">
        <f t="shared" ca="1" si="161"/>
        <v>5.2225680927459488E-2</v>
      </c>
      <c r="U340" s="5">
        <f t="shared" ca="1" si="162"/>
        <v>-3.4446938869151823E-2</v>
      </c>
    </row>
    <row r="341" spans="2:21" x14ac:dyDescent="0.25">
      <c r="B341">
        <f t="shared" si="145"/>
        <v>338</v>
      </c>
      <c r="C341">
        <f>C340</f>
        <v>29</v>
      </c>
      <c r="D341">
        <v>2</v>
      </c>
      <c r="E341" s="5">
        <f t="shared" ca="1" si="146"/>
        <v>9.0030000000000006E-3</v>
      </c>
      <c r="F341" s="5">
        <f t="shared" ca="1" si="147"/>
        <v>8.7189999999999993E-3</v>
      </c>
      <c r="G341" s="5">
        <f t="shared" ca="1" si="148"/>
        <v>1.2193000000000001E-2</v>
      </c>
      <c r="H341" s="5">
        <f t="shared" ca="1" si="149"/>
        <v>1.0473E-2</v>
      </c>
      <c r="I341" s="5">
        <f t="shared" ca="1" si="150"/>
        <v>1.2573000000000001E-2</v>
      </c>
      <c r="J341" s="5">
        <f t="shared" ca="1" si="151"/>
        <v>1.4677000000000001E-2</v>
      </c>
      <c r="K341" s="5">
        <f t="shared" ca="1" si="152"/>
        <v>1.7597000000000002E-2</v>
      </c>
      <c r="L341" s="5">
        <f t="shared" ca="1" si="153"/>
        <v>1.9511000000000001E-2</v>
      </c>
      <c r="M341" s="5">
        <f t="shared" ca="1" si="154"/>
        <v>2.1357000000000001E-2</v>
      </c>
      <c r="N341" s="5">
        <f t="shared" ca="1" si="155"/>
        <v>2.4781999999999998E-2</v>
      </c>
      <c r="O341" s="5">
        <f t="shared" ca="1" si="156"/>
        <v>3.0485999999999999E-2</v>
      </c>
      <c r="P341" s="8">
        <f t="shared" ca="1" si="157"/>
        <v>1001.7814574177695</v>
      </c>
      <c r="Q341" s="8">
        <f t="shared" ca="1" si="158"/>
        <v>4009.2305647064718</v>
      </c>
      <c r="R341" s="8">
        <f t="shared" ca="1" si="159"/>
        <v>2049.7104102793623</v>
      </c>
      <c r="S341" s="5">
        <f t="shared" ca="1" si="160"/>
        <v>4.4528426685784259E-2</v>
      </c>
      <c r="T341">
        <f t="shared" ca="1" si="161"/>
        <v>4.3704137062885666E-2</v>
      </c>
      <c r="U341" s="5">
        <f t="shared" ca="1" si="162"/>
        <v>-3.5403629797368018E-2</v>
      </c>
    </row>
    <row r="342" spans="2:21" x14ac:dyDescent="0.25">
      <c r="B342">
        <f t="shared" si="145"/>
        <v>339</v>
      </c>
      <c r="C342">
        <f t="shared" ref="C342:C351" si="165">C341</f>
        <v>29</v>
      </c>
      <c r="D342">
        <v>3</v>
      </c>
      <c r="E342" s="5">
        <f t="shared" ca="1" si="146"/>
        <v>9.0819999999999998E-3</v>
      </c>
      <c r="F342" s="5">
        <f t="shared" ca="1" si="147"/>
        <v>8.8059999999999996E-3</v>
      </c>
      <c r="G342" s="5">
        <f t="shared" ca="1" si="148"/>
        <v>1.2166E-2</v>
      </c>
      <c r="H342" s="5">
        <f t="shared" ca="1" si="149"/>
        <v>1.0565E-2</v>
      </c>
      <c r="I342" s="5">
        <f t="shared" ca="1" si="150"/>
        <v>1.257E-2</v>
      </c>
      <c r="J342" s="5">
        <f t="shared" ca="1" si="151"/>
        <v>1.4678999999999999E-2</v>
      </c>
      <c r="K342" s="5">
        <f t="shared" ca="1" si="152"/>
        <v>1.7687000000000001E-2</v>
      </c>
      <c r="L342" s="5">
        <f t="shared" ca="1" si="153"/>
        <v>1.9435999999999998E-2</v>
      </c>
      <c r="M342" s="5">
        <f t="shared" ca="1" si="154"/>
        <v>2.1399999999999999E-2</v>
      </c>
      <c r="N342" s="5">
        <f t="shared" ca="1" si="155"/>
        <v>2.4701000000000001E-2</v>
      </c>
      <c r="O342" s="5">
        <f t="shared" ca="1" si="156"/>
        <v>3.0554999999999999E-2</v>
      </c>
      <c r="P342" s="8">
        <f t="shared" ca="1" si="157"/>
        <v>997.96741754443565</v>
      </c>
      <c r="Q342" s="8">
        <f t="shared" ca="1" si="158"/>
        <v>4022.2367902439823</v>
      </c>
      <c r="R342" s="8">
        <f t="shared" ca="1" si="159"/>
        <v>2044.3968693721183</v>
      </c>
      <c r="S342" s="5">
        <f t="shared" ca="1" si="160"/>
        <v>-4.4742442849304287E-2</v>
      </c>
      <c r="T342">
        <f t="shared" ca="1" si="161"/>
        <v>3.9630992297194106E-2</v>
      </c>
      <c r="U342" s="5">
        <f t="shared" ca="1" si="162"/>
        <v>-3.0668324824009906E-2</v>
      </c>
    </row>
    <row r="343" spans="2:21" x14ac:dyDescent="0.25">
      <c r="B343">
        <f t="shared" si="145"/>
        <v>340</v>
      </c>
      <c r="C343">
        <f t="shared" si="165"/>
        <v>29</v>
      </c>
      <c r="D343">
        <f>D342+1</f>
        <v>4</v>
      </c>
      <c r="E343" s="5">
        <f t="shared" ca="1" si="146"/>
        <v>9.0310000000000008E-3</v>
      </c>
      <c r="F343" s="5">
        <f t="shared" ca="1" si="147"/>
        <v>8.8310000000000003E-3</v>
      </c>
      <c r="G343" s="5">
        <f t="shared" ca="1" si="148"/>
        <v>1.2187999999999999E-2</v>
      </c>
      <c r="H343" s="5">
        <f t="shared" ca="1" si="149"/>
        <v>1.0557E-2</v>
      </c>
      <c r="I343" s="5">
        <f t="shared" ca="1" si="150"/>
        <v>1.2663000000000001E-2</v>
      </c>
      <c r="J343" s="5">
        <f t="shared" ca="1" si="151"/>
        <v>1.4624E-2</v>
      </c>
      <c r="K343" s="5">
        <f t="shared" ca="1" si="152"/>
        <v>1.7756000000000001E-2</v>
      </c>
      <c r="L343" s="5">
        <f t="shared" ca="1" si="153"/>
        <v>1.9432999999999999E-2</v>
      </c>
      <c r="M343" s="5">
        <f t="shared" ca="1" si="154"/>
        <v>2.1467E-2</v>
      </c>
      <c r="N343" s="5">
        <f t="shared" ca="1" si="155"/>
        <v>2.4745E-2</v>
      </c>
      <c r="O343" s="5">
        <f t="shared" ca="1" si="156"/>
        <v>3.0506999999999999E-2</v>
      </c>
      <c r="P343" s="8">
        <f t="shared" ca="1" si="157"/>
        <v>996.55164186855006</v>
      </c>
      <c r="Q343" s="8">
        <f t="shared" ca="1" si="158"/>
        <v>4041.9996949361298</v>
      </c>
      <c r="R343" s="8">
        <f t="shared" ca="1" si="159"/>
        <v>2038.8949148923748</v>
      </c>
      <c r="S343" s="5">
        <f t="shared" ca="1" si="160"/>
        <v>-1.6891705550474673E-2</v>
      </c>
      <c r="T343">
        <f t="shared" ca="1" si="161"/>
        <v>6.0580671696247791E-2</v>
      </c>
      <c r="U343" s="5">
        <f t="shared" ca="1" si="162"/>
        <v>-3.1821072946515948E-2</v>
      </c>
    </row>
    <row r="344" spans="2:21" x14ac:dyDescent="0.25">
      <c r="B344">
        <f t="shared" si="145"/>
        <v>341</v>
      </c>
      <c r="C344">
        <f t="shared" si="165"/>
        <v>29</v>
      </c>
      <c r="D344">
        <f t="shared" ref="D344:D351" si="166">D343+1</f>
        <v>5</v>
      </c>
      <c r="E344" s="5">
        <f t="shared" ca="1" si="146"/>
        <v>9.0060000000000001E-3</v>
      </c>
      <c r="F344" s="5">
        <f t="shared" ca="1" si="147"/>
        <v>8.7379999999999992E-3</v>
      </c>
      <c r="G344" s="5">
        <f t="shared" ca="1" si="148"/>
        <v>1.214E-2</v>
      </c>
      <c r="H344" s="5">
        <f t="shared" ca="1" si="149"/>
        <v>1.0612E-2</v>
      </c>
      <c r="I344" s="5">
        <f t="shared" ca="1" si="150"/>
        <v>1.2588E-2</v>
      </c>
      <c r="J344" s="5">
        <f t="shared" ca="1" si="151"/>
        <v>1.4704E-2</v>
      </c>
      <c r="K344" s="5">
        <f t="shared" ca="1" si="152"/>
        <v>1.7739000000000001E-2</v>
      </c>
      <c r="L344" s="5">
        <f t="shared" ca="1" si="153"/>
        <v>1.9521E-2</v>
      </c>
      <c r="M344" s="5">
        <f t="shared" ca="1" si="154"/>
        <v>2.1474E-2</v>
      </c>
      <c r="N344" s="5">
        <f t="shared" ca="1" si="155"/>
        <v>2.4836E-2</v>
      </c>
      <c r="O344" s="5">
        <f t="shared" ca="1" si="156"/>
        <v>3.0529000000000001E-2</v>
      </c>
      <c r="P344" s="8">
        <f t="shared" ca="1" si="157"/>
        <v>994.65787308049698</v>
      </c>
      <c r="Q344" s="8">
        <f t="shared" ca="1" si="158"/>
        <v>4055.6959513707152</v>
      </c>
      <c r="R344" s="8">
        <f t="shared" ca="1" si="159"/>
        <v>2033.203241635802</v>
      </c>
      <c r="S344" s="5">
        <f t="shared" ca="1" si="160"/>
        <v>-2.2567023939645301E-2</v>
      </c>
      <c r="T344">
        <f t="shared" ca="1" si="161"/>
        <v>4.1428249138150304E-2</v>
      </c>
      <c r="U344" s="5">
        <f t="shared" ca="1" si="162"/>
        <v>-3.2989012395792765E-2</v>
      </c>
    </row>
    <row r="345" spans="2:21" x14ac:dyDescent="0.25">
      <c r="B345">
        <f t="shared" si="145"/>
        <v>342</v>
      </c>
      <c r="C345">
        <f t="shared" si="165"/>
        <v>29</v>
      </c>
      <c r="D345">
        <f t="shared" si="166"/>
        <v>6</v>
      </c>
      <c r="E345" s="5">
        <f t="shared" ca="1" si="146"/>
        <v>9.0830000000000008E-3</v>
      </c>
      <c r="F345" s="5">
        <f t="shared" ca="1" si="147"/>
        <v>8.7530000000000004E-3</v>
      </c>
      <c r="G345" s="5">
        <f t="shared" ca="1" si="148"/>
        <v>1.2146000000000001E-2</v>
      </c>
      <c r="H345" s="5">
        <f t="shared" ca="1" si="149"/>
        <v>1.0536999999999999E-2</v>
      </c>
      <c r="I345" s="5">
        <f t="shared" ca="1" si="150"/>
        <v>1.26E-2</v>
      </c>
      <c r="J345" s="5">
        <f t="shared" ca="1" si="151"/>
        <v>1.4675000000000001E-2</v>
      </c>
      <c r="K345" s="5">
        <f t="shared" ca="1" si="152"/>
        <v>1.7836000000000001E-2</v>
      </c>
      <c r="L345" s="5">
        <f t="shared" ca="1" si="153"/>
        <v>1.9595000000000001E-2</v>
      </c>
      <c r="M345" s="5">
        <f t="shared" ca="1" si="154"/>
        <v>2.1524000000000001E-2</v>
      </c>
      <c r="N345" s="5">
        <f t="shared" ca="1" si="155"/>
        <v>2.4920999999999999E-2</v>
      </c>
      <c r="O345" s="5">
        <f t="shared" ca="1" si="156"/>
        <v>3.0612E-2</v>
      </c>
      <c r="P345" s="8">
        <f t="shared" ca="1" si="157"/>
        <v>997.98036333995879</v>
      </c>
      <c r="Q345" s="8">
        <f t="shared" ca="1" si="158"/>
        <v>4066.7529798066612</v>
      </c>
      <c r="R345" s="8">
        <f t="shared" ca="1" si="159"/>
        <v>2027.18264646492</v>
      </c>
      <c r="S345" s="5">
        <f t="shared" ca="1" si="160"/>
        <v>4.0828695769232912E-2</v>
      </c>
      <c r="T345">
        <f t="shared" ca="1" si="161"/>
        <v>3.3210597412596375E-2</v>
      </c>
      <c r="U345" s="5">
        <f t="shared" ca="1" si="162"/>
        <v>-3.4960618736869578E-2</v>
      </c>
    </row>
    <row r="346" spans="2:21" x14ac:dyDescent="0.25">
      <c r="B346">
        <f t="shared" si="145"/>
        <v>343</v>
      </c>
      <c r="C346">
        <f t="shared" si="165"/>
        <v>29</v>
      </c>
      <c r="D346">
        <f t="shared" si="166"/>
        <v>7</v>
      </c>
      <c r="E346" s="5">
        <f t="shared" ca="1" si="146"/>
        <v>9.0989999999999994E-3</v>
      </c>
      <c r="F346" s="5">
        <f t="shared" ca="1" si="147"/>
        <v>8.6999999999999994E-3</v>
      </c>
      <c r="G346" s="5">
        <f t="shared" ca="1" si="148"/>
        <v>1.2234999999999999E-2</v>
      </c>
      <c r="H346" s="5">
        <f t="shared" ca="1" si="149"/>
        <v>1.0591E-2</v>
      </c>
      <c r="I346" s="5">
        <f t="shared" ca="1" si="150"/>
        <v>1.2579999999999999E-2</v>
      </c>
      <c r="J346" s="5">
        <f t="shared" ca="1" si="151"/>
        <v>1.4707E-2</v>
      </c>
      <c r="K346" s="5">
        <f t="shared" ca="1" si="152"/>
        <v>1.78E-2</v>
      </c>
      <c r="L346" s="5">
        <f t="shared" ca="1" si="153"/>
        <v>1.9529000000000001E-2</v>
      </c>
      <c r="M346" s="5">
        <f t="shared" ca="1" si="154"/>
        <v>2.1448999999999999E-2</v>
      </c>
      <c r="N346" s="5">
        <f t="shared" ca="1" si="155"/>
        <v>2.5006E-2</v>
      </c>
      <c r="O346" s="5">
        <f t="shared" ca="1" si="156"/>
        <v>3.0557999999999998E-2</v>
      </c>
      <c r="P346" s="8">
        <f t="shared" ca="1" si="157"/>
        <v>995.39574811692762</v>
      </c>
      <c r="Q346" s="8">
        <f t="shared" ca="1" si="158"/>
        <v>4088.2841863516751</v>
      </c>
      <c r="R346" s="8">
        <f t="shared" ca="1" si="159"/>
        <v>2021.5326675548442</v>
      </c>
      <c r="S346" s="5">
        <f t="shared" ca="1" si="160"/>
        <v>-3.0639266787919985E-2</v>
      </c>
      <c r="T346">
        <f t="shared" ca="1" si="161"/>
        <v>6.5416458609054318E-2</v>
      </c>
      <c r="U346" s="5">
        <f t="shared" ca="1" si="162"/>
        <v>-3.293735434482261E-2</v>
      </c>
    </row>
    <row r="347" spans="2:21" x14ac:dyDescent="0.25">
      <c r="B347">
        <f t="shared" si="145"/>
        <v>344</v>
      </c>
      <c r="C347">
        <f t="shared" si="165"/>
        <v>29</v>
      </c>
      <c r="D347">
        <f t="shared" si="166"/>
        <v>8</v>
      </c>
      <c r="E347" s="5">
        <f t="shared" ca="1" si="146"/>
        <v>9.1420000000000008E-3</v>
      </c>
      <c r="F347" s="5">
        <f t="shared" ca="1" si="147"/>
        <v>8.7799999999999996E-3</v>
      </c>
      <c r="G347" s="5">
        <f t="shared" ca="1" si="148"/>
        <v>1.2300999999999999E-2</v>
      </c>
      <c r="H347" s="5">
        <f t="shared" ca="1" si="149"/>
        <v>1.0645E-2</v>
      </c>
      <c r="I347" s="5">
        <f t="shared" ca="1" si="150"/>
        <v>1.26E-2</v>
      </c>
      <c r="J347" s="5">
        <f t="shared" ca="1" si="151"/>
        <v>1.47E-2</v>
      </c>
      <c r="K347" s="5">
        <f t="shared" ca="1" si="152"/>
        <v>1.7742000000000001E-2</v>
      </c>
      <c r="L347" s="5">
        <f t="shared" ca="1" si="153"/>
        <v>1.9554999999999999E-2</v>
      </c>
      <c r="M347" s="5">
        <f t="shared" ca="1" si="154"/>
        <v>2.1493999999999999E-2</v>
      </c>
      <c r="N347" s="5">
        <f t="shared" ca="1" si="155"/>
        <v>2.5089E-2</v>
      </c>
      <c r="O347" s="5">
        <f t="shared" ca="1" si="156"/>
        <v>3.0596000000000002E-2</v>
      </c>
      <c r="P347" s="8">
        <f t="shared" ca="1" si="157"/>
        <v>991.46988139350594</v>
      </c>
      <c r="Q347" s="8">
        <f t="shared" ca="1" si="158"/>
        <v>4107.4254283663267</v>
      </c>
      <c r="R347" s="8">
        <f t="shared" ca="1" si="159"/>
        <v>2015.9950122613634</v>
      </c>
      <c r="S347" s="5">
        <f t="shared" ca="1" si="160"/>
        <v>-4.6315037758333649E-2</v>
      </c>
      <c r="T347">
        <f t="shared" ca="1" si="161"/>
        <v>5.7653290431355732E-2</v>
      </c>
      <c r="U347" s="5">
        <f t="shared" ca="1" si="162"/>
        <v>-3.2381254020376588E-2</v>
      </c>
    </row>
    <row r="348" spans="2:21" x14ac:dyDescent="0.25">
      <c r="B348">
        <f t="shared" si="145"/>
        <v>345</v>
      </c>
      <c r="C348">
        <f t="shared" si="165"/>
        <v>29</v>
      </c>
      <c r="D348">
        <f t="shared" si="166"/>
        <v>9</v>
      </c>
      <c r="E348" s="5">
        <f t="shared" ca="1" si="146"/>
        <v>9.0910000000000001E-3</v>
      </c>
      <c r="F348" s="5">
        <f t="shared" ca="1" si="147"/>
        <v>8.6949999999999996E-3</v>
      </c>
      <c r="G348" s="5">
        <f t="shared" ca="1" si="148"/>
        <v>1.2336E-2</v>
      </c>
      <c r="H348" s="5">
        <f t="shared" ca="1" si="149"/>
        <v>1.0656000000000001E-2</v>
      </c>
      <c r="I348" s="5">
        <f t="shared" ca="1" si="150"/>
        <v>1.2619999999999999E-2</v>
      </c>
      <c r="J348" s="5">
        <f t="shared" ca="1" si="151"/>
        <v>1.4793000000000001E-2</v>
      </c>
      <c r="K348" s="5">
        <f t="shared" ca="1" si="152"/>
        <v>1.7662000000000001E-2</v>
      </c>
      <c r="L348" s="5">
        <f t="shared" ca="1" si="153"/>
        <v>1.9550999999999999E-2</v>
      </c>
      <c r="M348" s="5">
        <f t="shared" ca="1" si="154"/>
        <v>2.1486000000000002E-2</v>
      </c>
      <c r="N348" s="5">
        <f t="shared" ca="1" si="155"/>
        <v>2.5151E-2</v>
      </c>
      <c r="O348" s="5">
        <f t="shared" ca="1" si="156"/>
        <v>3.0505999999999998E-2</v>
      </c>
      <c r="P348" s="8">
        <f t="shared" ca="1" si="157"/>
        <v>990.27825308105218</v>
      </c>
      <c r="Q348" s="8">
        <f t="shared" ca="1" si="158"/>
        <v>4121.7920597882649</v>
      </c>
      <c r="R348" s="8">
        <f t="shared" ca="1" si="159"/>
        <v>2010.6518833838682</v>
      </c>
      <c r="S348" s="5">
        <f t="shared" ca="1" si="160"/>
        <v>-1.4327608762813006E-2</v>
      </c>
      <c r="T348">
        <f t="shared" ca="1" si="161"/>
        <v>4.2789597887273552E-2</v>
      </c>
      <c r="U348" s="5">
        <f t="shared" ca="1" si="162"/>
        <v>-3.1344874973863512E-2</v>
      </c>
    </row>
    <row r="349" spans="2:21" x14ac:dyDescent="0.25">
      <c r="B349">
        <f t="shared" si="145"/>
        <v>346</v>
      </c>
      <c r="C349">
        <f t="shared" si="165"/>
        <v>29</v>
      </c>
      <c r="D349">
        <f t="shared" si="166"/>
        <v>10</v>
      </c>
      <c r="E349" s="5">
        <f t="shared" ca="1" si="146"/>
        <v>9.1669999999999998E-3</v>
      </c>
      <c r="F349" s="5">
        <f t="shared" ca="1" si="147"/>
        <v>8.7720000000000003E-3</v>
      </c>
      <c r="G349" s="5">
        <f t="shared" ca="1" si="148"/>
        <v>1.2269E-2</v>
      </c>
      <c r="H349" s="5">
        <f t="shared" ca="1" si="149"/>
        <v>1.0614999999999999E-2</v>
      </c>
      <c r="I349" s="5">
        <f t="shared" ca="1" si="150"/>
        <v>1.2643E-2</v>
      </c>
      <c r="J349" s="5">
        <f t="shared" ca="1" si="151"/>
        <v>1.4763E-2</v>
      </c>
      <c r="K349" s="5">
        <f t="shared" ca="1" si="152"/>
        <v>1.7691999999999999E-2</v>
      </c>
      <c r="L349" s="5">
        <f t="shared" ca="1" si="153"/>
        <v>1.9640000000000001E-2</v>
      </c>
      <c r="M349" s="5">
        <f t="shared" ca="1" si="154"/>
        <v>2.1481E-2</v>
      </c>
      <c r="N349" s="5">
        <f t="shared" ca="1" si="155"/>
        <v>2.5055000000000001E-2</v>
      </c>
      <c r="O349" s="5">
        <f t="shared" ca="1" si="156"/>
        <v>3.0595000000000001E-2</v>
      </c>
      <c r="P349" s="8">
        <f t="shared" ca="1" si="157"/>
        <v>991.62996360951342</v>
      </c>
      <c r="Q349" s="8">
        <f t="shared" ca="1" si="158"/>
        <v>4143.3713914601858</v>
      </c>
      <c r="R349" s="8">
        <f t="shared" ca="1" si="159"/>
        <v>2005.5281703848359</v>
      </c>
      <c r="S349" s="5">
        <f t="shared" ca="1" si="160"/>
        <v>1.6503296849339936E-2</v>
      </c>
      <c r="T349">
        <f t="shared" ca="1" si="161"/>
        <v>6.466607915864013E-2</v>
      </c>
      <c r="U349" s="5">
        <f t="shared" ca="1" si="162"/>
        <v>-3.0154445823693775E-2</v>
      </c>
    </row>
    <row r="350" spans="2:21" x14ac:dyDescent="0.25">
      <c r="B350">
        <f t="shared" si="145"/>
        <v>347</v>
      </c>
      <c r="C350">
        <f t="shared" si="165"/>
        <v>29</v>
      </c>
      <c r="D350">
        <f t="shared" si="166"/>
        <v>11</v>
      </c>
      <c r="E350" s="5">
        <f t="shared" ca="1" si="146"/>
        <v>9.1629999999999993E-3</v>
      </c>
      <c r="F350" s="5">
        <f t="shared" ca="1" si="147"/>
        <v>8.737E-3</v>
      </c>
      <c r="G350" s="5">
        <f t="shared" ca="1" si="148"/>
        <v>1.23E-2</v>
      </c>
      <c r="H350" s="5">
        <f t="shared" ca="1" si="149"/>
        <v>1.0605E-2</v>
      </c>
      <c r="I350" s="5">
        <f t="shared" ca="1" si="150"/>
        <v>1.2576E-2</v>
      </c>
      <c r="J350" s="5">
        <f t="shared" ca="1" si="151"/>
        <v>1.4853999999999999E-2</v>
      </c>
      <c r="K350" s="5">
        <f t="shared" ca="1" si="152"/>
        <v>1.7665E-2</v>
      </c>
      <c r="L350" s="5">
        <f t="shared" ca="1" si="153"/>
        <v>1.9563000000000001E-2</v>
      </c>
      <c r="M350" s="5">
        <f t="shared" ca="1" si="154"/>
        <v>2.1409999999999998E-2</v>
      </c>
      <c r="N350" s="5">
        <f t="shared" ca="1" si="155"/>
        <v>2.5062000000000001E-2</v>
      </c>
      <c r="O350" s="5">
        <f t="shared" ca="1" si="156"/>
        <v>3.0519999999999999E-2</v>
      </c>
      <c r="P350" s="8">
        <f t="shared" ca="1" si="157"/>
        <v>991.62188499112835</v>
      </c>
      <c r="Q350" s="8">
        <f t="shared" ca="1" si="158"/>
        <v>4165.9194053399406</v>
      </c>
      <c r="R350" s="8">
        <f t="shared" ca="1" si="159"/>
        <v>2000.4333629474165</v>
      </c>
      <c r="S350" s="5">
        <f t="shared" ca="1" si="160"/>
        <v>-9.7757309187225267E-5</v>
      </c>
      <c r="T350">
        <f t="shared" ca="1" si="161"/>
        <v>6.7293853122902175E-2</v>
      </c>
      <c r="U350" s="5">
        <f t="shared" ca="1" si="162"/>
        <v>-3.0062235240543168E-2</v>
      </c>
    </row>
    <row r="351" spans="2:21" x14ac:dyDescent="0.25">
      <c r="B351">
        <f t="shared" si="145"/>
        <v>348</v>
      </c>
      <c r="C351">
        <f t="shared" si="165"/>
        <v>29</v>
      </c>
      <c r="D351">
        <f t="shared" si="166"/>
        <v>12</v>
      </c>
      <c r="E351" s="5">
        <f t="shared" ca="1" si="146"/>
        <v>9.1929999999999998E-3</v>
      </c>
      <c r="F351" s="5">
        <f t="shared" ca="1" si="147"/>
        <v>8.7829999999999991E-3</v>
      </c>
      <c r="G351" s="5">
        <f t="shared" ca="1" si="148"/>
        <v>1.2304000000000001E-2</v>
      </c>
      <c r="H351" s="5">
        <f t="shared" ca="1" si="149"/>
        <v>1.0581E-2</v>
      </c>
      <c r="I351" s="5">
        <f t="shared" ca="1" si="150"/>
        <v>1.2573000000000001E-2</v>
      </c>
      <c r="J351" s="5">
        <f t="shared" ca="1" si="151"/>
        <v>1.4756E-2</v>
      </c>
      <c r="K351" s="5">
        <f t="shared" ca="1" si="152"/>
        <v>1.7718999999999999E-2</v>
      </c>
      <c r="L351" s="5">
        <f t="shared" ca="1" si="153"/>
        <v>1.9529999999999999E-2</v>
      </c>
      <c r="M351" s="5">
        <f t="shared" ca="1" si="154"/>
        <v>2.145E-2</v>
      </c>
      <c r="N351" s="5">
        <f t="shared" ca="1" si="155"/>
        <v>2.5021000000000002E-2</v>
      </c>
      <c r="O351" s="5">
        <f t="shared" ca="1" si="156"/>
        <v>3.0504E-2</v>
      </c>
      <c r="P351" s="8">
        <f t="shared" ca="1" si="157"/>
        <v>990.05064834546238</v>
      </c>
      <c r="Q351" s="8">
        <f t="shared" ca="1" si="158"/>
        <v>4185.7923489562891</v>
      </c>
      <c r="R351" s="8">
        <f t="shared" ca="1" si="159"/>
        <v>1995.4536840592791</v>
      </c>
      <c r="S351" s="5">
        <f t="shared" ca="1" si="160"/>
        <v>-1.8849309772575425E-2</v>
      </c>
      <c r="T351">
        <f t="shared" ca="1" si="161"/>
        <v>5.8770403941926751E-2</v>
      </c>
      <c r="U351" s="5">
        <f t="shared" ca="1" si="162"/>
        <v>-2.9465998750516306E-2</v>
      </c>
    </row>
    <row r="352" spans="2:21" x14ac:dyDescent="0.25">
      <c r="B352">
        <f t="shared" si="145"/>
        <v>349</v>
      </c>
      <c r="C352">
        <f>C351+1</f>
        <v>30</v>
      </c>
      <c r="D352">
        <v>1</v>
      </c>
      <c r="E352" s="5">
        <f t="shared" ca="1" si="146"/>
        <v>9.195E-3</v>
      </c>
      <c r="F352" s="5">
        <f t="shared" ca="1" si="147"/>
        <v>8.8020000000000008E-3</v>
      </c>
      <c r="G352" s="5">
        <f t="shared" ca="1" si="148"/>
        <v>1.2297000000000001E-2</v>
      </c>
      <c r="H352" s="5">
        <f t="shared" ca="1" si="149"/>
        <v>1.0606000000000001E-2</v>
      </c>
      <c r="I352" s="5">
        <f t="shared" ca="1" si="150"/>
        <v>1.2631E-2</v>
      </c>
      <c r="J352" s="5">
        <f t="shared" ca="1" si="151"/>
        <v>1.4801999999999999E-2</v>
      </c>
      <c r="K352" s="5">
        <f t="shared" ca="1" si="152"/>
        <v>1.7731E-2</v>
      </c>
      <c r="L352" s="5">
        <f t="shared" ca="1" si="153"/>
        <v>1.9481999999999999E-2</v>
      </c>
      <c r="M352" s="5">
        <f t="shared" ca="1" si="154"/>
        <v>2.1356E-2</v>
      </c>
      <c r="N352" s="5">
        <f t="shared" ca="1" si="155"/>
        <v>2.4945999999999999E-2</v>
      </c>
      <c r="O352" s="5">
        <f t="shared" ca="1" si="156"/>
        <v>3.0439999999999998E-2</v>
      </c>
      <c r="P352" s="8">
        <f t="shared" ca="1" si="157"/>
        <v>991.45488528171484</v>
      </c>
      <c r="Q352" s="8">
        <f t="shared" ca="1" si="158"/>
        <v>4197.332981233907</v>
      </c>
      <c r="R352" s="8">
        <f t="shared" ca="1" si="159"/>
        <v>1990.697705611384</v>
      </c>
      <c r="S352" s="5">
        <f t="shared" ca="1" si="160"/>
        <v>1.7153585795898724E-2</v>
      </c>
      <c r="T352">
        <f t="shared" ca="1" si="161"/>
        <v>3.3591498487192555E-2</v>
      </c>
      <c r="U352" s="5">
        <f t="shared" ca="1" si="162"/>
        <v>-2.822892620401703E-2</v>
      </c>
    </row>
    <row r="353" spans="2:21" x14ac:dyDescent="0.25">
      <c r="B353">
        <f t="shared" si="145"/>
        <v>350</v>
      </c>
      <c r="C353">
        <f>C352</f>
        <v>30</v>
      </c>
      <c r="D353">
        <v>2</v>
      </c>
      <c r="E353" s="5">
        <f t="shared" ca="1" si="146"/>
        <v>9.2010000000000008E-3</v>
      </c>
      <c r="F353" s="5">
        <f t="shared" ca="1" si="147"/>
        <v>8.8660000000000006E-3</v>
      </c>
      <c r="G353" s="5">
        <f t="shared" ca="1" si="148"/>
        <v>1.2355E-2</v>
      </c>
      <c r="H353" s="5">
        <f t="shared" ca="1" si="149"/>
        <v>1.0689000000000001E-2</v>
      </c>
      <c r="I353" s="5">
        <f t="shared" ca="1" si="150"/>
        <v>1.2642E-2</v>
      </c>
      <c r="J353" s="5">
        <f t="shared" ca="1" si="151"/>
        <v>1.4746E-2</v>
      </c>
      <c r="K353" s="5">
        <f t="shared" ca="1" si="152"/>
        <v>1.7745E-2</v>
      </c>
      <c r="L353" s="5">
        <f t="shared" ca="1" si="153"/>
        <v>1.9567000000000001E-2</v>
      </c>
      <c r="M353" s="5">
        <f t="shared" ca="1" si="154"/>
        <v>2.1281000000000001E-2</v>
      </c>
      <c r="N353" s="5">
        <f t="shared" ca="1" si="155"/>
        <v>2.5026E-2</v>
      </c>
      <c r="O353" s="5">
        <f t="shared" ca="1" si="156"/>
        <v>3.0452E-2</v>
      </c>
      <c r="P353" s="8">
        <f t="shared" ca="1" si="157"/>
        <v>995.0042391179112</v>
      </c>
      <c r="Q353" s="8">
        <f t="shared" ca="1" si="158"/>
        <v>4211.5575920444162</v>
      </c>
      <c r="R353" s="8">
        <f t="shared" ca="1" si="159"/>
        <v>1986.6693554687572</v>
      </c>
      <c r="S353" s="5">
        <f t="shared" ca="1" si="160"/>
        <v>4.3815370362636739E-2</v>
      </c>
      <c r="T353">
        <f t="shared" ca="1" si="161"/>
        <v>4.1434212992600486E-2</v>
      </c>
      <c r="U353" s="5">
        <f t="shared" ca="1" si="162"/>
        <v>-2.4014595899177815E-2</v>
      </c>
    </row>
    <row r="354" spans="2:21" x14ac:dyDescent="0.25">
      <c r="B354">
        <f t="shared" si="145"/>
        <v>351</v>
      </c>
      <c r="C354">
        <f t="shared" ref="C354:C363" si="167">C353</f>
        <v>30</v>
      </c>
      <c r="D354">
        <v>3</v>
      </c>
      <c r="E354" s="5">
        <f t="shared" ca="1" si="146"/>
        <v>9.1190000000000004E-3</v>
      </c>
      <c r="F354" s="5">
        <f t="shared" ca="1" si="147"/>
        <v>8.7910000000000002E-3</v>
      </c>
      <c r="G354" s="5">
        <f t="shared" ca="1" si="148"/>
        <v>1.2309E-2</v>
      </c>
      <c r="H354" s="5">
        <f t="shared" ca="1" si="149"/>
        <v>1.0768E-2</v>
      </c>
      <c r="I354" s="5">
        <f t="shared" ca="1" si="150"/>
        <v>1.2565E-2</v>
      </c>
      <c r="J354" s="5">
        <f t="shared" ca="1" si="151"/>
        <v>1.4773E-2</v>
      </c>
      <c r="K354" s="5">
        <f t="shared" ca="1" si="152"/>
        <v>1.7798999999999999E-2</v>
      </c>
      <c r="L354" s="5">
        <f t="shared" ca="1" si="153"/>
        <v>1.9658999999999999E-2</v>
      </c>
      <c r="M354" s="5">
        <f t="shared" ca="1" si="154"/>
        <v>2.1197000000000001E-2</v>
      </c>
      <c r="N354" s="5">
        <f t="shared" ca="1" si="155"/>
        <v>2.5041000000000001E-2</v>
      </c>
      <c r="O354" s="5">
        <f t="shared" ca="1" si="156"/>
        <v>3.0499999999999999E-2</v>
      </c>
      <c r="P354" s="8">
        <f t="shared" ca="1" si="157"/>
        <v>993.9992792300942</v>
      </c>
      <c r="Q354" s="8">
        <f t="shared" ca="1" si="158"/>
        <v>4225.0101206985773</v>
      </c>
      <c r="R354" s="8">
        <f t="shared" ca="1" si="159"/>
        <v>1982.6873693864943</v>
      </c>
      <c r="S354" s="5">
        <f t="shared" ca="1" si="160"/>
        <v>-1.2052966418022792E-2</v>
      </c>
      <c r="T354">
        <f t="shared" ca="1" si="161"/>
        <v>3.9010929507899354E-2</v>
      </c>
      <c r="U354" s="5">
        <f t="shared" ca="1" si="162"/>
        <v>-2.3788845563439139E-2</v>
      </c>
    </row>
    <row r="355" spans="2:21" x14ac:dyDescent="0.25">
      <c r="B355">
        <f t="shared" si="145"/>
        <v>352</v>
      </c>
      <c r="C355">
        <f t="shared" si="167"/>
        <v>30</v>
      </c>
      <c r="D355">
        <f>D354+1</f>
        <v>4</v>
      </c>
      <c r="E355" s="5">
        <f t="shared" ca="1" si="146"/>
        <v>9.2099999999999994E-3</v>
      </c>
      <c r="F355" s="5">
        <f t="shared" ca="1" si="147"/>
        <v>8.8690000000000001E-3</v>
      </c>
      <c r="G355" s="5">
        <f t="shared" ca="1" si="148"/>
        <v>1.2263E-2</v>
      </c>
      <c r="H355" s="5">
        <f t="shared" ca="1" si="149"/>
        <v>1.0678E-2</v>
      </c>
      <c r="I355" s="5">
        <f t="shared" ca="1" si="150"/>
        <v>1.2551E-2</v>
      </c>
      <c r="J355" s="5">
        <f t="shared" ca="1" si="151"/>
        <v>1.4696000000000001E-2</v>
      </c>
      <c r="K355" s="5">
        <f t="shared" ca="1" si="152"/>
        <v>1.7843999999999999E-2</v>
      </c>
      <c r="L355" s="5">
        <f t="shared" ca="1" si="153"/>
        <v>1.9685000000000001E-2</v>
      </c>
      <c r="M355" s="5">
        <f t="shared" ca="1" si="154"/>
        <v>2.1243999999999999E-2</v>
      </c>
      <c r="N355" s="5">
        <f t="shared" ca="1" si="155"/>
        <v>2.5097000000000001E-2</v>
      </c>
      <c r="O355" s="5">
        <f t="shared" ca="1" si="156"/>
        <v>3.0466E-2</v>
      </c>
      <c r="P355" s="8">
        <f t="shared" ca="1" si="157"/>
        <v>996.33553601426718</v>
      </c>
      <c r="Q355" s="8">
        <f t="shared" ca="1" si="158"/>
        <v>4247.7211900632365</v>
      </c>
      <c r="R355" s="8">
        <f t="shared" ca="1" si="159"/>
        <v>1978.1703663416486</v>
      </c>
      <c r="S355" s="5">
        <f t="shared" ca="1" si="160"/>
        <v>2.8571796194830183E-2</v>
      </c>
      <c r="T355">
        <f t="shared" ca="1" si="161"/>
        <v>6.6446301960157078E-2</v>
      </c>
      <c r="U355" s="5">
        <f t="shared" ca="1" si="162"/>
        <v>-2.6998698895028341E-2</v>
      </c>
    </row>
    <row r="356" spans="2:21" x14ac:dyDescent="0.25">
      <c r="B356">
        <f t="shared" si="145"/>
        <v>353</v>
      </c>
      <c r="C356">
        <f t="shared" si="167"/>
        <v>30</v>
      </c>
      <c r="D356">
        <f t="shared" ref="D356:D363" si="168">D355+1</f>
        <v>5</v>
      </c>
      <c r="E356" s="5">
        <f t="shared" ca="1" si="146"/>
        <v>9.2549999999999993E-3</v>
      </c>
      <c r="F356" s="5">
        <f t="shared" ca="1" si="147"/>
        <v>8.8509999999999995E-3</v>
      </c>
      <c r="G356" s="5">
        <f t="shared" ca="1" si="148"/>
        <v>1.2281E-2</v>
      </c>
      <c r="H356" s="5">
        <f t="shared" ca="1" si="149"/>
        <v>1.0638E-2</v>
      </c>
      <c r="I356" s="5">
        <f t="shared" ca="1" si="150"/>
        <v>1.251E-2</v>
      </c>
      <c r="J356" s="5">
        <f t="shared" ca="1" si="151"/>
        <v>1.4661E-2</v>
      </c>
      <c r="K356" s="5">
        <f t="shared" ca="1" si="152"/>
        <v>1.7752E-2</v>
      </c>
      <c r="L356" s="5">
        <f t="shared" ca="1" si="153"/>
        <v>1.9647999999999999E-2</v>
      </c>
      <c r="M356" s="5">
        <f t="shared" ca="1" si="154"/>
        <v>2.1177000000000001E-2</v>
      </c>
      <c r="N356" s="5">
        <f t="shared" ca="1" si="155"/>
        <v>2.5125000000000001E-2</v>
      </c>
      <c r="O356" s="5">
        <f t="shared" ca="1" si="156"/>
        <v>3.0447999999999999E-2</v>
      </c>
      <c r="P356" s="8">
        <f t="shared" ca="1" si="157"/>
        <v>996.90716341726522</v>
      </c>
      <c r="Q356" s="8">
        <f t="shared" ca="1" si="158"/>
        <v>4268.4858046603877</v>
      </c>
      <c r="R356" s="8">
        <f t="shared" ca="1" si="159"/>
        <v>1972.827807312229</v>
      </c>
      <c r="S356" s="5">
        <f t="shared" ca="1" si="160"/>
        <v>6.906524333569173E-3</v>
      </c>
      <c r="T356">
        <f t="shared" ca="1" si="161"/>
        <v>6.0264112231320367E-2</v>
      </c>
      <c r="U356" s="5">
        <f t="shared" ca="1" si="162"/>
        <v>-3.1931991065532538E-2</v>
      </c>
    </row>
    <row r="357" spans="2:21" x14ac:dyDescent="0.25">
      <c r="B357">
        <f t="shared" si="145"/>
        <v>354</v>
      </c>
      <c r="C357">
        <f t="shared" si="167"/>
        <v>30</v>
      </c>
      <c r="D357">
        <f t="shared" si="168"/>
        <v>6</v>
      </c>
      <c r="E357" s="5">
        <f t="shared" ca="1" si="146"/>
        <v>9.2530000000000008E-3</v>
      </c>
      <c r="F357" s="5">
        <f t="shared" ca="1" si="147"/>
        <v>8.77E-3</v>
      </c>
      <c r="G357" s="5">
        <f t="shared" ca="1" si="148"/>
        <v>1.2352999999999999E-2</v>
      </c>
      <c r="H357" s="5">
        <f t="shared" ca="1" si="149"/>
        <v>1.0588999999999999E-2</v>
      </c>
      <c r="I357" s="5">
        <f t="shared" ca="1" si="150"/>
        <v>1.2426E-2</v>
      </c>
      <c r="J357" s="5">
        <f t="shared" ca="1" si="151"/>
        <v>1.4624E-2</v>
      </c>
      <c r="K357" s="5">
        <f t="shared" ca="1" si="152"/>
        <v>1.7845E-2</v>
      </c>
      <c r="L357" s="5">
        <f t="shared" ca="1" si="153"/>
        <v>1.9611E-2</v>
      </c>
      <c r="M357" s="5">
        <f t="shared" ca="1" si="154"/>
        <v>2.1080000000000002E-2</v>
      </c>
      <c r="N357" s="5">
        <f t="shared" ca="1" si="155"/>
        <v>2.5196E-2</v>
      </c>
      <c r="O357" s="5">
        <f t="shared" ca="1" si="156"/>
        <v>3.0436999999999999E-2</v>
      </c>
      <c r="P357" s="8">
        <f t="shared" ca="1" si="157"/>
        <v>999.90156956958197</v>
      </c>
      <c r="Q357" s="8">
        <f t="shared" ca="1" si="158"/>
        <v>4284.9281047139657</v>
      </c>
      <c r="R357" s="8">
        <f t="shared" ca="1" si="159"/>
        <v>1967.3220303143787</v>
      </c>
      <c r="S357" s="5">
        <f t="shared" ca="1" si="160"/>
        <v>3.6645820145525976E-2</v>
      </c>
      <c r="T357">
        <f t="shared" ca="1" si="161"/>
        <v>4.721625751802748E-2</v>
      </c>
      <c r="U357" s="5">
        <f t="shared" ca="1" si="162"/>
        <v>-3.2980360821717278E-2</v>
      </c>
    </row>
    <row r="358" spans="2:21" x14ac:dyDescent="0.25">
      <c r="B358">
        <f t="shared" si="145"/>
        <v>355</v>
      </c>
      <c r="C358">
        <f t="shared" si="167"/>
        <v>30</v>
      </c>
      <c r="D358">
        <f t="shared" si="168"/>
        <v>7</v>
      </c>
      <c r="E358" s="5">
        <f t="shared" ca="1" si="146"/>
        <v>9.2879999999999994E-3</v>
      </c>
      <c r="F358" s="5">
        <f t="shared" ca="1" si="147"/>
        <v>8.8129999999999997E-3</v>
      </c>
      <c r="G358" s="5">
        <f t="shared" ca="1" si="148"/>
        <v>1.2411E-2</v>
      </c>
      <c r="H358" s="5">
        <f t="shared" ca="1" si="149"/>
        <v>1.0514000000000001E-2</v>
      </c>
      <c r="I358" s="5">
        <f t="shared" ca="1" si="150"/>
        <v>1.2418E-2</v>
      </c>
      <c r="J358" s="5">
        <f t="shared" ca="1" si="151"/>
        <v>1.4571000000000001E-2</v>
      </c>
      <c r="K358" s="5">
        <f t="shared" ca="1" si="152"/>
        <v>1.7826000000000002E-2</v>
      </c>
      <c r="L358" s="5">
        <f t="shared" ca="1" si="153"/>
        <v>1.968E-2</v>
      </c>
      <c r="M358" s="5">
        <f t="shared" ca="1" si="154"/>
        <v>2.0982000000000001E-2</v>
      </c>
      <c r="N358" s="5">
        <f t="shared" ca="1" si="155"/>
        <v>2.5284000000000001E-2</v>
      </c>
      <c r="O358" s="5">
        <f t="shared" ca="1" si="156"/>
        <v>3.0484000000000001E-2</v>
      </c>
      <c r="P358" s="8">
        <f t="shared" ca="1" si="157"/>
        <v>1003.3897930977865</v>
      </c>
      <c r="Q358" s="8">
        <f t="shared" ca="1" si="158"/>
        <v>4298.0595709925283</v>
      </c>
      <c r="R358" s="8">
        <f t="shared" ca="1" si="159"/>
        <v>1961.4571451756124</v>
      </c>
      <c r="S358" s="5">
        <f t="shared" ca="1" si="160"/>
        <v>4.2675443542587649E-2</v>
      </c>
      <c r="T358">
        <f t="shared" ca="1" si="161"/>
        <v>3.7401072667204042E-2</v>
      </c>
      <c r="U358" s="5">
        <f t="shared" ca="1" si="162"/>
        <v>-3.5193049080595527E-2</v>
      </c>
    </row>
    <row r="359" spans="2:21" x14ac:dyDescent="0.25">
      <c r="B359">
        <f t="shared" si="145"/>
        <v>356</v>
      </c>
      <c r="C359">
        <f t="shared" si="167"/>
        <v>30</v>
      </c>
      <c r="D359">
        <f t="shared" si="168"/>
        <v>8</v>
      </c>
      <c r="E359" s="5">
        <f t="shared" ca="1" si="146"/>
        <v>9.384E-3</v>
      </c>
      <c r="F359" s="5">
        <f t="shared" ca="1" si="147"/>
        <v>8.7740000000000005E-3</v>
      </c>
      <c r="G359" s="5">
        <f t="shared" ca="1" si="148"/>
        <v>1.2492E-2</v>
      </c>
      <c r="H359" s="5">
        <f t="shared" ca="1" si="149"/>
        <v>1.0447E-2</v>
      </c>
      <c r="I359" s="5">
        <f t="shared" ca="1" si="150"/>
        <v>1.2337000000000001E-2</v>
      </c>
      <c r="J359" s="5">
        <f t="shared" ca="1" si="151"/>
        <v>1.453E-2</v>
      </c>
      <c r="K359" s="5">
        <f t="shared" ca="1" si="152"/>
        <v>1.7885000000000002E-2</v>
      </c>
      <c r="L359" s="5">
        <f t="shared" ca="1" si="153"/>
        <v>1.9764E-2</v>
      </c>
      <c r="M359" s="5">
        <f t="shared" ca="1" si="154"/>
        <v>2.0906000000000001E-2</v>
      </c>
      <c r="N359" s="5">
        <f t="shared" ca="1" si="155"/>
        <v>2.5271999999999999E-2</v>
      </c>
      <c r="O359" s="5">
        <f t="shared" ca="1" si="156"/>
        <v>3.0401000000000001E-2</v>
      </c>
      <c r="P359" s="8">
        <f t="shared" ca="1" si="157"/>
        <v>1006.0676939646294</v>
      </c>
      <c r="Q359" s="8">
        <f t="shared" ca="1" si="158"/>
        <v>4310.8087306403258</v>
      </c>
      <c r="R359" s="8">
        <f t="shared" ca="1" si="159"/>
        <v>1956.2120135373934</v>
      </c>
      <c r="S359" s="5">
        <f t="shared" ca="1" si="160"/>
        <v>3.2500558986460128E-2</v>
      </c>
      <c r="T359">
        <f t="shared" ca="1" si="161"/>
        <v>3.6181607114767284E-2</v>
      </c>
      <c r="U359" s="5">
        <f t="shared" ca="1" si="162"/>
        <v>-3.1621422691772656E-2</v>
      </c>
    </row>
    <row r="360" spans="2:21" x14ac:dyDescent="0.25">
      <c r="B360">
        <f t="shared" si="145"/>
        <v>357</v>
      </c>
      <c r="C360">
        <f t="shared" si="167"/>
        <v>30</v>
      </c>
      <c r="D360">
        <f t="shared" si="168"/>
        <v>9</v>
      </c>
      <c r="E360" s="5">
        <f t="shared" ca="1" si="146"/>
        <v>9.3310000000000008E-3</v>
      </c>
      <c r="F360" s="5">
        <f t="shared" ca="1" si="147"/>
        <v>8.7159999999999998E-3</v>
      </c>
      <c r="G360" s="5">
        <f t="shared" ca="1" si="148"/>
        <v>1.2529999999999999E-2</v>
      </c>
      <c r="H360" s="5">
        <f t="shared" ca="1" si="149"/>
        <v>1.0488000000000001E-2</v>
      </c>
      <c r="I360" s="5">
        <f t="shared" ca="1" si="150"/>
        <v>1.2262E-2</v>
      </c>
      <c r="J360" s="5">
        <f t="shared" ca="1" si="151"/>
        <v>1.4619E-2</v>
      </c>
      <c r="K360" s="5">
        <f t="shared" ca="1" si="152"/>
        <v>1.7947999999999999E-2</v>
      </c>
      <c r="L360" s="5">
        <f t="shared" ca="1" si="153"/>
        <v>1.9779999999999999E-2</v>
      </c>
      <c r="M360" s="5">
        <f t="shared" ca="1" si="154"/>
        <v>2.095E-2</v>
      </c>
      <c r="N360" s="5">
        <f t="shared" ca="1" si="155"/>
        <v>2.5184000000000002E-2</v>
      </c>
      <c r="O360" s="5">
        <f t="shared" ca="1" si="156"/>
        <v>3.0424E-2</v>
      </c>
      <c r="P360" s="8">
        <f t="shared" ca="1" si="157"/>
        <v>1007.5821934286263</v>
      </c>
      <c r="Q360" s="8">
        <f t="shared" ca="1" si="158"/>
        <v>4335.1288096825856</v>
      </c>
      <c r="R360" s="8">
        <f t="shared" ca="1" si="159"/>
        <v>1950.4069846248747</v>
      </c>
      <c r="S360" s="5">
        <f t="shared" ca="1" si="160"/>
        <v>1.8214701698661691E-2</v>
      </c>
      <c r="T360">
        <f t="shared" ca="1" si="161"/>
        <v>6.9840486892414594E-2</v>
      </c>
      <c r="U360" s="5">
        <f t="shared" ca="1" si="162"/>
        <v>-3.503433159609718E-2</v>
      </c>
    </row>
    <row r="361" spans="2:21" x14ac:dyDescent="0.25">
      <c r="B361">
        <f t="shared" si="145"/>
        <v>358</v>
      </c>
      <c r="C361">
        <f t="shared" si="167"/>
        <v>30</v>
      </c>
      <c r="D361">
        <f t="shared" si="168"/>
        <v>10</v>
      </c>
      <c r="E361" s="5">
        <f t="shared" ca="1" si="146"/>
        <v>9.2790000000000008E-3</v>
      </c>
      <c r="F361" s="5">
        <f t="shared" ca="1" si="147"/>
        <v>8.737E-3</v>
      </c>
      <c r="G361" s="5">
        <f t="shared" ca="1" si="148"/>
        <v>1.248E-2</v>
      </c>
      <c r="H361" s="5">
        <f t="shared" ca="1" si="149"/>
        <v>1.0437E-2</v>
      </c>
      <c r="I361" s="5">
        <f t="shared" ca="1" si="150"/>
        <v>1.2359E-2</v>
      </c>
      <c r="J361" s="5">
        <f t="shared" ca="1" si="151"/>
        <v>1.4565E-2</v>
      </c>
      <c r="K361" s="5">
        <f t="shared" ca="1" si="152"/>
        <v>1.7850999999999999E-2</v>
      </c>
      <c r="L361" s="5">
        <f t="shared" ca="1" si="153"/>
        <v>1.9779000000000001E-2</v>
      </c>
      <c r="M361" s="5">
        <f t="shared" ca="1" si="154"/>
        <v>2.1041000000000001E-2</v>
      </c>
      <c r="N361" s="5">
        <f t="shared" ca="1" si="155"/>
        <v>2.5236999999999999E-2</v>
      </c>
      <c r="O361" s="5">
        <f t="shared" ca="1" si="156"/>
        <v>3.0519999999999999E-2</v>
      </c>
      <c r="P361" s="8">
        <f t="shared" ca="1" si="157"/>
        <v>1011.760298779937</v>
      </c>
      <c r="Q361" s="8">
        <f t="shared" ca="1" si="158"/>
        <v>4350.2361991898952</v>
      </c>
      <c r="R361" s="8">
        <f t="shared" ca="1" si="159"/>
        <v>1944.3766624090367</v>
      </c>
      <c r="S361" s="5">
        <f t="shared" ca="1" si="160"/>
        <v>5.0910666620617703E-2</v>
      </c>
      <c r="T361">
        <f t="shared" ca="1" si="161"/>
        <v>4.2629433065440703E-2</v>
      </c>
      <c r="U361" s="5">
        <f t="shared" ca="1" si="162"/>
        <v>-3.6477468662691213E-2</v>
      </c>
    </row>
    <row r="362" spans="2:21" x14ac:dyDescent="0.25">
      <c r="B362">
        <f t="shared" si="145"/>
        <v>359</v>
      </c>
      <c r="C362">
        <f t="shared" si="167"/>
        <v>30</v>
      </c>
      <c r="D362">
        <f t="shared" si="168"/>
        <v>11</v>
      </c>
      <c r="E362" s="5">
        <f t="shared" ca="1" si="146"/>
        <v>9.2049999999999996E-3</v>
      </c>
      <c r="F362" s="5">
        <f t="shared" ca="1" si="147"/>
        <v>8.7019999999999997E-3</v>
      </c>
      <c r="G362" s="5">
        <f t="shared" ca="1" si="148"/>
        <v>1.2411999999999999E-2</v>
      </c>
      <c r="H362" s="5">
        <f t="shared" ca="1" si="149"/>
        <v>1.0489999999999999E-2</v>
      </c>
      <c r="I362" s="5">
        <f t="shared" ca="1" si="150"/>
        <v>1.2321E-2</v>
      </c>
      <c r="J362" s="5">
        <f t="shared" ca="1" si="151"/>
        <v>1.4586999999999999E-2</v>
      </c>
      <c r="K362" s="5">
        <f t="shared" ca="1" si="152"/>
        <v>1.7824E-2</v>
      </c>
      <c r="L362" s="5">
        <f t="shared" ca="1" si="153"/>
        <v>1.9812E-2</v>
      </c>
      <c r="M362" s="5">
        <f t="shared" ca="1" si="154"/>
        <v>2.1131E-2</v>
      </c>
      <c r="N362" s="5">
        <f t="shared" ca="1" si="155"/>
        <v>2.5170999999999999E-2</v>
      </c>
      <c r="O362" s="5">
        <f t="shared" ca="1" si="156"/>
        <v>3.0499999999999999E-2</v>
      </c>
      <c r="P362" s="8">
        <f t="shared" ca="1" si="157"/>
        <v>1015.7963946684873</v>
      </c>
      <c r="Q362" s="8">
        <f t="shared" ca="1" si="158"/>
        <v>4374.1808470515716</v>
      </c>
      <c r="R362" s="8">
        <f t="shared" ca="1" si="159"/>
        <v>1938.9856125035835</v>
      </c>
      <c r="S362" s="5">
        <f t="shared" ca="1" si="160"/>
        <v>4.8934571012415606E-2</v>
      </c>
      <c r="T362">
        <f t="shared" ca="1" si="161"/>
        <v>6.8087323039946718E-2</v>
      </c>
      <c r="U362" s="5">
        <f t="shared" ca="1" si="162"/>
        <v>-3.2768923443026787E-2</v>
      </c>
    </row>
    <row r="363" spans="2:21" x14ac:dyDescent="0.25">
      <c r="B363">
        <f t="shared" si="145"/>
        <v>360</v>
      </c>
      <c r="C363">
        <f t="shared" si="167"/>
        <v>30</v>
      </c>
      <c r="D363">
        <f t="shared" si="168"/>
        <v>12</v>
      </c>
      <c r="E363" s="5">
        <f t="shared" ca="1" si="146"/>
        <v>9.2870000000000001E-3</v>
      </c>
      <c r="F363" s="5">
        <f t="shared" ca="1" si="147"/>
        <v>8.6910000000000008E-3</v>
      </c>
      <c r="G363" s="5">
        <f t="shared" ca="1" si="148"/>
        <v>1.2378999999999999E-2</v>
      </c>
      <c r="H363" s="5">
        <f t="shared" ca="1" si="149"/>
        <v>1.0395E-2</v>
      </c>
      <c r="I363" s="5">
        <f t="shared" ca="1" si="150"/>
        <v>1.2364E-2</v>
      </c>
      <c r="J363" s="5">
        <f t="shared" ca="1" si="151"/>
        <v>1.4666999999999999E-2</v>
      </c>
      <c r="K363" s="5">
        <f t="shared" ca="1" si="152"/>
        <v>1.7732000000000001E-2</v>
      </c>
      <c r="L363" s="5">
        <f t="shared" ca="1" si="153"/>
        <v>1.9796999999999999E-2</v>
      </c>
      <c r="M363" s="5">
        <f t="shared" ca="1" si="154"/>
        <v>2.1114999999999998E-2</v>
      </c>
      <c r="N363" s="5">
        <f t="shared" ca="1" si="155"/>
        <v>2.5145000000000001E-2</v>
      </c>
      <c r="O363" s="5">
        <f t="shared" ca="1" si="156"/>
        <v>3.0498000000000001E-2</v>
      </c>
      <c r="P363" s="8">
        <f t="shared" ca="1" si="157"/>
        <v>1020.0107893149499</v>
      </c>
      <c r="Q363" s="8">
        <f t="shared" ca="1" si="158"/>
        <v>4393.747655972712</v>
      </c>
      <c r="R363" s="8">
        <f t="shared" ca="1" si="159"/>
        <v>1933.9226526456546</v>
      </c>
      <c r="S363" s="5">
        <f t="shared" ca="1" si="160"/>
        <v>5.0938209953343069E-2</v>
      </c>
      <c r="T363">
        <f t="shared" ca="1" si="161"/>
        <v>5.5019562271591778E-2</v>
      </c>
      <c r="U363" s="5">
        <f t="shared" ca="1" si="162"/>
        <v>-3.0887564035941513E-2</v>
      </c>
    </row>
    <row r="364" spans="2:21" x14ac:dyDescent="0.25">
      <c r="B364">
        <f t="shared" si="145"/>
        <v>361</v>
      </c>
      <c r="C364">
        <f>C363+1</f>
        <v>31</v>
      </c>
      <c r="D364">
        <v>1</v>
      </c>
      <c r="E364" s="5">
        <f t="shared" ca="1" si="146"/>
        <v>9.3830000000000007E-3</v>
      </c>
      <c r="F364" s="5">
        <f t="shared" ca="1" si="147"/>
        <v>8.7170000000000008E-3</v>
      </c>
      <c r="G364" s="5">
        <f t="shared" ca="1" si="148"/>
        <v>1.2285000000000001E-2</v>
      </c>
      <c r="H364" s="5">
        <f t="shared" ca="1" si="149"/>
        <v>1.038E-2</v>
      </c>
      <c r="I364" s="5">
        <f t="shared" ca="1" si="150"/>
        <v>1.2463E-2</v>
      </c>
      <c r="J364" s="5">
        <f t="shared" ca="1" si="151"/>
        <v>1.4766E-2</v>
      </c>
      <c r="K364" s="5">
        <f t="shared" ca="1" si="152"/>
        <v>1.7746000000000001E-2</v>
      </c>
      <c r="L364" s="5">
        <f t="shared" ca="1" si="153"/>
        <v>1.9751999999999999E-2</v>
      </c>
      <c r="M364" s="5">
        <f t="shared" ca="1" si="154"/>
        <v>2.1174999999999999E-2</v>
      </c>
      <c r="N364" s="5">
        <f t="shared" ca="1" si="155"/>
        <v>2.5204000000000001E-2</v>
      </c>
      <c r="O364" s="5">
        <f t="shared" ca="1" si="156"/>
        <v>3.0499999999999999E-2</v>
      </c>
      <c r="P364" s="8">
        <f t="shared" ca="1" si="157"/>
        <v>1016.1308529082926</v>
      </c>
      <c r="Q364" s="8">
        <f t="shared" ca="1" si="158"/>
        <v>4408.6470102877411</v>
      </c>
      <c r="R364" s="8">
        <f t="shared" ca="1" si="159"/>
        <v>1929.2671209523244</v>
      </c>
      <c r="S364" s="5">
        <f t="shared" ca="1" si="160"/>
        <v>-4.4702876541018649E-2</v>
      </c>
      <c r="T364">
        <f t="shared" ca="1" si="161"/>
        <v>4.1460012612099022E-2</v>
      </c>
      <c r="U364" s="5">
        <f t="shared" ca="1" si="162"/>
        <v>-2.8508174535791582E-2</v>
      </c>
    </row>
    <row r="365" spans="2:21" x14ac:dyDescent="0.25">
      <c r="B365">
        <f t="shared" si="145"/>
        <v>362</v>
      </c>
      <c r="C365">
        <f>C364</f>
        <v>31</v>
      </c>
      <c r="D365">
        <v>2</v>
      </c>
      <c r="E365" s="5">
        <f t="shared" ca="1" si="146"/>
        <v>9.3889999999999998E-3</v>
      </c>
      <c r="F365" s="5">
        <f t="shared" ca="1" si="147"/>
        <v>8.6899999999999998E-3</v>
      </c>
      <c r="G365" s="5">
        <f t="shared" ca="1" si="148"/>
        <v>1.2241999999999999E-2</v>
      </c>
      <c r="H365" s="5">
        <f t="shared" ca="1" si="149"/>
        <v>1.0449999999999999E-2</v>
      </c>
      <c r="I365" s="5">
        <f t="shared" ca="1" si="150"/>
        <v>1.2551E-2</v>
      </c>
      <c r="J365" s="5">
        <f t="shared" ca="1" si="151"/>
        <v>1.4782999999999999E-2</v>
      </c>
      <c r="K365" s="5">
        <f t="shared" ca="1" si="152"/>
        <v>1.7668E-2</v>
      </c>
      <c r="L365" s="5">
        <f t="shared" ca="1" si="153"/>
        <v>1.9802E-2</v>
      </c>
      <c r="M365" s="5">
        <f t="shared" ca="1" si="154"/>
        <v>2.1181999999999999E-2</v>
      </c>
      <c r="N365" s="5">
        <f t="shared" ca="1" si="155"/>
        <v>2.5182E-2</v>
      </c>
      <c r="O365" s="5">
        <f t="shared" ca="1" si="156"/>
        <v>3.0502999999999999E-2</v>
      </c>
      <c r="P365" s="8">
        <f t="shared" ca="1" si="157"/>
        <v>1018.2629074833369</v>
      </c>
      <c r="Q365" s="8">
        <f t="shared" ca="1" si="158"/>
        <v>4430.7622045761836</v>
      </c>
      <c r="R365" s="8">
        <f t="shared" ca="1" si="159"/>
        <v>1924.3152433851769</v>
      </c>
      <c r="S365" s="5">
        <f t="shared" ca="1" si="160"/>
        <v>2.5471109648229746E-2</v>
      </c>
      <c r="T365">
        <f t="shared" ca="1" si="161"/>
        <v>6.1884744001143688E-2</v>
      </c>
      <c r="U365" s="5">
        <f t="shared" ca="1" si="162"/>
        <v>-3.0369461196368009E-2</v>
      </c>
    </row>
    <row r="366" spans="2:21" x14ac:dyDescent="0.25">
      <c r="B366">
        <f t="shared" si="145"/>
        <v>363</v>
      </c>
      <c r="C366">
        <f t="shared" ref="C366:C375" si="169">C365</f>
        <v>31</v>
      </c>
      <c r="D366">
        <v>3</v>
      </c>
      <c r="E366" s="5">
        <f t="shared" ca="1" si="146"/>
        <v>9.4509999999999993E-3</v>
      </c>
      <c r="F366" s="5">
        <f t="shared" ca="1" si="147"/>
        <v>8.7139999999999995E-3</v>
      </c>
      <c r="G366" s="5">
        <f t="shared" ca="1" si="148"/>
        <v>1.2182E-2</v>
      </c>
      <c r="H366" s="5">
        <f t="shared" ca="1" si="149"/>
        <v>1.0503E-2</v>
      </c>
      <c r="I366" s="5">
        <f t="shared" ca="1" si="150"/>
        <v>1.2619E-2</v>
      </c>
      <c r="J366" s="5">
        <f t="shared" ca="1" si="151"/>
        <v>1.474E-2</v>
      </c>
      <c r="K366" s="5">
        <f t="shared" ca="1" si="152"/>
        <v>1.7651E-2</v>
      </c>
      <c r="L366" s="5">
        <f t="shared" ca="1" si="153"/>
        <v>1.9848999999999999E-2</v>
      </c>
      <c r="M366" s="5">
        <f t="shared" ca="1" si="154"/>
        <v>2.1131E-2</v>
      </c>
      <c r="N366" s="5">
        <f t="shared" ca="1" si="155"/>
        <v>2.5207E-2</v>
      </c>
      <c r="O366" s="5">
        <f t="shared" ca="1" si="156"/>
        <v>3.0470000000000001E-2</v>
      </c>
      <c r="P366" s="8">
        <f t="shared" ca="1" si="157"/>
        <v>1014.715606928722</v>
      </c>
      <c r="Q366" s="8">
        <f t="shared" ca="1" si="158"/>
        <v>4442.6050414334341</v>
      </c>
      <c r="R366" s="8">
        <f t="shared" ca="1" si="159"/>
        <v>1919.1106700623486</v>
      </c>
      <c r="S366" s="5">
        <f t="shared" ca="1" si="160"/>
        <v>-4.1012393112243875E-2</v>
      </c>
      <c r="T366">
        <f t="shared" ca="1" si="161"/>
        <v>3.2550145366523224E-2</v>
      </c>
      <c r="U366" s="5">
        <f t="shared" ca="1" si="162"/>
        <v>-3.1977170838253056E-2</v>
      </c>
    </row>
    <row r="367" spans="2:21" x14ac:dyDescent="0.25">
      <c r="B367">
        <f t="shared" si="145"/>
        <v>364</v>
      </c>
      <c r="C367">
        <f t="shared" si="169"/>
        <v>31</v>
      </c>
      <c r="D367">
        <f>D366+1</f>
        <v>4</v>
      </c>
      <c r="E367" s="5">
        <f t="shared" ca="1" si="146"/>
        <v>9.3849999999999992E-3</v>
      </c>
      <c r="F367" s="5">
        <f t="shared" ca="1" si="147"/>
        <v>8.7620000000000007E-3</v>
      </c>
      <c r="G367" s="5">
        <f t="shared" ca="1" si="148"/>
        <v>1.2168E-2</v>
      </c>
      <c r="H367" s="5">
        <f t="shared" ca="1" si="149"/>
        <v>1.0567E-2</v>
      </c>
      <c r="I367" s="5">
        <f t="shared" ca="1" si="150"/>
        <v>1.2711E-2</v>
      </c>
      <c r="J367" s="5">
        <f t="shared" ca="1" si="151"/>
        <v>1.4641E-2</v>
      </c>
      <c r="K367" s="5">
        <f t="shared" ca="1" si="152"/>
        <v>1.7732999999999999E-2</v>
      </c>
      <c r="L367" s="5">
        <f t="shared" ca="1" si="153"/>
        <v>1.9869999999999999E-2</v>
      </c>
      <c r="M367" s="5">
        <f t="shared" ca="1" si="154"/>
        <v>2.1138000000000001E-2</v>
      </c>
      <c r="N367" s="5">
        <f t="shared" ca="1" si="155"/>
        <v>2.5263000000000001E-2</v>
      </c>
      <c r="O367" s="5">
        <f t="shared" ca="1" si="156"/>
        <v>3.0519999999999999E-2</v>
      </c>
      <c r="P367" s="8">
        <f t="shared" ca="1" si="157"/>
        <v>1016.8135916706422</v>
      </c>
      <c r="Q367" s="8">
        <f t="shared" ca="1" si="158"/>
        <v>4461.8131212042308</v>
      </c>
      <c r="R367" s="8">
        <f t="shared" ca="1" si="159"/>
        <v>1914.2925328675208</v>
      </c>
      <c r="S367" s="5">
        <f t="shared" ca="1" si="160"/>
        <v>2.5094802649691744E-2</v>
      </c>
      <c r="T367">
        <f t="shared" ca="1" si="161"/>
        <v>5.3135019797133927E-2</v>
      </c>
      <c r="U367" s="5">
        <f t="shared" ca="1" si="162"/>
        <v>-2.9714765565257109E-2</v>
      </c>
    </row>
    <row r="368" spans="2:21" x14ac:dyDescent="0.25">
      <c r="B368">
        <f t="shared" si="145"/>
        <v>365</v>
      </c>
      <c r="C368">
        <f t="shared" si="169"/>
        <v>31</v>
      </c>
      <c r="D368">
        <f t="shared" ref="D368:D375" si="170">D367+1</f>
        <v>5</v>
      </c>
      <c r="E368" s="5">
        <f t="shared" ca="1" si="146"/>
        <v>9.3539999999999995E-3</v>
      </c>
      <c r="F368" s="5">
        <f t="shared" ca="1" si="147"/>
        <v>8.7869999999999997E-3</v>
      </c>
      <c r="G368" s="5">
        <f t="shared" ca="1" si="148"/>
        <v>1.2215999999999999E-2</v>
      </c>
      <c r="H368" s="5">
        <f t="shared" ca="1" si="149"/>
        <v>1.0514000000000001E-2</v>
      </c>
      <c r="I368" s="5">
        <f t="shared" ca="1" si="150"/>
        <v>1.2736000000000001E-2</v>
      </c>
      <c r="J368" s="5">
        <f t="shared" ca="1" si="151"/>
        <v>1.4713E-2</v>
      </c>
      <c r="K368" s="5">
        <f t="shared" ca="1" si="152"/>
        <v>1.7819999999999999E-2</v>
      </c>
      <c r="L368" s="5">
        <f t="shared" ca="1" si="153"/>
        <v>1.9828999999999999E-2</v>
      </c>
      <c r="M368" s="5">
        <f t="shared" ca="1" si="154"/>
        <v>2.1092E-2</v>
      </c>
      <c r="N368" s="5">
        <f t="shared" ca="1" si="155"/>
        <v>2.5340999999999999E-2</v>
      </c>
      <c r="O368" s="5">
        <f t="shared" ca="1" si="156"/>
        <v>3.0530000000000002E-2</v>
      </c>
      <c r="P368" s="8">
        <f t="shared" ca="1" si="157"/>
        <v>1014.7172668678292</v>
      </c>
      <c r="Q368" s="8">
        <f t="shared" ca="1" si="158"/>
        <v>4480.9167984120859</v>
      </c>
      <c r="R368" s="8">
        <f t="shared" ca="1" si="159"/>
        <v>1910.2781362544072</v>
      </c>
      <c r="S368" s="5">
        <f t="shared" ca="1" si="160"/>
        <v>-2.4461320077090957E-2</v>
      </c>
      <c r="T368">
        <f t="shared" ca="1" si="161"/>
        <v>5.2606492361366282E-2</v>
      </c>
      <c r="U368" s="5">
        <f t="shared" ca="1" si="162"/>
        <v>-2.4876556911011618E-2</v>
      </c>
    </row>
    <row r="369" spans="2:21" x14ac:dyDescent="0.25">
      <c r="B369">
        <f t="shared" si="145"/>
        <v>366</v>
      </c>
      <c r="C369">
        <f t="shared" si="169"/>
        <v>31</v>
      </c>
      <c r="D369">
        <f t="shared" si="170"/>
        <v>6</v>
      </c>
      <c r="E369" s="5">
        <f t="shared" ca="1" si="146"/>
        <v>9.3559999999999997E-3</v>
      </c>
      <c r="F369" s="5">
        <f t="shared" ca="1" si="147"/>
        <v>8.6940000000000003E-3</v>
      </c>
      <c r="G369" s="5">
        <f t="shared" ca="1" si="148"/>
        <v>1.2233000000000001E-2</v>
      </c>
      <c r="H369" s="5">
        <f t="shared" ca="1" si="149"/>
        <v>1.0498E-2</v>
      </c>
      <c r="I369" s="5">
        <f t="shared" ca="1" si="150"/>
        <v>1.2747E-2</v>
      </c>
      <c r="J369" s="5">
        <f t="shared" ca="1" si="151"/>
        <v>1.4626999999999999E-2</v>
      </c>
      <c r="K369" s="5">
        <f t="shared" ca="1" si="152"/>
        <v>1.7794999999999998E-2</v>
      </c>
      <c r="L369" s="5">
        <f t="shared" ca="1" si="153"/>
        <v>1.9896E-2</v>
      </c>
      <c r="M369" s="5">
        <f t="shared" ca="1" si="154"/>
        <v>2.1049999999999999E-2</v>
      </c>
      <c r="N369" s="5">
        <f t="shared" ca="1" si="155"/>
        <v>2.5343000000000001E-2</v>
      </c>
      <c r="O369" s="5">
        <f t="shared" ca="1" si="156"/>
        <v>3.0487E-2</v>
      </c>
      <c r="P369" s="8">
        <f t="shared" ca="1" si="157"/>
        <v>1011.6614623303705</v>
      </c>
      <c r="Q369" s="8">
        <f t="shared" ca="1" si="158"/>
        <v>4501.4616527205435</v>
      </c>
      <c r="R369" s="8">
        <f t="shared" ca="1" si="159"/>
        <v>1905.7379000532928</v>
      </c>
      <c r="S369" s="5">
        <f t="shared" ca="1" si="160"/>
        <v>-3.5545216431033165E-2</v>
      </c>
      <c r="T369">
        <f t="shared" ca="1" si="161"/>
        <v>5.6428472123276847E-2</v>
      </c>
      <c r="U369" s="5">
        <f t="shared" ca="1" si="162"/>
        <v>-2.8151001703331405E-2</v>
      </c>
    </row>
    <row r="370" spans="2:21" x14ac:dyDescent="0.25">
      <c r="B370">
        <f t="shared" si="145"/>
        <v>367</v>
      </c>
      <c r="C370">
        <f t="shared" si="169"/>
        <v>31</v>
      </c>
      <c r="D370">
        <f t="shared" si="170"/>
        <v>7</v>
      </c>
      <c r="E370" s="5">
        <f t="shared" ca="1" si="146"/>
        <v>9.3950000000000006E-3</v>
      </c>
      <c r="F370" s="5">
        <f t="shared" ca="1" si="147"/>
        <v>8.6899999999999998E-3</v>
      </c>
      <c r="G370" s="5">
        <f t="shared" ca="1" si="148"/>
        <v>1.2316000000000001E-2</v>
      </c>
      <c r="H370" s="5">
        <f t="shared" ca="1" si="149"/>
        <v>1.0548999999999999E-2</v>
      </c>
      <c r="I370" s="5">
        <f t="shared" ca="1" si="150"/>
        <v>1.265E-2</v>
      </c>
      <c r="J370" s="5">
        <f t="shared" ca="1" si="151"/>
        <v>1.4668E-2</v>
      </c>
      <c r="K370" s="5">
        <f t="shared" ca="1" si="152"/>
        <v>1.7798000000000001E-2</v>
      </c>
      <c r="L370" s="5">
        <f t="shared" ca="1" si="153"/>
        <v>1.9961E-2</v>
      </c>
      <c r="M370" s="5">
        <f t="shared" ca="1" si="154"/>
        <v>2.1009E-2</v>
      </c>
      <c r="N370" s="5">
        <f t="shared" ca="1" si="155"/>
        <v>2.5354000000000002E-2</v>
      </c>
      <c r="O370" s="5">
        <f t="shared" ca="1" si="156"/>
        <v>3.0495000000000001E-2</v>
      </c>
      <c r="P370" s="8">
        <f t="shared" ca="1" si="157"/>
        <v>1009.0778799812963</v>
      </c>
      <c r="Q370" s="8">
        <f t="shared" ca="1" si="158"/>
        <v>4522.2008936874272</v>
      </c>
      <c r="R370" s="8">
        <f t="shared" ca="1" si="159"/>
        <v>1901.2534283624354</v>
      </c>
      <c r="S370" s="5">
        <f t="shared" ca="1" si="160"/>
        <v>-3.0218813301255334E-2</v>
      </c>
      <c r="T370">
        <f t="shared" ca="1" si="161"/>
        <v>5.6709374155898079E-2</v>
      </c>
      <c r="U370" s="5">
        <f t="shared" ca="1" si="162"/>
        <v>-2.787509393553941E-2</v>
      </c>
    </row>
    <row r="371" spans="2:21" x14ac:dyDescent="0.25">
      <c r="B371">
        <f t="shared" si="145"/>
        <v>368</v>
      </c>
      <c r="C371">
        <f t="shared" si="169"/>
        <v>31</v>
      </c>
      <c r="D371">
        <f t="shared" si="170"/>
        <v>8</v>
      </c>
      <c r="E371" s="5">
        <f t="shared" ca="1" si="146"/>
        <v>9.4730000000000005E-3</v>
      </c>
      <c r="F371" s="5">
        <f t="shared" ca="1" si="147"/>
        <v>8.6689999999999996E-3</v>
      </c>
      <c r="G371" s="5">
        <f t="shared" ca="1" si="148"/>
        <v>1.2382000000000001E-2</v>
      </c>
      <c r="H371" s="5">
        <f t="shared" ca="1" si="149"/>
        <v>1.0482E-2</v>
      </c>
      <c r="I371" s="5">
        <f t="shared" ca="1" si="150"/>
        <v>1.274E-2</v>
      </c>
      <c r="J371" s="5">
        <f t="shared" ca="1" si="151"/>
        <v>1.4683999999999999E-2</v>
      </c>
      <c r="K371" s="5">
        <f t="shared" ca="1" si="152"/>
        <v>1.7772E-2</v>
      </c>
      <c r="L371" s="5">
        <f t="shared" ca="1" si="153"/>
        <v>1.9869999999999999E-2</v>
      </c>
      <c r="M371" s="5">
        <f t="shared" ca="1" si="154"/>
        <v>2.1055999999999998E-2</v>
      </c>
      <c r="N371" s="5">
        <f t="shared" ca="1" si="155"/>
        <v>2.5284999999999998E-2</v>
      </c>
      <c r="O371" s="5">
        <f t="shared" ca="1" si="156"/>
        <v>3.0571999999999998E-2</v>
      </c>
      <c r="P371" s="8">
        <f t="shared" ca="1" si="157"/>
        <v>1011.0016169681995</v>
      </c>
      <c r="Q371" s="8">
        <f t="shared" ca="1" si="158"/>
        <v>4540.9884781340879</v>
      </c>
      <c r="R371" s="8">
        <f t="shared" ca="1" si="159"/>
        <v>1896.8012401423737</v>
      </c>
      <c r="S371" s="5">
        <f t="shared" ca="1" si="160"/>
        <v>2.3118574106125882E-2</v>
      </c>
      <c r="T371">
        <f t="shared" ca="1" si="161"/>
        <v>5.100935528754752E-2</v>
      </c>
      <c r="U371" s="5">
        <f t="shared" ca="1" si="162"/>
        <v>-2.774143715430066E-2</v>
      </c>
    </row>
    <row r="372" spans="2:21" x14ac:dyDescent="0.25">
      <c r="B372">
        <f t="shared" si="145"/>
        <v>369</v>
      </c>
      <c r="C372">
        <f t="shared" si="169"/>
        <v>31</v>
      </c>
      <c r="D372">
        <f t="shared" si="170"/>
        <v>9</v>
      </c>
      <c r="E372" s="5">
        <f t="shared" ca="1" si="146"/>
        <v>9.502E-3</v>
      </c>
      <c r="F372" s="5">
        <f t="shared" ca="1" si="147"/>
        <v>8.6719999999999992E-3</v>
      </c>
      <c r="G372" s="5">
        <f t="shared" ca="1" si="148"/>
        <v>1.2463E-2</v>
      </c>
      <c r="H372" s="5">
        <f t="shared" ca="1" si="149"/>
        <v>1.0513E-2</v>
      </c>
      <c r="I372" s="5">
        <f t="shared" ca="1" si="150"/>
        <v>1.2643E-2</v>
      </c>
      <c r="J372" s="5">
        <f t="shared" ca="1" si="151"/>
        <v>1.4742E-2</v>
      </c>
      <c r="K372" s="5">
        <f t="shared" ca="1" si="152"/>
        <v>1.7680000000000001E-2</v>
      </c>
      <c r="L372" s="5">
        <f t="shared" ca="1" si="153"/>
        <v>1.9774E-2</v>
      </c>
      <c r="M372" s="5">
        <f t="shared" ca="1" si="154"/>
        <v>2.1065E-2</v>
      </c>
      <c r="N372" s="5">
        <f t="shared" ca="1" si="155"/>
        <v>2.5281999999999999E-2</v>
      </c>
      <c r="O372" s="5">
        <f t="shared" ca="1" si="156"/>
        <v>3.0592999999999999E-2</v>
      </c>
      <c r="P372" s="8">
        <f t="shared" ca="1" si="157"/>
        <v>1009.1311720388165</v>
      </c>
      <c r="Q372" s="8">
        <f t="shared" ca="1" si="158"/>
        <v>4553.4027029729132</v>
      </c>
      <c r="R372" s="8">
        <f t="shared" ca="1" si="159"/>
        <v>1893.0279233849974</v>
      </c>
      <c r="S372" s="5">
        <f t="shared" ca="1" si="160"/>
        <v>-2.1976571423620903E-2</v>
      </c>
      <c r="T372">
        <f t="shared" ca="1" si="161"/>
        <v>3.3303576504868565E-2</v>
      </c>
      <c r="U372" s="5">
        <f t="shared" ca="1" si="162"/>
        <v>-2.3612203624689458E-2</v>
      </c>
    </row>
    <row r="373" spans="2:21" x14ac:dyDescent="0.25">
      <c r="B373">
        <f t="shared" si="145"/>
        <v>370</v>
      </c>
      <c r="C373">
        <f t="shared" si="169"/>
        <v>31</v>
      </c>
      <c r="D373">
        <f t="shared" si="170"/>
        <v>10</v>
      </c>
      <c r="E373" s="5">
        <f t="shared" ca="1" si="146"/>
        <v>9.5440000000000004E-3</v>
      </c>
      <c r="F373" s="5">
        <f t="shared" ca="1" si="147"/>
        <v>8.6789999999999992E-3</v>
      </c>
      <c r="G373" s="5">
        <f t="shared" ca="1" si="148"/>
        <v>1.2470999999999999E-2</v>
      </c>
      <c r="H373" s="5">
        <f t="shared" ca="1" si="149"/>
        <v>1.0544E-2</v>
      </c>
      <c r="I373" s="5">
        <f t="shared" ca="1" si="150"/>
        <v>1.2689000000000001E-2</v>
      </c>
      <c r="J373" s="5">
        <f t="shared" ca="1" si="151"/>
        <v>1.4722000000000001E-2</v>
      </c>
      <c r="K373" s="5">
        <f t="shared" ca="1" si="152"/>
        <v>1.7717E-2</v>
      </c>
      <c r="L373" s="5">
        <f t="shared" ca="1" si="153"/>
        <v>1.9739E-2</v>
      </c>
      <c r="M373" s="5">
        <f t="shared" ca="1" si="154"/>
        <v>2.0992E-2</v>
      </c>
      <c r="N373" s="5">
        <f t="shared" ca="1" si="155"/>
        <v>2.5336999999999998E-2</v>
      </c>
      <c r="O373" s="5">
        <f t="shared" ca="1" si="156"/>
        <v>3.0637999999999999E-2</v>
      </c>
      <c r="P373" s="8">
        <f t="shared" ca="1" si="157"/>
        <v>1005.6119437069773</v>
      </c>
      <c r="Q373" s="8">
        <f t="shared" ca="1" si="158"/>
        <v>4568.0939251723903</v>
      </c>
      <c r="R373" s="8">
        <f t="shared" ca="1" si="159"/>
        <v>1889.0953854763084</v>
      </c>
      <c r="S373" s="5">
        <f t="shared" ca="1" si="160"/>
        <v>-4.1055189049416074E-2</v>
      </c>
      <c r="T373">
        <f t="shared" ca="1" si="161"/>
        <v>3.9411617940835926E-2</v>
      </c>
      <c r="U373" s="5">
        <f t="shared" ca="1" si="162"/>
        <v>-2.4645696876257464E-2</v>
      </c>
    </row>
    <row r="374" spans="2:21" x14ac:dyDescent="0.25">
      <c r="B374">
        <f t="shared" si="145"/>
        <v>371</v>
      </c>
      <c r="C374">
        <f t="shared" si="169"/>
        <v>31</v>
      </c>
      <c r="D374">
        <f t="shared" si="170"/>
        <v>11</v>
      </c>
      <c r="E374" s="5">
        <f t="shared" ca="1" si="146"/>
        <v>9.5200000000000007E-3</v>
      </c>
      <c r="F374" s="5">
        <f t="shared" ca="1" si="147"/>
        <v>8.633E-3</v>
      </c>
      <c r="G374" s="5">
        <f t="shared" ca="1" si="148"/>
        <v>1.256E-2</v>
      </c>
      <c r="H374" s="5">
        <f t="shared" ca="1" si="149"/>
        <v>1.0460000000000001E-2</v>
      </c>
      <c r="I374" s="5">
        <f t="shared" ca="1" si="150"/>
        <v>1.2664E-2</v>
      </c>
      <c r="J374" s="5">
        <f t="shared" ca="1" si="151"/>
        <v>1.4766E-2</v>
      </c>
      <c r="K374" s="5">
        <f t="shared" ca="1" si="152"/>
        <v>1.7798000000000001E-2</v>
      </c>
      <c r="L374" s="5">
        <f t="shared" ca="1" si="153"/>
        <v>1.9784E-2</v>
      </c>
      <c r="M374" s="5">
        <f t="shared" ca="1" si="154"/>
        <v>2.0997999999999999E-2</v>
      </c>
      <c r="N374" s="5">
        <f t="shared" ca="1" si="155"/>
        <v>2.5243999999999999E-2</v>
      </c>
      <c r="O374" s="5">
        <f t="shared" ca="1" si="156"/>
        <v>3.0584E-2</v>
      </c>
      <c r="P374" s="8">
        <f t="shared" ca="1" si="157"/>
        <v>1004.7622882841749</v>
      </c>
      <c r="Q374" s="8">
        <f t="shared" ca="1" si="158"/>
        <v>4582.5756114360556</v>
      </c>
      <c r="R374" s="8">
        <f t="shared" ca="1" si="159"/>
        <v>1885.0370609711683</v>
      </c>
      <c r="S374" s="5">
        <f t="shared" ca="1" si="160"/>
        <v>-1.0091982175893754E-2</v>
      </c>
      <c r="T374">
        <f t="shared" ca="1" si="161"/>
        <v>3.8712539307161516E-2</v>
      </c>
      <c r="U374" s="5">
        <f t="shared" ca="1" si="162"/>
        <v>-2.5477049459469617E-2</v>
      </c>
    </row>
    <row r="375" spans="2:21" x14ac:dyDescent="0.25">
      <c r="B375">
        <f t="shared" si="145"/>
        <v>372</v>
      </c>
      <c r="C375">
        <f t="shared" si="169"/>
        <v>31</v>
      </c>
      <c r="D375">
        <f t="shared" si="170"/>
        <v>12</v>
      </c>
      <c r="E375" s="5">
        <f t="shared" ca="1" si="146"/>
        <v>9.5090000000000001E-3</v>
      </c>
      <c r="F375" s="5">
        <f t="shared" ca="1" si="147"/>
        <v>8.6E-3</v>
      </c>
      <c r="G375" s="5">
        <f t="shared" ca="1" si="148"/>
        <v>1.2514000000000001E-2</v>
      </c>
      <c r="H375" s="5">
        <f t="shared" ca="1" si="149"/>
        <v>1.0423999999999999E-2</v>
      </c>
      <c r="I375" s="5">
        <f t="shared" ca="1" si="150"/>
        <v>1.2741000000000001E-2</v>
      </c>
      <c r="J375" s="5">
        <f t="shared" ca="1" si="151"/>
        <v>1.4775E-2</v>
      </c>
      <c r="K375" s="5">
        <f t="shared" ca="1" si="152"/>
        <v>1.7853000000000001E-2</v>
      </c>
      <c r="L375" s="5">
        <f t="shared" ca="1" si="153"/>
        <v>1.9858000000000001E-2</v>
      </c>
      <c r="M375" s="5">
        <f t="shared" ca="1" si="154"/>
        <v>2.1096E-2</v>
      </c>
      <c r="N375" s="5">
        <f t="shared" ca="1" si="155"/>
        <v>2.5269E-2</v>
      </c>
      <c r="O375" s="5">
        <f t="shared" ca="1" si="156"/>
        <v>3.0544000000000002E-2</v>
      </c>
      <c r="P375" s="8">
        <f t="shared" ca="1" si="157"/>
        <v>1005.5036899510424</v>
      </c>
      <c r="Q375" s="8">
        <f t="shared" ca="1" si="158"/>
        <v>4596.0953448953551</v>
      </c>
      <c r="R375" s="8">
        <f t="shared" ca="1" si="159"/>
        <v>1881.2367858172493</v>
      </c>
      <c r="S375" s="5">
        <f t="shared" ca="1" si="160"/>
        <v>8.8906756922871432E-3</v>
      </c>
      <c r="T375">
        <f t="shared" ca="1" si="161"/>
        <v>3.5983121697800907E-2</v>
      </c>
      <c r="U375" s="5">
        <f t="shared" ca="1" si="162"/>
        <v>-2.392580531255321E-2</v>
      </c>
    </row>
    <row r="376" spans="2:21" x14ac:dyDescent="0.25">
      <c r="B376">
        <f t="shared" si="145"/>
        <v>373</v>
      </c>
      <c r="C376">
        <f>C375+1</f>
        <v>32</v>
      </c>
      <c r="D376">
        <v>1</v>
      </c>
      <c r="E376" s="5">
        <f t="shared" ca="1" si="146"/>
        <v>9.5739999999999992E-3</v>
      </c>
      <c r="F376" s="5">
        <f t="shared" ca="1" si="147"/>
        <v>8.6990000000000001E-3</v>
      </c>
      <c r="G376" s="5">
        <f t="shared" ca="1" si="148"/>
        <v>1.2548999999999999E-2</v>
      </c>
      <c r="H376" s="5">
        <f t="shared" ca="1" si="149"/>
        <v>1.0385E-2</v>
      </c>
      <c r="I376" s="5">
        <f t="shared" ca="1" si="150"/>
        <v>1.2836999999999999E-2</v>
      </c>
      <c r="J376" s="5">
        <f t="shared" ca="1" si="151"/>
        <v>1.486E-2</v>
      </c>
      <c r="K376" s="5">
        <f t="shared" ca="1" si="152"/>
        <v>1.7807E-2</v>
      </c>
      <c r="L376" s="5">
        <f t="shared" ca="1" si="153"/>
        <v>1.9828999999999999E-2</v>
      </c>
      <c r="M376" s="5">
        <f t="shared" ca="1" si="154"/>
        <v>2.1128000000000001E-2</v>
      </c>
      <c r="N376" s="5">
        <f t="shared" ca="1" si="155"/>
        <v>2.5180000000000001E-2</v>
      </c>
      <c r="O376" s="5">
        <f t="shared" ca="1" si="156"/>
        <v>3.0463E-2</v>
      </c>
      <c r="P376" s="8">
        <f t="shared" ca="1" si="157"/>
        <v>1005.4563741710157</v>
      </c>
      <c r="Q376" s="8">
        <f t="shared" ca="1" si="158"/>
        <v>4622.3900529965667</v>
      </c>
      <c r="R376" s="8">
        <f t="shared" ca="1" si="159"/>
        <v>1877.4136508892684</v>
      </c>
      <c r="S376" s="5">
        <f t="shared" ca="1" si="160"/>
        <v>-5.6453540462529531E-4</v>
      </c>
      <c r="T376">
        <f t="shared" ca="1" si="161"/>
        <v>7.085514073084076E-2</v>
      </c>
      <c r="U376" s="5">
        <f t="shared" ca="1" si="162"/>
        <v>-2.4116202253265134E-2</v>
      </c>
    </row>
    <row r="377" spans="2:21" x14ac:dyDescent="0.25">
      <c r="B377">
        <f t="shared" si="145"/>
        <v>374</v>
      </c>
      <c r="C377">
        <f>C376</f>
        <v>32</v>
      </c>
      <c r="D377">
        <v>2</v>
      </c>
      <c r="E377" s="5">
        <f t="shared" ca="1" si="146"/>
        <v>9.639E-3</v>
      </c>
      <c r="F377" s="5">
        <f t="shared" ca="1" si="147"/>
        <v>8.77E-3</v>
      </c>
      <c r="G377" s="5">
        <f t="shared" ca="1" si="148"/>
        <v>1.265E-2</v>
      </c>
      <c r="H377" s="5">
        <f t="shared" ca="1" si="149"/>
        <v>1.0482E-2</v>
      </c>
      <c r="I377" s="5">
        <f t="shared" ca="1" si="150"/>
        <v>1.2800000000000001E-2</v>
      </c>
      <c r="J377" s="5">
        <f t="shared" ca="1" si="151"/>
        <v>1.4945999999999999E-2</v>
      </c>
      <c r="K377" s="5">
        <f t="shared" ca="1" si="152"/>
        <v>1.7871000000000001E-2</v>
      </c>
      <c r="L377" s="5">
        <f t="shared" ca="1" si="153"/>
        <v>1.9779000000000001E-2</v>
      </c>
      <c r="M377" s="5">
        <f t="shared" ca="1" si="154"/>
        <v>2.1174999999999999E-2</v>
      </c>
      <c r="N377" s="5">
        <f t="shared" ca="1" si="155"/>
        <v>2.5201999999999999E-2</v>
      </c>
      <c r="O377" s="5">
        <f t="shared" ca="1" si="156"/>
        <v>3.0501E-2</v>
      </c>
      <c r="P377" s="8">
        <f t="shared" ca="1" si="157"/>
        <v>1007.3633594702824</v>
      </c>
      <c r="Q377" s="8">
        <f t="shared" ca="1" si="158"/>
        <v>4646.6756999359886</v>
      </c>
      <c r="R377" s="8">
        <f t="shared" ca="1" si="159"/>
        <v>1874.2319980508059</v>
      </c>
      <c r="S377" s="5">
        <f t="shared" ca="1" si="160"/>
        <v>2.2998563083868179E-2</v>
      </c>
      <c r="T377">
        <f t="shared" ca="1" si="161"/>
        <v>6.4901112312884077E-2</v>
      </c>
      <c r="U377" s="5">
        <f t="shared" ca="1" si="162"/>
        <v>-2.01479137014903E-2</v>
      </c>
    </row>
    <row r="378" spans="2:21" x14ac:dyDescent="0.25">
      <c r="B378">
        <f t="shared" si="145"/>
        <v>375</v>
      </c>
      <c r="C378">
        <f t="shared" ref="C378:C387" si="171">C377</f>
        <v>32</v>
      </c>
      <c r="D378">
        <v>3</v>
      </c>
      <c r="E378" s="5">
        <f t="shared" ca="1" si="146"/>
        <v>9.5589999999999998E-3</v>
      </c>
      <c r="F378" s="5">
        <f t="shared" ca="1" si="147"/>
        <v>8.7559999999999999E-3</v>
      </c>
      <c r="G378" s="5">
        <f t="shared" ca="1" si="148"/>
        <v>1.2567E-2</v>
      </c>
      <c r="H378" s="5">
        <f t="shared" ca="1" si="149"/>
        <v>1.0533000000000001E-2</v>
      </c>
      <c r="I378" s="5">
        <f t="shared" ca="1" si="150"/>
        <v>1.2829E-2</v>
      </c>
      <c r="J378" s="5">
        <f t="shared" ca="1" si="151"/>
        <v>1.5046E-2</v>
      </c>
      <c r="K378" s="5">
        <f t="shared" ca="1" si="152"/>
        <v>1.7774999999999999E-2</v>
      </c>
      <c r="L378" s="5">
        <f t="shared" ca="1" si="153"/>
        <v>1.9724999999999999E-2</v>
      </c>
      <c r="M378" s="5">
        <f t="shared" ca="1" si="154"/>
        <v>2.1104999999999999E-2</v>
      </c>
      <c r="N378" s="5">
        <f t="shared" ca="1" si="155"/>
        <v>2.5186E-2</v>
      </c>
      <c r="O378" s="5">
        <f t="shared" ca="1" si="156"/>
        <v>3.0446999999999998E-2</v>
      </c>
      <c r="P378" s="8">
        <f t="shared" ca="1" si="157"/>
        <v>1005.9027262871683</v>
      </c>
      <c r="Q378" s="8">
        <f t="shared" ca="1" si="158"/>
        <v>4658.5884074175246</v>
      </c>
      <c r="R378" s="8">
        <f t="shared" ca="1" si="159"/>
        <v>1871.4853831952405</v>
      </c>
      <c r="S378" s="5">
        <f t="shared" ca="1" si="160"/>
        <v>-1.7261391329824662E-2</v>
      </c>
      <c r="T378">
        <f t="shared" ca="1" si="161"/>
        <v>3.1201983672241251E-2</v>
      </c>
      <c r="U378" s="5">
        <f t="shared" ca="1" si="162"/>
        <v>-1.7444488123908364E-2</v>
      </c>
    </row>
    <row r="379" spans="2:21" x14ac:dyDescent="0.25">
      <c r="B379">
        <f t="shared" si="145"/>
        <v>376</v>
      </c>
      <c r="C379">
        <f t="shared" si="171"/>
        <v>32</v>
      </c>
      <c r="D379">
        <f>D378+1</f>
        <v>4</v>
      </c>
      <c r="E379" s="5">
        <f t="shared" ca="1" si="146"/>
        <v>9.5340000000000008E-3</v>
      </c>
      <c r="F379" s="5">
        <f t="shared" ca="1" si="147"/>
        <v>8.737E-3</v>
      </c>
      <c r="G379" s="5">
        <f t="shared" ca="1" si="148"/>
        <v>1.2626999999999999E-2</v>
      </c>
      <c r="H379" s="5">
        <f t="shared" ca="1" si="149"/>
        <v>1.0557E-2</v>
      </c>
      <c r="I379" s="5">
        <f t="shared" ca="1" si="150"/>
        <v>1.2818E-2</v>
      </c>
      <c r="J379" s="5">
        <f t="shared" ca="1" si="151"/>
        <v>1.4997E-2</v>
      </c>
      <c r="K379" s="5">
        <f t="shared" ca="1" si="152"/>
        <v>1.7707000000000001E-2</v>
      </c>
      <c r="L379" s="5">
        <f t="shared" ca="1" si="153"/>
        <v>1.9782999999999999E-2</v>
      </c>
      <c r="M379" s="5">
        <f t="shared" ca="1" si="154"/>
        <v>2.1054E-2</v>
      </c>
      <c r="N379" s="5">
        <f t="shared" ca="1" si="155"/>
        <v>2.5191000000000002E-2</v>
      </c>
      <c r="O379" s="5">
        <f t="shared" ca="1" si="156"/>
        <v>3.0537999999999999E-2</v>
      </c>
      <c r="P379" s="8">
        <f t="shared" ca="1" si="157"/>
        <v>1005.4269078009843</v>
      </c>
      <c r="Q379" s="8">
        <f t="shared" ca="1" si="158"/>
        <v>4681.2869734905426</v>
      </c>
      <c r="R379" s="8">
        <f t="shared" ca="1" si="159"/>
        <v>1869.0409762314628</v>
      </c>
      <c r="S379" s="5">
        <f t="shared" ca="1" si="160"/>
        <v>-5.6615715956696072E-3</v>
      </c>
      <c r="T379">
        <f t="shared" ca="1" si="161"/>
        <v>6.006155045394302E-2</v>
      </c>
      <c r="U379" s="5">
        <f t="shared" ca="1" si="162"/>
        <v>-1.5561478150478428E-2</v>
      </c>
    </row>
    <row r="380" spans="2:21" x14ac:dyDescent="0.25">
      <c r="B380">
        <f t="shared" si="145"/>
        <v>377</v>
      </c>
      <c r="C380">
        <f t="shared" si="171"/>
        <v>32</v>
      </c>
      <c r="D380">
        <f t="shared" ref="D380:D387" si="172">D379+1</f>
        <v>5</v>
      </c>
      <c r="E380" s="5">
        <f t="shared" ca="1" si="146"/>
        <v>9.5600000000000008E-3</v>
      </c>
      <c r="F380" s="5">
        <f t="shared" ca="1" si="147"/>
        <v>8.7679999999999998E-3</v>
      </c>
      <c r="G380" s="5">
        <f t="shared" ca="1" si="148"/>
        <v>1.2708000000000001E-2</v>
      </c>
      <c r="H380" s="5">
        <f t="shared" ca="1" si="149"/>
        <v>1.0578000000000001E-2</v>
      </c>
      <c r="I380" s="5">
        <f t="shared" ca="1" si="150"/>
        <v>1.2756E-2</v>
      </c>
      <c r="J380" s="5">
        <f t="shared" ca="1" si="151"/>
        <v>1.4922E-2</v>
      </c>
      <c r="K380" s="5">
        <f t="shared" ca="1" si="152"/>
        <v>1.7694999999999999E-2</v>
      </c>
      <c r="L380" s="5">
        <f t="shared" ca="1" si="153"/>
        <v>1.9708E-2</v>
      </c>
      <c r="M380" s="5">
        <f t="shared" ca="1" si="154"/>
        <v>2.0990999999999999E-2</v>
      </c>
      <c r="N380" s="5">
        <f t="shared" ca="1" si="155"/>
        <v>2.5235E-2</v>
      </c>
      <c r="O380" s="5">
        <f t="shared" ca="1" si="156"/>
        <v>3.0568999999999999E-2</v>
      </c>
      <c r="P380" s="8">
        <f t="shared" ca="1" si="157"/>
        <v>1008.7990637473589</v>
      </c>
      <c r="Q380" s="8">
        <f t="shared" ca="1" si="158"/>
        <v>4700.5118141310313</v>
      </c>
      <c r="R380" s="8">
        <f t="shared" ca="1" si="159"/>
        <v>1867.2311771519728</v>
      </c>
      <c r="S380" s="5">
        <f t="shared" ca="1" si="160"/>
        <v>4.0998250069230614E-2</v>
      </c>
      <c r="T380">
        <f t="shared" ca="1" si="161"/>
        <v>5.0409402582090458E-2</v>
      </c>
      <c r="U380" s="5">
        <f t="shared" ca="1" si="162"/>
        <v>-1.1557959951743319E-2</v>
      </c>
    </row>
    <row r="381" spans="2:21" x14ac:dyDescent="0.25">
      <c r="B381">
        <f t="shared" si="145"/>
        <v>378</v>
      </c>
      <c r="C381">
        <f t="shared" si="171"/>
        <v>32</v>
      </c>
      <c r="D381">
        <f t="shared" si="172"/>
        <v>6</v>
      </c>
      <c r="E381" s="5">
        <f t="shared" ca="1" si="146"/>
        <v>9.4809999999999998E-3</v>
      </c>
      <c r="F381" s="5">
        <f t="shared" ca="1" si="147"/>
        <v>8.7779999999999993E-3</v>
      </c>
      <c r="G381" s="5">
        <f t="shared" ca="1" si="148"/>
        <v>1.2707E-2</v>
      </c>
      <c r="H381" s="5">
        <f t="shared" ca="1" si="149"/>
        <v>1.0512000000000001E-2</v>
      </c>
      <c r="I381" s="5">
        <f t="shared" ca="1" si="150"/>
        <v>1.2666E-2</v>
      </c>
      <c r="J381" s="5">
        <f t="shared" ca="1" si="151"/>
        <v>1.4862999999999999E-2</v>
      </c>
      <c r="K381" s="5">
        <f t="shared" ca="1" si="152"/>
        <v>1.7739000000000001E-2</v>
      </c>
      <c r="L381" s="5">
        <f t="shared" ca="1" si="153"/>
        <v>1.9626000000000001E-2</v>
      </c>
      <c r="M381" s="5">
        <f t="shared" ca="1" si="154"/>
        <v>2.0990999999999999E-2</v>
      </c>
      <c r="N381" s="5">
        <f t="shared" ca="1" si="155"/>
        <v>2.5169E-2</v>
      </c>
      <c r="O381" s="5">
        <f t="shared" ca="1" si="156"/>
        <v>3.0572999999999999E-2</v>
      </c>
      <c r="P381" s="8">
        <f t="shared" ca="1" si="157"/>
        <v>1010.153929275665</v>
      </c>
      <c r="Q381" s="8">
        <f t="shared" ca="1" si="158"/>
        <v>4724.8296980642508</v>
      </c>
      <c r="R381" s="8">
        <f t="shared" ca="1" si="159"/>
        <v>1865.4151951642536</v>
      </c>
      <c r="S381" s="5">
        <f t="shared" ca="1" si="160"/>
        <v>1.6236159478091573E-2</v>
      </c>
      <c r="T381">
        <f t="shared" ca="1" si="161"/>
        <v>6.3878739480569297E-2</v>
      </c>
      <c r="U381" s="5">
        <f t="shared" ca="1" si="162"/>
        <v>-1.1608415699717975E-2</v>
      </c>
    </row>
    <row r="382" spans="2:21" x14ac:dyDescent="0.25">
      <c r="B382">
        <f t="shared" si="145"/>
        <v>379</v>
      </c>
      <c r="C382">
        <f t="shared" si="171"/>
        <v>32</v>
      </c>
      <c r="D382">
        <f t="shared" si="172"/>
        <v>7</v>
      </c>
      <c r="E382" s="5">
        <f t="shared" ca="1" si="146"/>
        <v>9.5029999999999993E-3</v>
      </c>
      <c r="F382" s="5">
        <f t="shared" ca="1" si="147"/>
        <v>8.7189999999999993E-3</v>
      </c>
      <c r="G382" s="5">
        <f t="shared" ca="1" si="148"/>
        <v>1.2744E-2</v>
      </c>
      <c r="H382" s="5">
        <f t="shared" ca="1" si="149"/>
        <v>1.0515999999999999E-2</v>
      </c>
      <c r="I382" s="5">
        <f t="shared" ca="1" si="150"/>
        <v>1.2718E-2</v>
      </c>
      <c r="J382" s="5">
        <f t="shared" ca="1" si="151"/>
        <v>1.4945999999999999E-2</v>
      </c>
      <c r="K382" s="5">
        <f t="shared" ca="1" si="152"/>
        <v>1.7689E-2</v>
      </c>
      <c r="L382" s="5">
        <f t="shared" ca="1" si="153"/>
        <v>1.9723000000000001E-2</v>
      </c>
      <c r="M382" s="5">
        <f t="shared" ca="1" si="154"/>
        <v>2.1027000000000001E-2</v>
      </c>
      <c r="N382" s="5">
        <f t="shared" ca="1" si="155"/>
        <v>2.5246999999999999E-2</v>
      </c>
      <c r="O382" s="5">
        <f t="shared" ca="1" si="156"/>
        <v>3.0627999999999999E-2</v>
      </c>
      <c r="P382" s="8">
        <f t="shared" ca="1" si="157"/>
        <v>1009.3012863643982</v>
      </c>
      <c r="Q382" s="8">
        <f t="shared" ca="1" si="158"/>
        <v>4737.7380659352693</v>
      </c>
      <c r="R382" s="8">
        <f t="shared" ca="1" si="159"/>
        <v>1863.1363114716269</v>
      </c>
      <c r="S382" s="5">
        <f t="shared" ca="1" si="160"/>
        <v>-1.0081976957453229E-2</v>
      </c>
      <c r="T382">
        <f t="shared" ca="1" si="161"/>
        <v>3.3281474574259999E-2</v>
      </c>
      <c r="U382" s="5">
        <f t="shared" ca="1" si="162"/>
        <v>-1.4561694759456869E-2</v>
      </c>
    </row>
    <row r="383" spans="2:21" x14ac:dyDescent="0.25">
      <c r="B383">
        <f t="shared" si="145"/>
        <v>380</v>
      </c>
      <c r="C383">
        <f t="shared" si="171"/>
        <v>32</v>
      </c>
      <c r="D383">
        <f t="shared" si="172"/>
        <v>8</v>
      </c>
      <c r="E383" s="5">
        <f t="shared" ca="1" si="146"/>
        <v>9.4330000000000004E-3</v>
      </c>
      <c r="F383" s="5">
        <f t="shared" ca="1" si="147"/>
        <v>8.6739999999999994E-3</v>
      </c>
      <c r="G383" s="5">
        <f t="shared" ca="1" si="148"/>
        <v>1.2687E-2</v>
      </c>
      <c r="H383" s="5">
        <f t="shared" ca="1" si="149"/>
        <v>1.0468E-2</v>
      </c>
      <c r="I383" s="5">
        <f t="shared" ca="1" si="150"/>
        <v>1.277E-2</v>
      </c>
      <c r="J383" s="5">
        <f t="shared" ca="1" si="151"/>
        <v>1.4866000000000001E-2</v>
      </c>
      <c r="K383" s="5">
        <f t="shared" ca="1" si="152"/>
        <v>1.7670000000000002E-2</v>
      </c>
      <c r="L383" s="5">
        <f t="shared" ca="1" si="153"/>
        <v>1.9658999999999999E-2</v>
      </c>
      <c r="M383" s="5">
        <f t="shared" ca="1" si="154"/>
        <v>2.1078E-2</v>
      </c>
      <c r="N383" s="5">
        <f t="shared" ca="1" si="155"/>
        <v>2.5305000000000001E-2</v>
      </c>
      <c r="O383" s="5">
        <f t="shared" ca="1" si="156"/>
        <v>3.0547000000000001E-2</v>
      </c>
      <c r="P383" s="8">
        <f t="shared" ca="1" si="157"/>
        <v>1006.3081019924686</v>
      </c>
      <c r="Q383" s="8">
        <f t="shared" ca="1" si="158"/>
        <v>4753.616805629068</v>
      </c>
      <c r="R383" s="8">
        <f t="shared" ca="1" si="159"/>
        <v>1860.5435952881176</v>
      </c>
      <c r="S383" s="5">
        <f t="shared" ca="1" si="160"/>
        <v>-3.5012449679984001E-2</v>
      </c>
      <c r="T383">
        <f t="shared" ca="1" si="161"/>
        <v>4.0968246664316352E-2</v>
      </c>
      <c r="U383" s="5">
        <f t="shared" ca="1" si="162"/>
        <v>-1.6571824510738301E-2</v>
      </c>
    </row>
    <row r="384" spans="2:21" x14ac:dyDescent="0.25">
      <c r="B384">
        <f t="shared" si="145"/>
        <v>381</v>
      </c>
      <c r="C384">
        <f t="shared" si="171"/>
        <v>32</v>
      </c>
      <c r="D384">
        <f t="shared" si="172"/>
        <v>9</v>
      </c>
      <c r="E384" s="5">
        <f t="shared" ca="1" si="146"/>
        <v>9.4149999999999998E-3</v>
      </c>
      <c r="F384" s="5">
        <f t="shared" ca="1" si="147"/>
        <v>8.7010000000000004E-3</v>
      </c>
      <c r="G384" s="5">
        <f t="shared" ca="1" si="148"/>
        <v>1.2769000000000001E-2</v>
      </c>
      <c r="H384" s="5">
        <f t="shared" ca="1" si="149"/>
        <v>1.0462000000000001E-2</v>
      </c>
      <c r="I384" s="5">
        <f t="shared" ca="1" si="150"/>
        <v>1.278E-2</v>
      </c>
      <c r="J384" s="5">
        <f t="shared" ca="1" si="151"/>
        <v>1.4909E-2</v>
      </c>
      <c r="K384" s="5">
        <f t="shared" ca="1" si="152"/>
        <v>1.7573999999999999E-2</v>
      </c>
      <c r="L384" s="5">
        <f t="shared" ca="1" si="153"/>
        <v>1.9667E-2</v>
      </c>
      <c r="M384" s="5">
        <f t="shared" ca="1" si="154"/>
        <v>2.0986000000000001E-2</v>
      </c>
      <c r="N384" s="5">
        <f t="shared" ca="1" si="155"/>
        <v>2.5241E-2</v>
      </c>
      <c r="O384" s="5">
        <f t="shared" ca="1" si="156"/>
        <v>3.0508E-2</v>
      </c>
      <c r="P384" s="8">
        <f t="shared" ca="1" si="157"/>
        <v>1004.1497180732264</v>
      </c>
      <c r="Q384" s="8">
        <f t="shared" ca="1" si="158"/>
        <v>4769.5102523225478</v>
      </c>
      <c r="R384" s="8">
        <f t="shared" ca="1" si="159"/>
        <v>1858.132388322314</v>
      </c>
      <c r="S384" s="5">
        <f t="shared" ca="1" si="160"/>
        <v>-2.5436781578295608E-2</v>
      </c>
      <c r="T384">
        <f t="shared" ca="1" si="161"/>
        <v>4.0867388664473772E-2</v>
      </c>
      <c r="U384" s="5">
        <f t="shared" ca="1" si="162"/>
        <v>-1.5441257021769249E-2</v>
      </c>
    </row>
    <row r="385" spans="2:21" x14ac:dyDescent="0.25">
      <c r="B385">
        <f t="shared" si="145"/>
        <v>382</v>
      </c>
      <c r="C385">
        <f t="shared" si="171"/>
        <v>32</v>
      </c>
      <c r="D385">
        <f t="shared" si="172"/>
        <v>10</v>
      </c>
      <c r="E385" s="5">
        <f t="shared" ca="1" si="146"/>
        <v>9.3340000000000003E-3</v>
      </c>
      <c r="F385" s="5">
        <f t="shared" ca="1" si="147"/>
        <v>8.6929999999999993E-3</v>
      </c>
      <c r="G385" s="5">
        <f t="shared" ca="1" si="148"/>
        <v>1.2841E-2</v>
      </c>
      <c r="H385" s="5">
        <f t="shared" ca="1" si="149"/>
        <v>1.0544E-2</v>
      </c>
      <c r="I385" s="5">
        <f t="shared" ca="1" si="150"/>
        <v>1.2874E-2</v>
      </c>
      <c r="J385" s="5">
        <f t="shared" ca="1" si="151"/>
        <v>1.4867E-2</v>
      </c>
      <c r="K385" s="5">
        <f t="shared" ca="1" si="152"/>
        <v>1.7576000000000001E-2</v>
      </c>
      <c r="L385" s="5">
        <f t="shared" ca="1" si="153"/>
        <v>1.9710999999999999E-2</v>
      </c>
      <c r="M385" s="5">
        <f t="shared" ca="1" si="154"/>
        <v>2.1003999999999998E-2</v>
      </c>
      <c r="N385" s="5">
        <f t="shared" ca="1" si="155"/>
        <v>2.5212999999999999E-2</v>
      </c>
      <c r="O385" s="5">
        <f t="shared" ca="1" si="156"/>
        <v>3.0603000000000002E-2</v>
      </c>
      <c r="P385" s="8">
        <f t="shared" ca="1" si="157"/>
        <v>1001.227017582375</v>
      </c>
      <c r="Q385" s="8">
        <f t="shared" ca="1" si="158"/>
        <v>4788.5208780217663</v>
      </c>
      <c r="R385" s="8">
        <f t="shared" ca="1" si="159"/>
        <v>1855.470895617465</v>
      </c>
      <c r="S385" s="5">
        <f t="shared" ca="1" si="160"/>
        <v>-3.4373722508633728E-2</v>
      </c>
      <c r="T385">
        <f t="shared" ca="1" si="161"/>
        <v>4.8892991420783918E-2</v>
      </c>
      <c r="U385" s="5">
        <f t="shared" ca="1" si="162"/>
        <v>-1.7053416593425675E-2</v>
      </c>
    </row>
    <row r="386" spans="2:21" x14ac:dyDescent="0.25">
      <c r="B386">
        <f t="shared" si="145"/>
        <v>383</v>
      </c>
      <c r="C386">
        <f t="shared" si="171"/>
        <v>32</v>
      </c>
      <c r="D386">
        <f t="shared" si="172"/>
        <v>11</v>
      </c>
      <c r="E386" s="5">
        <f t="shared" ca="1" si="146"/>
        <v>9.3509999999999999E-3</v>
      </c>
      <c r="F386" s="5">
        <f t="shared" ca="1" si="147"/>
        <v>8.7069999999999995E-3</v>
      </c>
      <c r="G386" s="5">
        <f t="shared" ca="1" si="148"/>
        <v>1.2888E-2</v>
      </c>
      <c r="H386" s="5">
        <f t="shared" ca="1" si="149"/>
        <v>1.0629E-2</v>
      </c>
      <c r="I386" s="5">
        <f t="shared" ca="1" si="150"/>
        <v>1.2923E-2</v>
      </c>
      <c r="J386" s="5">
        <f t="shared" ca="1" si="151"/>
        <v>1.4838E-2</v>
      </c>
      <c r="K386" s="5">
        <f t="shared" ca="1" si="152"/>
        <v>1.7580999999999999E-2</v>
      </c>
      <c r="L386" s="5">
        <f t="shared" ca="1" si="153"/>
        <v>1.9685000000000001E-2</v>
      </c>
      <c r="M386" s="5">
        <f t="shared" ca="1" si="154"/>
        <v>2.1007000000000001E-2</v>
      </c>
      <c r="N386" s="5">
        <f t="shared" ca="1" si="155"/>
        <v>2.5118999999999999E-2</v>
      </c>
      <c r="O386" s="5">
        <f t="shared" ca="1" si="156"/>
        <v>3.0609000000000001E-2</v>
      </c>
      <c r="P386" s="8">
        <f t="shared" ca="1" si="157"/>
        <v>1003.8727153405081</v>
      </c>
      <c r="Q386" s="8">
        <f t="shared" ca="1" si="158"/>
        <v>4812.9451315152537</v>
      </c>
      <c r="R386" s="8">
        <f t="shared" ca="1" si="159"/>
        <v>1852.2442212824399</v>
      </c>
      <c r="S386" s="5">
        <f t="shared" ca="1" si="160"/>
        <v>3.2174398174447442E-2</v>
      </c>
      <c r="T386">
        <f t="shared" ca="1" si="161"/>
        <v>6.295359357561206E-2</v>
      </c>
      <c r="U386" s="5">
        <f t="shared" ca="1" si="162"/>
        <v>-2.0669626754576731E-2</v>
      </c>
    </row>
    <row r="387" spans="2:21" x14ac:dyDescent="0.25">
      <c r="B387">
        <f t="shared" si="145"/>
        <v>384</v>
      </c>
      <c r="C387">
        <f t="shared" si="171"/>
        <v>32</v>
      </c>
      <c r="D387">
        <f t="shared" si="172"/>
        <v>12</v>
      </c>
      <c r="E387" s="5">
        <f t="shared" ca="1" si="146"/>
        <v>9.4409999999999997E-3</v>
      </c>
      <c r="F387" s="5">
        <f t="shared" ca="1" si="147"/>
        <v>8.6549999999999995E-3</v>
      </c>
      <c r="G387" s="5">
        <f t="shared" ca="1" si="148"/>
        <v>1.2839E-2</v>
      </c>
      <c r="H387" s="5">
        <f t="shared" ca="1" si="149"/>
        <v>1.0572E-2</v>
      </c>
      <c r="I387" s="5">
        <f t="shared" ca="1" si="150"/>
        <v>1.295E-2</v>
      </c>
      <c r="J387" s="5">
        <f t="shared" ca="1" si="151"/>
        <v>1.4912E-2</v>
      </c>
      <c r="K387" s="5">
        <f t="shared" ca="1" si="152"/>
        <v>1.7485000000000001E-2</v>
      </c>
      <c r="L387" s="5">
        <f t="shared" ca="1" si="153"/>
        <v>1.9626999999999999E-2</v>
      </c>
      <c r="M387" s="5">
        <f t="shared" ca="1" si="154"/>
        <v>2.1021999999999999E-2</v>
      </c>
      <c r="N387" s="5">
        <f t="shared" ca="1" si="155"/>
        <v>2.5118000000000001E-2</v>
      </c>
      <c r="O387" s="5">
        <f t="shared" ca="1" si="156"/>
        <v>3.0626E-2</v>
      </c>
      <c r="P387" s="8">
        <f t="shared" ca="1" si="157"/>
        <v>1007.8600336295464</v>
      </c>
      <c r="Q387" s="8">
        <f t="shared" ca="1" si="158"/>
        <v>4825.5326764751362</v>
      </c>
      <c r="R387" s="8">
        <f t="shared" ca="1" si="159"/>
        <v>1848.3881388782106</v>
      </c>
      <c r="S387" s="5">
        <f t="shared" ca="1" si="160"/>
        <v>4.8718377287905852E-2</v>
      </c>
      <c r="T387">
        <f t="shared" ca="1" si="161"/>
        <v>3.1839625401286695E-2</v>
      </c>
      <c r="U387" s="5">
        <f t="shared" ca="1" si="162"/>
        <v>-2.4698047794320992E-2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387"/>
  <sheetViews>
    <sheetView showGridLines="0" tabSelected="1" topLeftCell="AA3" zoomScaleNormal="100" workbookViewId="0">
      <selection activeCell="AX21" sqref="AX21"/>
    </sheetView>
  </sheetViews>
  <sheetFormatPr defaultRowHeight="15" x14ac:dyDescent="0.25"/>
  <cols>
    <col min="15" max="17" width="9.140625" style="8"/>
  </cols>
  <sheetData>
    <row r="1" spans="1:25" x14ac:dyDescent="0.25">
      <c r="E1">
        <v>0.25</v>
      </c>
      <c r="F1">
        <v>0.5</v>
      </c>
      <c r="G1">
        <v>1</v>
      </c>
      <c r="H1">
        <v>2</v>
      </c>
      <c r="I1">
        <v>3</v>
      </c>
      <c r="J1">
        <v>5</v>
      </c>
      <c r="K1">
        <v>7</v>
      </c>
      <c r="L1">
        <v>10</v>
      </c>
      <c r="M1">
        <v>20</v>
      </c>
      <c r="N1">
        <v>30</v>
      </c>
    </row>
    <row r="2" spans="1:25" x14ac:dyDescent="0.25">
      <c r="A2" s="6" t="s">
        <v>11</v>
      </c>
      <c r="B2" s="6" t="s">
        <v>12</v>
      </c>
      <c r="C2" s="6" t="s">
        <v>13</v>
      </c>
      <c r="D2" s="6" t="s">
        <v>14</v>
      </c>
      <c r="E2" s="6" t="s">
        <v>15</v>
      </c>
      <c r="F2" s="6" t="s">
        <v>16</v>
      </c>
      <c r="G2" s="6" t="s">
        <v>17</v>
      </c>
      <c r="H2" s="6" t="s">
        <v>18</v>
      </c>
      <c r="I2" s="6" t="s">
        <v>19</v>
      </c>
      <c r="J2" s="6" t="s">
        <v>20</v>
      </c>
      <c r="K2" s="6" t="s">
        <v>21</v>
      </c>
      <c r="L2" s="6" t="s">
        <v>22</v>
      </c>
      <c r="M2" s="6" t="s">
        <v>23</v>
      </c>
      <c r="N2" s="6" t="s">
        <v>24</v>
      </c>
      <c r="O2" s="7" t="s">
        <v>28</v>
      </c>
      <c r="P2" s="7" t="s">
        <v>29</v>
      </c>
      <c r="Q2" s="7" t="s">
        <v>30</v>
      </c>
      <c r="R2" s="6" t="s">
        <v>25</v>
      </c>
      <c r="S2" s="6" t="s">
        <v>27</v>
      </c>
      <c r="T2" s="6" t="s">
        <v>26</v>
      </c>
    </row>
    <row r="3" spans="1:25" x14ac:dyDescent="0.25">
      <c r="A3">
        <v>0</v>
      </c>
      <c r="B3">
        <v>0</v>
      </c>
      <c r="C3">
        <v>12</v>
      </c>
      <c r="D3">
        <v>8.199999999999999E-3</v>
      </c>
      <c r="E3">
        <v>9.7999999999999997E-3</v>
      </c>
      <c r="F3">
        <v>1.0700000000000001E-2</v>
      </c>
      <c r="G3">
        <v>1.1599999999999999E-2</v>
      </c>
      <c r="H3">
        <v>1.2800000000000001E-2</v>
      </c>
      <c r="I3">
        <v>1.4499999999999999E-2</v>
      </c>
      <c r="J3">
        <v>1.7600000000000001E-2</v>
      </c>
      <c r="K3">
        <v>2.0199999999999999E-2</v>
      </c>
      <c r="L3">
        <v>2.2099999999999998E-2</v>
      </c>
      <c r="M3">
        <v>2.6000000000000002E-2</v>
      </c>
      <c r="N3">
        <v>2.87E-2</v>
      </c>
      <c r="O3" s="8">
        <v>1000</v>
      </c>
      <c r="P3" s="8">
        <v>1000</v>
      </c>
      <c r="Q3" s="8">
        <v>1000</v>
      </c>
      <c r="R3">
        <v>0.09</v>
      </c>
      <c r="S3">
        <v>5.9352249882361048E-2</v>
      </c>
      <c r="T3">
        <v>0.06</v>
      </c>
      <c r="W3" t="s">
        <v>31</v>
      </c>
      <c r="X3" t="s">
        <v>12</v>
      </c>
      <c r="Y3" t="s">
        <v>11</v>
      </c>
    </row>
    <row r="4" spans="1:25" x14ac:dyDescent="0.25">
      <c r="A4">
        <v>1</v>
      </c>
      <c r="B4">
        <v>1</v>
      </c>
      <c r="C4">
        <v>1</v>
      </c>
      <c r="D4">
        <v>8.1019999999999998E-3</v>
      </c>
      <c r="E4">
        <v>9.8650000000000005E-3</v>
      </c>
      <c r="F4">
        <v>1.0697E-2</v>
      </c>
      <c r="G4">
        <v>1.1504E-2</v>
      </c>
      <c r="H4">
        <v>1.2725999999999999E-2</v>
      </c>
      <c r="I4">
        <v>1.4435E-2</v>
      </c>
      <c r="J4">
        <v>1.7565999999999998E-2</v>
      </c>
      <c r="K4">
        <v>2.0249E-2</v>
      </c>
      <c r="L4">
        <v>2.2020000000000001E-2</v>
      </c>
      <c r="M4">
        <v>2.6027999999999999E-2</v>
      </c>
      <c r="N4">
        <v>2.8659E-2</v>
      </c>
      <c r="O4" s="8">
        <f>O3*(1+R4)^(1/12)</f>
        <v>1003.6329139951714</v>
      </c>
      <c r="P4" s="8">
        <f t="shared" ref="P4:Q4" si="0">P3*(1+S4)^(1/12)</f>
        <v>1004.9706911901368</v>
      </c>
      <c r="Q4" s="8">
        <f t="shared" si="0"/>
        <v>1004.6500102956409</v>
      </c>
      <c r="R4">
        <v>4.4476675334225231E-2</v>
      </c>
      <c r="S4">
        <v>6.1306330997274415E-2</v>
      </c>
      <c r="T4">
        <v>5.7249567993454244E-2</v>
      </c>
      <c r="W4" t="s">
        <v>32</v>
      </c>
      <c r="X4">
        <v>0</v>
      </c>
      <c r="Y4">
        <v>60</v>
      </c>
    </row>
    <row r="5" spans="1:25" x14ac:dyDescent="0.25">
      <c r="A5">
        <v>2</v>
      </c>
      <c r="B5">
        <v>1</v>
      </c>
      <c r="C5">
        <v>2</v>
      </c>
      <c r="D5">
        <v>8.0920000000000002E-3</v>
      </c>
      <c r="E5">
        <v>9.8200000000000006E-3</v>
      </c>
      <c r="F5">
        <v>1.0603E-2</v>
      </c>
      <c r="G5">
        <v>1.1454000000000001E-2</v>
      </c>
      <c r="H5">
        <v>1.2645E-2</v>
      </c>
      <c r="I5">
        <v>1.4482E-2</v>
      </c>
      <c r="J5">
        <v>1.7498E-2</v>
      </c>
      <c r="K5">
        <v>2.0267E-2</v>
      </c>
      <c r="L5">
        <v>2.2067E-2</v>
      </c>
      <c r="M5">
        <v>2.6054999999999998E-2</v>
      </c>
      <c r="N5">
        <v>2.8636999999999999E-2</v>
      </c>
      <c r="O5" s="8">
        <f t="shared" ref="O5:O68" si="1">O4*(1+R5)^(1/12)</f>
        <v>1004.9779120962364</v>
      </c>
      <c r="P5" s="8">
        <f t="shared" ref="P5:P68" si="2">P4*(1+S5)^(1/12)</f>
        <v>1008.500671268701</v>
      </c>
      <c r="Q5" s="8">
        <f t="shared" ref="Q5:Q68" si="3">Q4*(1+T5)^(1/12)</f>
        <v>1009.2975103317037</v>
      </c>
      <c r="R5">
        <v>1.620061791709887E-2</v>
      </c>
      <c r="S5">
        <v>4.2974149737993524E-2</v>
      </c>
      <c r="T5">
        <v>5.6946262151937696E-2</v>
      </c>
      <c r="W5" t="s">
        <v>32</v>
      </c>
      <c r="X5">
        <v>1</v>
      </c>
      <c r="Y5">
        <f>Y4</f>
        <v>60</v>
      </c>
    </row>
    <row r="6" spans="1:25" x14ac:dyDescent="0.25">
      <c r="A6">
        <v>3</v>
      </c>
      <c r="B6">
        <v>1</v>
      </c>
      <c r="C6">
        <v>3</v>
      </c>
      <c r="D6">
        <v>8.0099999999999998E-3</v>
      </c>
      <c r="E6">
        <v>9.8619999999999992E-3</v>
      </c>
      <c r="F6">
        <v>1.0633999999999999E-2</v>
      </c>
      <c r="G6">
        <v>1.1443999999999999E-2</v>
      </c>
      <c r="H6">
        <v>1.2607E-2</v>
      </c>
      <c r="I6">
        <v>1.4392E-2</v>
      </c>
      <c r="J6">
        <v>1.7579000000000001E-2</v>
      </c>
      <c r="K6">
        <v>2.0204E-2</v>
      </c>
      <c r="L6">
        <v>2.2148999999999999E-2</v>
      </c>
      <c r="M6">
        <v>2.6030999999999999E-2</v>
      </c>
      <c r="N6">
        <v>2.8603E-2</v>
      </c>
      <c r="O6" s="8">
        <f t="shared" si="1"/>
        <v>1006.4363914888044</v>
      </c>
      <c r="P6" s="8">
        <f t="shared" si="2"/>
        <v>1012.3659881197691</v>
      </c>
      <c r="Q6" s="8">
        <f t="shared" si="3"/>
        <v>1014.1009066123628</v>
      </c>
      <c r="R6">
        <v>1.7554742048187997E-2</v>
      </c>
      <c r="S6">
        <v>4.6974857380291814E-2</v>
      </c>
      <c r="T6">
        <v>5.8628613161954481E-2</v>
      </c>
      <c r="W6" t="s">
        <v>33</v>
      </c>
      <c r="X6">
        <v>0</v>
      </c>
      <c r="Y6">
        <v>0.5</v>
      </c>
    </row>
    <row r="7" spans="1:25" x14ac:dyDescent="0.25">
      <c r="A7">
        <v>4</v>
      </c>
      <c r="B7">
        <v>1</v>
      </c>
      <c r="C7">
        <v>4</v>
      </c>
      <c r="D7">
        <v>8.0289999999999997E-3</v>
      </c>
      <c r="E7">
        <v>9.8650000000000005E-3</v>
      </c>
      <c r="F7">
        <v>1.0588999999999999E-2</v>
      </c>
      <c r="G7">
        <v>1.1448E-2</v>
      </c>
      <c r="H7">
        <v>1.2566000000000001E-2</v>
      </c>
      <c r="I7">
        <v>1.4428E-2</v>
      </c>
      <c r="J7">
        <v>1.7649999999999999E-2</v>
      </c>
      <c r="K7">
        <v>2.0108000000000001E-2</v>
      </c>
      <c r="L7">
        <v>2.2106000000000001E-2</v>
      </c>
      <c r="M7">
        <v>2.6002000000000001E-2</v>
      </c>
      <c r="N7">
        <v>2.8511999999999999E-2</v>
      </c>
      <c r="O7" s="8">
        <f t="shared" si="1"/>
        <v>1009.4978130237934</v>
      </c>
      <c r="P7" s="8">
        <f t="shared" si="2"/>
        <v>1015.4634367994282</v>
      </c>
      <c r="Q7" s="8">
        <f t="shared" si="3"/>
        <v>1018.7129386096171</v>
      </c>
      <c r="R7">
        <v>3.7119036524675693E-2</v>
      </c>
      <c r="S7">
        <v>3.7339548708119841E-2</v>
      </c>
      <c r="T7">
        <v>5.5960842763436512E-2</v>
      </c>
      <c r="W7" t="s">
        <v>33</v>
      </c>
      <c r="X7">
        <v>1</v>
      </c>
      <c r="Y7">
        <v>0.5</v>
      </c>
    </row>
    <row r="8" spans="1:25" x14ac:dyDescent="0.25">
      <c r="A8">
        <v>5</v>
      </c>
      <c r="B8">
        <v>1</v>
      </c>
      <c r="C8">
        <v>5</v>
      </c>
      <c r="D8">
        <v>8.0719999999999993E-3</v>
      </c>
      <c r="E8">
        <v>9.9509999999999998E-3</v>
      </c>
      <c r="F8">
        <v>1.0571000000000001E-2</v>
      </c>
      <c r="G8">
        <v>1.1403999999999999E-2</v>
      </c>
      <c r="H8">
        <v>1.2583E-2</v>
      </c>
      <c r="I8">
        <v>1.4423E-2</v>
      </c>
      <c r="J8">
        <v>1.7595E-2</v>
      </c>
      <c r="K8">
        <v>2.0164000000000001E-2</v>
      </c>
      <c r="L8">
        <v>2.2152999999999999E-2</v>
      </c>
      <c r="M8">
        <v>2.6100000000000002E-2</v>
      </c>
      <c r="N8">
        <v>2.8485E-2</v>
      </c>
      <c r="O8" s="8">
        <f t="shared" si="1"/>
        <v>1009.7361560417968</v>
      </c>
      <c r="P8" s="8">
        <f t="shared" si="2"/>
        <v>1019.6788217031218</v>
      </c>
      <c r="Q8" s="8">
        <f t="shared" si="3"/>
        <v>1023.1057240761371</v>
      </c>
      <c r="R8">
        <v>2.8368889130819955E-3</v>
      </c>
      <c r="S8">
        <v>5.0967542688781405E-2</v>
      </c>
      <c r="T8">
        <v>5.299014810566062E-2</v>
      </c>
      <c r="W8" t="s">
        <v>34</v>
      </c>
      <c r="X8">
        <v>0</v>
      </c>
      <c r="Y8">
        <v>240</v>
      </c>
    </row>
    <row r="9" spans="1:25" x14ac:dyDescent="0.25">
      <c r="A9">
        <v>6</v>
      </c>
      <c r="B9">
        <v>1</v>
      </c>
      <c r="C9">
        <v>6</v>
      </c>
      <c r="D9">
        <v>8.1399999999999997E-3</v>
      </c>
      <c r="E9">
        <v>9.9220000000000003E-3</v>
      </c>
      <c r="F9">
        <v>1.0643E-2</v>
      </c>
      <c r="G9">
        <v>1.1349E-2</v>
      </c>
      <c r="H9">
        <v>1.2597000000000001E-2</v>
      </c>
      <c r="I9">
        <v>1.4338E-2</v>
      </c>
      <c r="J9">
        <v>1.7624999999999998E-2</v>
      </c>
      <c r="K9">
        <v>2.026E-2</v>
      </c>
      <c r="L9">
        <v>2.2200000000000001E-2</v>
      </c>
      <c r="M9">
        <v>2.6179999999999998E-2</v>
      </c>
      <c r="N9">
        <v>2.8544E-2</v>
      </c>
      <c r="O9" s="8">
        <f t="shared" si="1"/>
        <v>1009.3716886975056</v>
      </c>
      <c r="P9" s="8">
        <f t="shared" si="2"/>
        <v>1024.4604274864885</v>
      </c>
      <c r="Q9" s="8">
        <f t="shared" si="3"/>
        <v>1027.7372125220102</v>
      </c>
      <c r="R9">
        <v>-4.3228479777975264E-3</v>
      </c>
      <c r="S9">
        <v>5.7746156558710321E-2</v>
      </c>
      <c r="T9">
        <v>5.5695835753398031E-2</v>
      </c>
      <c r="W9" t="s">
        <v>34</v>
      </c>
      <c r="X9">
        <v>1</v>
      </c>
      <c r="Y9">
        <v>240</v>
      </c>
    </row>
    <row r="10" spans="1:25" x14ac:dyDescent="0.25">
      <c r="A10">
        <v>7</v>
      </c>
      <c r="B10">
        <v>1</v>
      </c>
      <c r="C10">
        <v>7</v>
      </c>
      <c r="D10">
        <v>8.0870000000000004E-3</v>
      </c>
      <c r="E10">
        <v>9.8580000000000004E-3</v>
      </c>
      <c r="F10">
        <v>1.0688E-2</v>
      </c>
      <c r="G10">
        <v>1.1299E-2</v>
      </c>
      <c r="H10">
        <v>1.2558E-2</v>
      </c>
      <c r="I10">
        <v>1.4356000000000001E-2</v>
      </c>
      <c r="J10">
        <v>1.7606E-2</v>
      </c>
      <c r="K10">
        <v>2.0319E-2</v>
      </c>
      <c r="L10">
        <v>2.2165000000000001E-2</v>
      </c>
      <c r="M10">
        <v>2.6152999999999999E-2</v>
      </c>
      <c r="N10">
        <v>2.8451000000000001E-2</v>
      </c>
      <c r="O10" s="8">
        <f t="shared" si="1"/>
        <v>1005.7137981674314</v>
      </c>
      <c r="P10" s="8">
        <f t="shared" si="2"/>
        <v>1028.8777766600776</v>
      </c>
      <c r="Q10" s="8">
        <f t="shared" si="3"/>
        <v>1032.3225441683155</v>
      </c>
      <c r="R10">
        <v>-4.2630755441153426E-2</v>
      </c>
      <c r="S10">
        <v>5.2987446208689844E-2</v>
      </c>
      <c r="T10">
        <v>5.4872470080800977E-2</v>
      </c>
      <c r="W10" t="s">
        <v>35</v>
      </c>
      <c r="X10">
        <v>0</v>
      </c>
      <c r="Y10">
        <v>80</v>
      </c>
    </row>
    <row r="11" spans="1:25" x14ac:dyDescent="0.25">
      <c r="A11">
        <v>8</v>
      </c>
      <c r="B11">
        <v>1</v>
      </c>
      <c r="C11">
        <v>8</v>
      </c>
      <c r="D11">
        <v>8.1089999999999999E-3</v>
      </c>
      <c r="E11">
        <v>9.8890000000000002E-3</v>
      </c>
      <c r="F11">
        <v>1.077E-2</v>
      </c>
      <c r="G11">
        <v>1.1228999999999999E-2</v>
      </c>
      <c r="H11">
        <v>1.2544E-2</v>
      </c>
      <c r="I11">
        <v>1.4279999999999999E-2</v>
      </c>
      <c r="J11">
        <v>1.7564E-2</v>
      </c>
      <c r="K11">
        <v>2.0282999999999999E-2</v>
      </c>
      <c r="L11">
        <v>2.2155000000000001E-2</v>
      </c>
      <c r="M11">
        <v>2.6183999999999999E-2</v>
      </c>
      <c r="N11">
        <v>2.8358999999999999E-2</v>
      </c>
      <c r="O11" s="8">
        <f t="shared" si="1"/>
        <v>1001.883149794682</v>
      </c>
      <c r="P11" s="8">
        <f t="shared" si="2"/>
        <v>1032.8572407486997</v>
      </c>
      <c r="Q11" s="8">
        <f t="shared" si="3"/>
        <v>1036.704175810687</v>
      </c>
      <c r="R11">
        <v>-4.4761173213607508E-2</v>
      </c>
      <c r="S11">
        <v>4.7413435459262743E-2</v>
      </c>
      <c r="T11">
        <v>5.2139278484029355E-2</v>
      </c>
      <c r="W11" t="s">
        <v>35</v>
      </c>
      <c r="X11">
        <v>1</v>
      </c>
      <c r="Y11">
        <v>80</v>
      </c>
    </row>
    <row r="12" spans="1:25" x14ac:dyDescent="0.25">
      <c r="A12">
        <v>9</v>
      </c>
      <c r="B12">
        <v>1</v>
      </c>
      <c r="C12">
        <v>9</v>
      </c>
      <c r="D12">
        <v>8.0590000000000002E-3</v>
      </c>
      <c r="E12">
        <v>9.7909999999999994E-3</v>
      </c>
      <c r="F12">
        <v>1.0805E-2</v>
      </c>
      <c r="G12">
        <v>1.1138E-2</v>
      </c>
      <c r="H12">
        <v>1.2625000000000001E-2</v>
      </c>
      <c r="I12">
        <v>1.4213999999999999E-2</v>
      </c>
      <c r="J12">
        <v>1.7656999999999999E-2</v>
      </c>
      <c r="K12">
        <v>2.0202000000000001E-2</v>
      </c>
      <c r="L12">
        <v>2.2069999999999999E-2</v>
      </c>
      <c r="M12">
        <v>2.6221999999999999E-2</v>
      </c>
      <c r="N12">
        <v>2.8386000000000002E-2</v>
      </c>
      <c r="O12" s="8">
        <f t="shared" si="1"/>
        <v>1003.4434386566941</v>
      </c>
      <c r="P12" s="8">
        <f t="shared" si="2"/>
        <v>1037.3258204185322</v>
      </c>
      <c r="Q12" s="8">
        <f t="shared" si="3"/>
        <v>1041.1091994458909</v>
      </c>
      <c r="R12">
        <v>1.8849181051960602E-2</v>
      </c>
      <c r="S12">
        <v>5.31704789888384E-2</v>
      </c>
      <c r="T12">
        <v>5.2197422775652903E-2</v>
      </c>
      <c r="W12" t="s">
        <v>36</v>
      </c>
      <c r="X12">
        <v>0</v>
      </c>
      <c r="Y12">
        <v>100</v>
      </c>
    </row>
    <row r="13" spans="1:25" x14ac:dyDescent="0.25">
      <c r="A13">
        <v>10</v>
      </c>
      <c r="B13">
        <v>1</v>
      </c>
      <c r="C13">
        <v>10</v>
      </c>
      <c r="D13">
        <v>7.9649999999999999E-3</v>
      </c>
      <c r="E13">
        <v>9.7070000000000004E-3</v>
      </c>
      <c r="F13">
        <v>1.0902999999999999E-2</v>
      </c>
      <c r="G13">
        <v>1.1223E-2</v>
      </c>
      <c r="H13">
        <v>1.2656000000000001E-2</v>
      </c>
      <c r="I13">
        <v>1.417E-2</v>
      </c>
      <c r="J13">
        <v>1.7715999999999999E-2</v>
      </c>
      <c r="K13">
        <v>2.0112000000000001E-2</v>
      </c>
      <c r="L13">
        <v>2.2024999999999999E-2</v>
      </c>
      <c r="M13">
        <v>2.6304999999999999E-2</v>
      </c>
      <c r="N13">
        <v>2.8336E-2</v>
      </c>
      <c r="O13" s="8">
        <f t="shared" si="1"/>
        <v>1003.8197699516888</v>
      </c>
      <c r="P13" s="8">
        <f t="shared" si="2"/>
        <v>1041.7279392309808</v>
      </c>
      <c r="Q13" s="8">
        <f t="shared" si="3"/>
        <v>1045.4092175602241</v>
      </c>
      <c r="R13">
        <v>4.5097732572214758E-3</v>
      </c>
      <c r="S13">
        <v>5.2130201444262232E-2</v>
      </c>
      <c r="T13">
        <v>5.070425812601817E-2</v>
      </c>
      <c r="W13" t="s">
        <v>36</v>
      </c>
      <c r="X13">
        <v>1</v>
      </c>
      <c r="Y13">
        <v>100</v>
      </c>
    </row>
    <row r="14" spans="1:25" x14ac:dyDescent="0.25">
      <c r="A14">
        <v>11</v>
      </c>
      <c r="B14">
        <v>1</v>
      </c>
      <c r="C14">
        <v>11</v>
      </c>
      <c r="D14">
        <v>8.0370000000000007E-3</v>
      </c>
      <c r="E14">
        <v>9.7429999999999999E-3</v>
      </c>
      <c r="F14">
        <v>1.0940999999999999E-2</v>
      </c>
      <c r="G14">
        <v>1.1214E-2</v>
      </c>
      <c r="H14">
        <v>1.273E-2</v>
      </c>
      <c r="I14">
        <v>1.4138E-2</v>
      </c>
      <c r="J14">
        <v>1.7731E-2</v>
      </c>
      <c r="K14">
        <v>2.0126000000000002E-2</v>
      </c>
      <c r="L14">
        <v>2.1937999999999999E-2</v>
      </c>
      <c r="M14">
        <v>2.6346999999999999E-2</v>
      </c>
      <c r="N14">
        <v>2.8237999999999999E-2</v>
      </c>
      <c r="O14" s="8">
        <f t="shared" si="1"/>
        <v>1004.9316882135248</v>
      </c>
      <c r="P14" s="8">
        <f t="shared" si="2"/>
        <v>1047.3116976009671</v>
      </c>
      <c r="Q14" s="8">
        <f t="shared" si="3"/>
        <v>1049.5265911522802</v>
      </c>
      <c r="R14">
        <v>1.3373525643862695E-2</v>
      </c>
      <c r="S14">
        <v>6.6251623992880329E-2</v>
      </c>
      <c r="T14">
        <v>4.8299690233114499E-2</v>
      </c>
      <c r="W14" t="s">
        <v>37</v>
      </c>
      <c r="X14">
        <v>0</v>
      </c>
      <c r="Y14">
        <v>150</v>
      </c>
    </row>
    <row r="15" spans="1:25" x14ac:dyDescent="0.25">
      <c r="A15">
        <v>12</v>
      </c>
      <c r="B15">
        <v>1</v>
      </c>
      <c r="C15">
        <v>12</v>
      </c>
      <c r="D15">
        <v>8.0499999999999999E-3</v>
      </c>
      <c r="E15">
        <v>9.783E-3</v>
      </c>
      <c r="F15">
        <v>1.0881999999999999E-2</v>
      </c>
      <c r="G15">
        <v>1.1119E-2</v>
      </c>
      <c r="H15">
        <v>1.2692E-2</v>
      </c>
      <c r="I15">
        <v>1.4179000000000001E-2</v>
      </c>
      <c r="J15">
        <v>1.7663000000000002E-2</v>
      </c>
      <c r="K15">
        <v>2.0108999999999998E-2</v>
      </c>
      <c r="L15">
        <v>2.198E-2</v>
      </c>
      <c r="M15">
        <v>2.6296E-2</v>
      </c>
      <c r="N15">
        <v>2.8174000000000001E-2</v>
      </c>
      <c r="O15" s="8">
        <f t="shared" si="1"/>
        <v>1001.905449822132</v>
      </c>
      <c r="P15" s="8">
        <f t="shared" si="2"/>
        <v>1051.2830158886234</v>
      </c>
      <c r="Q15" s="8">
        <f t="shared" si="3"/>
        <v>1053.3337133388866</v>
      </c>
      <c r="R15">
        <v>-3.5544095533597504E-2</v>
      </c>
      <c r="S15">
        <v>4.6464082938862013E-2</v>
      </c>
      <c r="T15">
        <v>4.440864280639685E-2</v>
      </c>
      <c r="W15" t="s">
        <v>37</v>
      </c>
      <c r="X15">
        <v>1</v>
      </c>
      <c r="Y15">
        <v>150</v>
      </c>
    </row>
    <row r="16" spans="1:25" x14ac:dyDescent="0.25">
      <c r="A16">
        <v>13</v>
      </c>
      <c r="B16">
        <v>2</v>
      </c>
      <c r="C16">
        <v>1</v>
      </c>
      <c r="D16">
        <v>7.9889999999999996E-3</v>
      </c>
      <c r="E16">
        <v>9.8659999999999998E-3</v>
      </c>
      <c r="F16">
        <v>1.0829999999999999E-2</v>
      </c>
      <c r="G16">
        <v>1.1133000000000001E-2</v>
      </c>
      <c r="H16">
        <v>1.2659E-2</v>
      </c>
      <c r="I16">
        <v>1.4167000000000001E-2</v>
      </c>
      <c r="J16">
        <v>1.7755E-2</v>
      </c>
      <c r="K16">
        <v>2.0101000000000001E-2</v>
      </c>
      <c r="L16">
        <v>2.2032E-2</v>
      </c>
      <c r="M16">
        <v>2.6214000000000001E-2</v>
      </c>
      <c r="N16">
        <v>2.8239E-2</v>
      </c>
      <c r="O16" s="8">
        <f t="shared" si="1"/>
        <v>1003.4056183094755</v>
      </c>
      <c r="P16" s="8">
        <f t="shared" si="2"/>
        <v>1056.7609836897363</v>
      </c>
      <c r="Q16" s="8">
        <f t="shared" si="3"/>
        <v>1056.9349978820633</v>
      </c>
      <c r="R16">
        <v>1.8116495080075391E-2</v>
      </c>
      <c r="S16">
        <v>6.4352457887821596E-2</v>
      </c>
      <c r="T16">
        <v>4.1807621511032289E-2</v>
      </c>
      <c r="W16" t="s">
        <v>38</v>
      </c>
      <c r="X16">
        <v>0</v>
      </c>
      <c r="Y16">
        <v>200</v>
      </c>
    </row>
    <row r="17" spans="1:25" x14ac:dyDescent="0.25">
      <c r="A17">
        <v>14</v>
      </c>
      <c r="B17">
        <v>2</v>
      </c>
      <c r="C17">
        <v>2</v>
      </c>
      <c r="D17">
        <v>7.9489999999999995E-3</v>
      </c>
      <c r="E17">
        <v>9.8709999999999996E-3</v>
      </c>
      <c r="F17">
        <v>1.086E-2</v>
      </c>
      <c r="G17">
        <v>1.1107000000000001E-2</v>
      </c>
      <c r="H17">
        <v>1.2578000000000001E-2</v>
      </c>
      <c r="I17">
        <v>1.4177E-2</v>
      </c>
      <c r="J17">
        <v>1.7812999999999999E-2</v>
      </c>
      <c r="K17">
        <v>2.0017E-2</v>
      </c>
      <c r="L17">
        <v>2.2062999999999999E-2</v>
      </c>
      <c r="M17">
        <v>2.6259000000000001E-2</v>
      </c>
      <c r="N17">
        <v>2.8150000000000001E-2</v>
      </c>
      <c r="O17" s="8">
        <f t="shared" si="1"/>
        <v>1000.8086632208697</v>
      </c>
      <c r="P17" s="8">
        <f t="shared" si="2"/>
        <v>1062.7195735944249</v>
      </c>
      <c r="Q17" s="8">
        <f t="shared" si="3"/>
        <v>1060.346519210133</v>
      </c>
      <c r="R17">
        <v>-3.061938312735131E-2</v>
      </c>
      <c r="S17">
        <v>6.9800780397982459E-2</v>
      </c>
      <c r="T17">
        <v>3.9428057376424831E-2</v>
      </c>
      <c r="W17" t="s">
        <v>38</v>
      </c>
      <c r="X17">
        <v>1</v>
      </c>
      <c r="Y17">
        <v>200</v>
      </c>
    </row>
    <row r="18" spans="1:25" x14ac:dyDescent="0.25">
      <c r="A18">
        <v>15</v>
      </c>
      <c r="B18">
        <v>2</v>
      </c>
      <c r="C18">
        <v>3</v>
      </c>
      <c r="D18">
        <v>7.9579999999999998E-3</v>
      </c>
      <c r="E18">
        <v>9.8499999999999994E-3</v>
      </c>
      <c r="F18">
        <v>1.0806E-2</v>
      </c>
      <c r="G18">
        <v>1.1049E-2</v>
      </c>
      <c r="H18">
        <v>1.2597000000000001E-2</v>
      </c>
      <c r="I18">
        <v>1.4248E-2</v>
      </c>
      <c r="J18">
        <v>1.7721000000000001E-2</v>
      </c>
      <c r="K18">
        <v>2.0077000000000001E-2</v>
      </c>
      <c r="L18">
        <v>2.2138000000000001E-2</v>
      </c>
      <c r="M18">
        <v>2.6197000000000002E-2</v>
      </c>
      <c r="N18">
        <v>2.8105000000000002E-2</v>
      </c>
      <c r="O18" s="8">
        <f t="shared" si="1"/>
        <v>1001.516952292749</v>
      </c>
      <c r="P18" s="8">
        <f t="shared" si="2"/>
        <v>1065.899086677234</v>
      </c>
      <c r="Q18" s="8">
        <f t="shared" si="3"/>
        <v>1063.6810226469358</v>
      </c>
      <c r="R18">
        <v>8.5257362753431206E-3</v>
      </c>
      <c r="S18">
        <v>3.649908973536297E-2</v>
      </c>
      <c r="T18">
        <v>3.8396345209715951E-2</v>
      </c>
      <c r="W18" t="s">
        <v>39</v>
      </c>
      <c r="X18">
        <v>0</v>
      </c>
      <c r="Y18">
        <v>250</v>
      </c>
    </row>
    <row r="19" spans="1:25" x14ac:dyDescent="0.25">
      <c r="A19">
        <v>16</v>
      </c>
      <c r="B19">
        <v>2</v>
      </c>
      <c r="C19">
        <v>4</v>
      </c>
      <c r="D19">
        <v>8.0280000000000004E-3</v>
      </c>
      <c r="E19">
        <v>9.8169999999999993E-3</v>
      </c>
      <c r="F19">
        <v>1.0802000000000001E-2</v>
      </c>
      <c r="G19">
        <v>1.1140000000000001E-2</v>
      </c>
      <c r="H19">
        <v>1.2585000000000001E-2</v>
      </c>
      <c r="I19">
        <v>1.4186000000000001E-2</v>
      </c>
      <c r="J19">
        <v>1.7770000000000001E-2</v>
      </c>
      <c r="K19">
        <v>2.0014000000000001E-2</v>
      </c>
      <c r="L19">
        <v>2.2165000000000001E-2</v>
      </c>
      <c r="M19">
        <v>2.6262000000000001E-2</v>
      </c>
      <c r="N19">
        <v>2.8077999999999999E-2</v>
      </c>
      <c r="O19" s="8">
        <f t="shared" si="1"/>
        <v>997.74840496776835</v>
      </c>
      <c r="P19" s="8">
        <f t="shared" si="2"/>
        <v>1069.5541467429928</v>
      </c>
      <c r="Q19" s="8">
        <f t="shared" si="3"/>
        <v>1066.9325735923635</v>
      </c>
      <c r="R19">
        <v>-4.4231202500224123E-2</v>
      </c>
      <c r="S19">
        <v>4.1934046178588674E-2</v>
      </c>
      <c r="T19">
        <v>3.7305692272631308E-2</v>
      </c>
      <c r="W19" t="s">
        <v>39</v>
      </c>
      <c r="X19">
        <v>1</v>
      </c>
      <c r="Y19">
        <v>250</v>
      </c>
    </row>
    <row r="20" spans="1:25" x14ac:dyDescent="0.25">
      <c r="A20">
        <v>17</v>
      </c>
      <c r="B20">
        <v>2</v>
      </c>
      <c r="C20">
        <v>5</v>
      </c>
      <c r="D20">
        <v>8.0479999999999996E-3</v>
      </c>
      <c r="E20">
        <v>9.868E-3</v>
      </c>
      <c r="F20">
        <v>1.0817E-2</v>
      </c>
      <c r="G20">
        <v>1.1169E-2</v>
      </c>
      <c r="H20">
        <v>1.256E-2</v>
      </c>
      <c r="I20">
        <v>1.4244E-2</v>
      </c>
      <c r="J20">
        <v>1.7717E-2</v>
      </c>
      <c r="K20">
        <v>1.9927E-2</v>
      </c>
      <c r="L20">
        <v>2.2249000000000001E-2</v>
      </c>
      <c r="M20">
        <v>2.6182E-2</v>
      </c>
      <c r="N20">
        <v>2.8178000000000002E-2</v>
      </c>
      <c r="O20" s="8">
        <f t="shared" si="1"/>
        <v>1000.5933017687403</v>
      </c>
      <c r="P20" s="8">
        <f t="shared" si="2"/>
        <v>1075.2659439234544</v>
      </c>
      <c r="Q20" s="8">
        <f t="shared" si="3"/>
        <v>1070.4012016902655</v>
      </c>
      <c r="R20">
        <v>3.4757514977687025E-2</v>
      </c>
      <c r="S20">
        <v>6.600043303468664E-2</v>
      </c>
      <c r="T20">
        <v>3.971752199955552E-2</v>
      </c>
      <c r="W20" t="s">
        <v>40</v>
      </c>
      <c r="X20">
        <v>0</v>
      </c>
      <c r="Y20">
        <v>300</v>
      </c>
    </row>
    <row r="21" spans="1:25" x14ac:dyDescent="0.25">
      <c r="A21">
        <v>18</v>
      </c>
      <c r="B21">
        <v>2</v>
      </c>
      <c r="C21">
        <v>6</v>
      </c>
      <c r="D21">
        <v>8.0999999999999996E-3</v>
      </c>
      <c r="E21">
        <v>9.8960000000000003E-3</v>
      </c>
      <c r="F21">
        <v>1.0897E-2</v>
      </c>
      <c r="G21">
        <v>1.1098E-2</v>
      </c>
      <c r="H21">
        <v>1.2493000000000001E-2</v>
      </c>
      <c r="I21">
        <v>1.4203E-2</v>
      </c>
      <c r="J21">
        <v>1.7631000000000001E-2</v>
      </c>
      <c r="K21">
        <v>1.9959999999999999E-2</v>
      </c>
      <c r="L21">
        <v>2.2216E-2</v>
      </c>
      <c r="M21">
        <v>2.6225999999999999E-2</v>
      </c>
      <c r="N21">
        <v>2.8088999999999999E-2</v>
      </c>
      <c r="O21" s="8">
        <f t="shared" si="1"/>
        <v>1002.4110293508749</v>
      </c>
      <c r="P21" s="8">
        <f t="shared" si="2"/>
        <v>1079.2198457585894</v>
      </c>
      <c r="Q21" s="8">
        <f t="shared" si="3"/>
        <v>1074.0316523411907</v>
      </c>
      <c r="R21">
        <v>2.2018935787858133E-2</v>
      </c>
      <c r="S21">
        <v>4.5029100749720184E-2</v>
      </c>
      <c r="T21">
        <v>4.1467950408464058E-2</v>
      </c>
      <c r="W21" t="s">
        <v>40</v>
      </c>
      <c r="X21">
        <v>1</v>
      </c>
      <c r="Y21">
        <v>300</v>
      </c>
    </row>
    <row r="22" spans="1:25" x14ac:dyDescent="0.25">
      <c r="A22">
        <v>19</v>
      </c>
      <c r="B22">
        <v>2</v>
      </c>
      <c r="C22">
        <v>7</v>
      </c>
      <c r="D22">
        <v>8.0689999999999998E-3</v>
      </c>
      <c r="E22">
        <v>9.8670000000000008E-3</v>
      </c>
      <c r="F22">
        <v>1.0940999999999999E-2</v>
      </c>
      <c r="G22">
        <v>1.1164E-2</v>
      </c>
      <c r="H22">
        <v>1.2479000000000001E-2</v>
      </c>
      <c r="I22">
        <v>1.4149E-2</v>
      </c>
      <c r="J22">
        <v>1.7576999999999999E-2</v>
      </c>
      <c r="K22">
        <v>1.9869000000000001E-2</v>
      </c>
      <c r="L22">
        <v>2.2307E-2</v>
      </c>
      <c r="M22">
        <v>2.6322000000000002E-2</v>
      </c>
      <c r="N22">
        <v>2.8045E-2</v>
      </c>
      <c r="O22" s="8">
        <f t="shared" si="1"/>
        <v>1003.7174567473866</v>
      </c>
      <c r="P22" s="8">
        <f t="shared" si="2"/>
        <v>1084.4798963723251</v>
      </c>
      <c r="Q22" s="8">
        <f t="shared" si="3"/>
        <v>1077.4144259388322</v>
      </c>
      <c r="R22">
        <v>1.5752014540034116E-2</v>
      </c>
      <c r="S22">
        <v>6.0080857398192224E-2</v>
      </c>
      <c r="T22">
        <v>3.8456881865326649E-2</v>
      </c>
      <c r="W22" t="s">
        <v>41</v>
      </c>
      <c r="X22">
        <v>0</v>
      </c>
      <c r="Y22">
        <v>350</v>
      </c>
    </row>
    <row r="23" spans="1:25" x14ac:dyDescent="0.25">
      <c r="A23">
        <v>20</v>
      </c>
      <c r="B23">
        <v>2</v>
      </c>
      <c r="C23">
        <v>8</v>
      </c>
      <c r="D23">
        <v>8.0339999999999995E-3</v>
      </c>
      <c r="E23">
        <v>9.9270000000000001E-3</v>
      </c>
      <c r="F23">
        <v>1.0864E-2</v>
      </c>
      <c r="G23">
        <v>1.1237E-2</v>
      </c>
      <c r="H23">
        <v>1.2421E-2</v>
      </c>
      <c r="I23">
        <v>1.4212000000000001E-2</v>
      </c>
      <c r="J23">
        <v>1.7482999999999999E-2</v>
      </c>
      <c r="K23">
        <v>1.9892E-2</v>
      </c>
      <c r="L23">
        <v>2.2353000000000001E-2</v>
      </c>
      <c r="M23">
        <v>2.6376E-2</v>
      </c>
      <c r="N23">
        <v>2.8143000000000001E-2</v>
      </c>
      <c r="O23" s="8">
        <f t="shared" si="1"/>
        <v>1001.5404999002269</v>
      </c>
      <c r="P23" s="8">
        <f t="shared" si="2"/>
        <v>1089.6411347342248</v>
      </c>
      <c r="Q23" s="8">
        <f t="shared" si="3"/>
        <v>1080.9712075282687</v>
      </c>
      <c r="R23">
        <v>-2.5718491904464107E-2</v>
      </c>
      <c r="S23">
        <v>5.8629055893852082E-2</v>
      </c>
      <c r="T23">
        <v>4.0341880210910758E-2</v>
      </c>
      <c r="W23" t="s">
        <v>41</v>
      </c>
      <c r="X23">
        <v>1</v>
      </c>
      <c r="Y23">
        <v>350</v>
      </c>
    </row>
    <row r="24" spans="1:25" x14ac:dyDescent="0.25">
      <c r="A24">
        <v>21</v>
      </c>
      <c r="B24">
        <v>2</v>
      </c>
      <c r="C24">
        <v>9</v>
      </c>
      <c r="D24">
        <v>8.0210000000000004E-3</v>
      </c>
      <c r="E24">
        <v>9.8969999999999995E-3</v>
      </c>
      <c r="F24">
        <v>1.0962E-2</v>
      </c>
      <c r="G24">
        <v>1.1143E-2</v>
      </c>
      <c r="H24">
        <v>1.244E-2</v>
      </c>
      <c r="I24">
        <v>1.4281E-2</v>
      </c>
      <c r="J24">
        <v>1.7580999999999999E-2</v>
      </c>
      <c r="K24">
        <v>1.9795E-2</v>
      </c>
      <c r="L24">
        <v>2.2391999999999999E-2</v>
      </c>
      <c r="M24">
        <v>2.6391000000000001E-2</v>
      </c>
      <c r="N24">
        <v>2.8045E-2</v>
      </c>
      <c r="O24" s="8">
        <f t="shared" si="1"/>
        <v>997.675097968464</v>
      </c>
      <c r="P24" s="8">
        <f t="shared" si="2"/>
        <v>1094.559700715994</v>
      </c>
      <c r="Q24" s="8">
        <f t="shared" si="3"/>
        <v>1084.6413866880607</v>
      </c>
      <c r="R24">
        <v>-4.5342918853309794E-2</v>
      </c>
      <c r="S24">
        <v>5.5532413639497548E-2</v>
      </c>
      <c r="T24">
        <v>4.1512640959613038E-2</v>
      </c>
    </row>
    <row r="25" spans="1:25" x14ac:dyDescent="0.25">
      <c r="A25">
        <v>22</v>
      </c>
      <c r="B25">
        <v>2</v>
      </c>
      <c r="C25">
        <v>10</v>
      </c>
      <c r="D25">
        <v>7.9399999999999991E-3</v>
      </c>
      <c r="E25">
        <v>9.8219999999999991E-3</v>
      </c>
      <c r="F25">
        <v>1.0864E-2</v>
      </c>
      <c r="G25">
        <v>1.1089E-2</v>
      </c>
      <c r="H25">
        <v>1.2470999999999999E-2</v>
      </c>
      <c r="I25">
        <v>1.434E-2</v>
      </c>
      <c r="J25">
        <v>1.7659000000000001E-2</v>
      </c>
      <c r="K25">
        <v>1.9862000000000001E-2</v>
      </c>
      <c r="L25">
        <v>2.2450999999999999E-2</v>
      </c>
      <c r="M25">
        <v>2.6394999999999998E-2</v>
      </c>
      <c r="N25">
        <v>2.8059000000000001E-2</v>
      </c>
      <c r="O25" s="8">
        <f t="shared" si="1"/>
        <v>998.03245599871582</v>
      </c>
      <c r="P25" s="8">
        <f t="shared" si="2"/>
        <v>1099.3534332181089</v>
      </c>
      <c r="Q25" s="8">
        <f t="shared" si="3"/>
        <v>1088.4603850018057</v>
      </c>
      <c r="R25">
        <v>4.3067674257417903E-3</v>
      </c>
      <c r="S25">
        <v>5.3839790186882029E-2</v>
      </c>
      <c r="T25">
        <v>4.3079634828334532E-2</v>
      </c>
    </row>
    <row r="26" spans="1:25" x14ac:dyDescent="0.25">
      <c r="A26">
        <v>23</v>
      </c>
      <c r="B26">
        <v>2</v>
      </c>
      <c r="C26">
        <v>11</v>
      </c>
      <c r="D26">
        <v>7.8589999999999997E-3</v>
      </c>
      <c r="E26">
        <v>9.8980000000000005E-3</v>
      </c>
      <c r="F26">
        <v>1.0959E-2</v>
      </c>
      <c r="G26">
        <v>1.1065999999999999E-2</v>
      </c>
      <c r="H26">
        <v>1.2442E-2</v>
      </c>
      <c r="I26">
        <v>1.4385E-2</v>
      </c>
      <c r="J26">
        <v>1.7649999999999999E-2</v>
      </c>
      <c r="K26">
        <v>1.9824999999999999E-2</v>
      </c>
      <c r="L26">
        <v>2.2450999999999999E-2</v>
      </c>
      <c r="M26">
        <v>2.6474000000000001E-2</v>
      </c>
      <c r="N26">
        <v>2.8046999999999999E-2</v>
      </c>
      <c r="O26" s="8">
        <f t="shared" si="1"/>
        <v>999.32295038097334</v>
      </c>
      <c r="P26" s="8">
        <f t="shared" si="2"/>
        <v>1105.0963500452194</v>
      </c>
      <c r="Q26" s="8">
        <f t="shared" si="3"/>
        <v>1092.2140735724884</v>
      </c>
      <c r="R26">
        <v>1.5627287515701381E-2</v>
      </c>
      <c r="S26">
        <v>6.4519667814123105E-2</v>
      </c>
      <c r="T26">
        <v>4.2177496775799898E-2</v>
      </c>
    </row>
    <row r="27" spans="1:25" x14ac:dyDescent="0.25">
      <c r="A27">
        <v>24</v>
      </c>
      <c r="B27">
        <v>2</v>
      </c>
      <c r="C27">
        <v>12</v>
      </c>
      <c r="D27">
        <v>7.8209999999999998E-3</v>
      </c>
      <c r="E27">
        <v>9.9839999999999998E-3</v>
      </c>
      <c r="F27">
        <v>1.0867E-2</v>
      </c>
      <c r="G27">
        <v>1.111E-2</v>
      </c>
      <c r="H27">
        <v>1.2515E-2</v>
      </c>
      <c r="I27">
        <v>1.4390999999999999E-2</v>
      </c>
      <c r="J27">
        <v>1.7571E-2</v>
      </c>
      <c r="K27">
        <v>1.9851000000000001E-2</v>
      </c>
      <c r="L27">
        <v>2.2447000000000002E-2</v>
      </c>
      <c r="M27">
        <v>2.657E-2</v>
      </c>
      <c r="N27">
        <v>2.8055E-2</v>
      </c>
      <c r="O27" s="8">
        <f t="shared" si="1"/>
        <v>998.24959076997015</v>
      </c>
      <c r="P27" s="8">
        <f t="shared" si="2"/>
        <v>1110.6462505707398</v>
      </c>
      <c r="Q27" s="8">
        <f t="shared" si="3"/>
        <v>1096.0634996642841</v>
      </c>
      <c r="R27">
        <v>-1.2813172079695463E-2</v>
      </c>
      <c r="S27">
        <v>6.1957957704309542E-2</v>
      </c>
      <c r="T27">
        <v>4.3122626243595405E-2</v>
      </c>
    </row>
    <row r="28" spans="1:25" x14ac:dyDescent="0.25">
      <c r="A28">
        <v>25</v>
      </c>
      <c r="B28">
        <v>3</v>
      </c>
      <c r="C28">
        <v>1</v>
      </c>
      <c r="D28">
        <v>7.8220000000000008E-3</v>
      </c>
      <c r="E28">
        <v>9.894E-3</v>
      </c>
      <c r="F28">
        <v>1.0770999999999999E-2</v>
      </c>
      <c r="G28">
        <v>1.1065E-2</v>
      </c>
      <c r="H28">
        <v>1.2565E-2</v>
      </c>
      <c r="I28">
        <v>1.4404999999999999E-2</v>
      </c>
      <c r="J28">
        <v>1.7503000000000001E-2</v>
      </c>
      <c r="K28">
        <v>1.9935999999999999E-2</v>
      </c>
      <c r="L28">
        <v>2.2362E-2</v>
      </c>
      <c r="M28">
        <v>2.6527999999999999E-2</v>
      </c>
      <c r="N28">
        <v>2.7972E-2</v>
      </c>
      <c r="O28" s="8">
        <f t="shared" si="1"/>
        <v>1001.015808705069</v>
      </c>
      <c r="P28" s="8">
        <f t="shared" si="2"/>
        <v>1114.2961019379363</v>
      </c>
      <c r="Q28" s="8">
        <f t="shared" si="3"/>
        <v>1100.1816400953194</v>
      </c>
      <c r="R28">
        <v>3.3764334000977808E-2</v>
      </c>
      <c r="S28">
        <v>4.0155518136682375E-2</v>
      </c>
      <c r="T28">
        <v>4.6029981685753472E-2</v>
      </c>
    </row>
    <row r="29" spans="1:25" x14ac:dyDescent="0.25">
      <c r="A29">
        <v>26</v>
      </c>
      <c r="B29">
        <v>3</v>
      </c>
      <c r="C29">
        <v>2</v>
      </c>
      <c r="D29">
        <v>7.7739999999999997E-3</v>
      </c>
      <c r="E29">
        <v>9.9830000000000006E-3</v>
      </c>
      <c r="F29">
        <v>1.0678999999999999E-2</v>
      </c>
      <c r="G29">
        <v>1.106E-2</v>
      </c>
      <c r="H29">
        <v>1.2559000000000001E-2</v>
      </c>
      <c r="I29">
        <v>1.4498E-2</v>
      </c>
      <c r="J29">
        <v>1.7541999999999999E-2</v>
      </c>
      <c r="K29">
        <v>2.0005999999999999E-2</v>
      </c>
      <c r="L29">
        <v>2.2314000000000001E-2</v>
      </c>
      <c r="M29">
        <v>2.6585000000000001E-2</v>
      </c>
      <c r="N29">
        <v>2.7969999999999998E-2</v>
      </c>
      <c r="O29" s="8">
        <f t="shared" si="1"/>
        <v>1003.2526254642158</v>
      </c>
      <c r="P29" s="8">
        <f t="shared" si="2"/>
        <v>1120.780171051354</v>
      </c>
      <c r="Q29" s="8">
        <f t="shared" si="3"/>
        <v>1104.3564167559789</v>
      </c>
      <c r="R29">
        <v>2.7146580873938904E-2</v>
      </c>
      <c r="S29">
        <v>7.2106502485454096E-2</v>
      </c>
      <c r="T29">
        <v>4.6497968666007319E-2</v>
      </c>
    </row>
    <row r="30" spans="1:25" x14ac:dyDescent="0.25">
      <c r="A30">
        <v>27</v>
      </c>
      <c r="B30">
        <v>3</v>
      </c>
      <c r="C30">
        <v>3</v>
      </c>
      <c r="D30">
        <v>7.8209999999999998E-3</v>
      </c>
      <c r="E30">
        <v>1.0075000000000001E-2</v>
      </c>
      <c r="F30">
        <v>1.0725E-2</v>
      </c>
      <c r="G30">
        <v>1.1077999999999999E-2</v>
      </c>
      <c r="H30">
        <v>1.2573000000000001E-2</v>
      </c>
      <c r="I30">
        <v>1.4557E-2</v>
      </c>
      <c r="J30">
        <v>1.7493999999999999E-2</v>
      </c>
      <c r="K30">
        <v>1.9949999999999999E-2</v>
      </c>
      <c r="L30">
        <v>2.2393E-2</v>
      </c>
      <c r="M30">
        <v>2.6631999999999999E-2</v>
      </c>
      <c r="N30">
        <v>2.7952999999999999E-2</v>
      </c>
      <c r="O30" s="8">
        <f t="shared" si="1"/>
        <v>1002.2380967320295</v>
      </c>
      <c r="P30" s="8">
        <f t="shared" si="2"/>
        <v>1126.9579470961698</v>
      </c>
      <c r="Q30" s="8">
        <f t="shared" si="3"/>
        <v>1108.6783093632937</v>
      </c>
      <c r="R30">
        <v>-1.2067609611115368E-2</v>
      </c>
      <c r="S30">
        <v>6.818693162109099E-2</v>
      </c>
      <c r="T30">
        <v>4.7986054175224918E-2</v>
      </c>
    </row>
    <row r="31" spans="1:25" x14ac:dyDescent="0.25">
      <c r="A31">
        <v>28</v>
      </c>
      <c r="B31">
        <v>3</v>
      </c>
      <c r="C31">
        <v>4</v>
      </c>
      <c r="D31">
        <v>7.7730000000000004E-3</v>
      </c>
      <c r="E31">
        <v>1.0173E-2</v>
      </c>
      <c r="F31">
        <v>1.0663000000000001E-2</v>
      </c>
      <c r="G31">
        <v>1.1053E-2</v>
      </c>
      <c r="H31">
        <v>1.2559000000000001E-2</v>
      </c>
      <c r="I31">
        <v>1.4526000000000001E-2</v>
      </c>
      <c r="J31">
        <v>1.7408E-2</v>
      </c>
      <c r="K31">
        <v>1.9879000000000001E-2</v>
      </c>
      <c r="L31">
        <v>2.2387000000000001E-2</v>
      </c>
      <c r="M31">
        <v>2.6571999999999998E-2</v>
      </c>
      <c r="N31">
        <v>2.8052000000000001E-2</v>
      </c>
      <c r="O31" s="8">
        <f t="shared" si="1"/>
        <v>1004.176152679904</v>
      </c>
      <c r="P31" s="8">
        <f t="shared" si="2"/>
        <v>1130.3701216098912</v>
      </c>
      <c r="Q31" s="8">
        <f t="shared" si="3"/>
        <v>1113.0875299038846</v>
      </c>
      <c r="R31">
        <v>2.3453128729142226E-2</v>
      </c>
      <c r="S31">
        <v>3.6944491699456489E-2</v>
      </c>
      <c r="T31">
        <v>4.8781932114532515E-2</v>
      </c>
    </row>
    <row r="32" spans="1:25" x14ac:dyDescent="0.25">
      <c r="A32">
        <v>29</v>
      </c>
      <c r="B32">
        <v>3</v>
      </c>
      <c r="C32">
        <v>5</v>
      </c>
      <c r="D32">
        <v>7.8200000000000006E-3</v>
      </c>
      <c r="E32">
        <v>1.0165E-2</v>
      </c>
      <c r="F32">
        <v>1.0704999999999999E-2</v>
      </c>
      <c r="G32">
        <v>1.1049E-2</v>
      </c>
      <c r="H32">
        <v>1.2579999999999999E-2</v>
      </c>
      <c r="I32">
        <v>1.4574999999999999E-2</v>
      </c>
      <c r="J32">
        <v>1.7395999999999998E-2</v>
      </c>
      <c r="K32">
        <v>1.9976000000000001E-2</v>
      </c>
      <c r="L32">
        <v>2.2481000000000001E-2</v>
      </c>
      <c r="M32">
        <v>2.6646E-2</v>
      </c>
      <c r="N32">
        <v>2.8076E-2</v>
      </c>
      <c r="O32" s="8">
        <f t="shared" si="1"/>
        <v>1003.5616084115834</v>
      </c>
      <c r="P32" s="8">
        <f t="shared" si="2"/>
        <v>1133.6358989535386</v>
      </c>
      <c r="Q32" s="8">
        <f t="shared" si="3"/>
        <v>1117.2425146006251</v>
      </c>
      <c r="R32">
        <v>-7.3191935108583156E-3</v>
      </c>
      <c r="S32">
        <v>3.5225709508455813E-2</v>
      </c>
      <c r="T32">
        <v>4.5725349034266297E-2</v>
      </c>
    </row>
    <row r="33" spans="1:20" x14ac:dyDescent="0.25">
      <c r="A33">
        <v>30</v>
      </c>
      <c r="B33">
        <v>3</v>
      </c>
      <c r="C33">
        <v>6</v>
      </c>
      <c r="D33">
        <v>7.8530000000000006E-3</v>
      </c>
      <c r="E33">
        <v>1.0186000000000001E-2</v>
      </c>
      <c r="F33">
        <v>1.0631E-2</v>
      </c>
      <c r="G33">
        <v>1.0956E-2</v>
      </c>
      <c r="H33">
        <v>1.2541999999999999E-2</v>
      </c>
      <c r="I33">
        <v>1.4501E-2</v>
      </c>
      <c r="J33">
        <v>1.7448999999999999E-2</v>
      </c>
      <c r="K33">
        <v>2.0029000000000002E-2</v>
      </c>
      <c r="L33">
        <v>2.2526999999999998E-2</v>
      </c>
      <c r="M33">
        <v>2.6551000000000002E-2</v>
      </c>
      <c r="N33">
        <v>2.809E-2</v>
      </c>
      <c r="O33" s="8">
        <f t="shared" si="1"/>
        <v>1006.4097180487947</v>
      </c>
      <c r="P33" s="8">
        <f t="shared" si="2"/>
        <v>1137.7252214041607</v>
      </c>
      <c r="Q33" s="8">
        <f t="shared" si="3"/>
        <v>1121.3217697203711</v>
      </c>
      <c r="R33">
        <v>3.4592663221984184E-2</v>
      </c>
      <c r="S33">
        <v>4.4156377509544632E-2</v>
      </c>
      <c r="T33">
        <v>4.4704828284568308E-2</v>
      </c>
    </row>
    <row r="34" spans="1:20" x14ac:dyDescent="0.25">
      <c r="A34">
        <v>31</v>
      </c>
      <c r="B34">
        <v>3</v>
      </c>
      <c r="C34">
        <v>7</v>
      </c>
      <c r="D34">
        <v>7.7970000000000001E-3</v>
      </c>
      <c r="E34">
        <v>1.0244E-2</v>
      </c>
      <c r="F34">
        <v>1.0668E-2</v>
      </c>
      <c r="G34">
        <v>1.0864E-2</v>
      </c>
      <c r="H34">
        <v>1.2609E-2</v>
      </c>
      <c r="I34">
        <v>1.4413E-2</v>
      </c>
      <c r="J34">
        <v>1.7476999999999999E-2</v>
      </c>
      <c r="K34">
        <v>2.0111E-2</v>
      </c>
      <c r="L34">
        <v>2.2475999999999999E-2</v>
      </c>
      <c r="M34">
        <v>2.6596000000000002E-2</v>
      </c>
      <c r="N34">
        <v>2.8188999999999999E-2</v>
      </c>
      <c r="O34" s="8">
        <f t="shared" si="1"/>
        <v>1007.3236861713086</v>
      </c>
      <c r="P34" s="8">
        <f t="shared" si="2"/>
        <v>1141.0214470084954</v>
      </c>
      <c r="Q34" s="8">
        <f t="shared" si="3"/>
        <v>1125.0056384689149</v>
      </c>
      <c r="R34">
        <v>1.0952363238690319E-2</v>
      </c>
      <c r="S34">
        <v>3.5325861886994409E-2</v>
      </c>
      <c r="T34">
        <v>4.0143702672732443E-2</v>
      </c>
    </row>
    <row r="35" spans="1:20" x14ac:dyDescent="0.25">
      <c r="A35">
        <v>32</v>
      </c>
      <c r="B35">
        <v>3</v>
      </c>
      <c r="C35">
        <v>8</v>
      </c>
      <c r="D35">
        <v>7.8499999999999993E-3</v>
      </c>
      <c r="E35">
        <v>1.0194999999999999E-2</v>
      </c>
      <c r="F35">
        <v>1.0749E-2</v>
      </c>
      <c r="G35">
        <v>1.0862999999999999E-2</v>
      </c>
      <c r="H35">
        <v>1.2583E-2</v>
      </c>
      <c r="I35">
        <v>1.4401000000000001E-2</v>
      </c>
      <c r="J35">
        <v>1.7467E-2</v>
      </c>
      <c r="K35">
        <v>2.0046999999999999E-2</v>
      </c>
      <c r="L35">
        <v>2.2446000000000001E-2</v>
      </c>
      <c r="M35">
        <v>2.6662999999999999E-2</v>
      </c>
      <c r="N35">
        <v>2.8111000000000001E-2</v>
      </c>
      <c r="O35" s="8">
        <f t="shared" si="1"/>
        <v>1004.9690660945367</v>
      </c>
      <c r="P35" s="8">
        <f t="shared" si="2"/>
        <v>1146.631952323303</v>
      </c>
      <c r="Q35" s="8">
        <f t="shared" si="3"/>
        <v>1129.0671381400441</v>
      </c>
      <c r="R35">
        <v>-2.7692188428167498E-2</v>
      </c>
      <c r="S35">
        <v>6.0627261145778828E-2</v>
      </c>
      <c r="T35">
        <v>4.4193098184858143E-2</v>
      </c>
    </row>
    <row r="36" spans="1:20" x14ac:dyDescent="0.25">
      <c r="A36">
        <v>33</v>
      </c>
      <c r="B36">
        <v>3</v>
      </c>
      <c r="C36">
        <v>9</v>
      </c>
      <c r="D36">
        <v>7.8359999999999992E-3</v>
      </c>
      <c r="E36">
        <v>1.0159E-2</v>
      </c>
      <c r="F36">
        <v>1.0754E-2</v>
      </c>
      <c r="G36">
        <v>1.0899000000000001E-2</v>
      </c>
      <c r="H36">
        <v>1.2649000000000001E-2</v>
      </c>
      <c r="I36">
        <v>1.4491E-2</v>
      </c>
      <c r="J36">
        <v>1.7439E-2</v>
      </c>
      <c r="K36">
        <v>2.0143000000000001E-2</v>
      </c>
      <c r="L36">
        <v>2.2527999999999999E-2</v>
      </c>
      <c r="M36">
        <v>2.6703000000000001E-2</v>
      </c>
      <c r="N36">
        <v>2.8115999999999999E-2</v>
      </c>
      <c r="O36" s="8">
        <f t="shared" si="1"/>
        <v>1002.0654378244271</v>
      </c>
      <c r="P36" s="8">
        <f t="shared" si="2"/>
        <v>1152.575073935961</v>
      </c>
      <c r="Q36" s="8">
        <f t="shared" si="3"/>
        <v>1132.9897184716499</v>
      </c>
      <c r="R36">
        <v>-3.4125566747459188E-2</v>
      </c>
      <c r="S36">
        <v>6.4001402048672773E-2</v>
      </c>
      <c r="T36">
        <v>4.2496049346553183E-2</v>
      </c>
    </row>
    <row r="37" spans="1:20" x14ac:dyDescent="0.25">
      <c r="A37">
        <v>34</v>
      </c>
      <c r="B37">
        <v>3</v>
      </c>
      <c r="C37">
        <v>10</v>
      </c>
      <c r="D37">
        <v>7.8899999999999994E-3</v>
      </c>
      <c r="E37">
        <v>1.0102999999999999E-2</v>
      </c>
      <c r="F37">
        <v>1.0697999999999999E-2</v>
      </c>
      <c r="G37">
        <v>1.0966E-2</v>
      </c>
      <c r="H37">
        <v>1.2747E-2</v>
      </c>
      <c r="I37">
        <v>1.4451E-2</v>
      </c>
      <c r="J37">
        <v>1.7538000000000002E-2</v>
      </c>
      <c r="K37">
        <v>2.0168999999999999E-2</v>
      </c>
      <c r="L37">
        <v>2.2457999999999999E-2</v>
      </c>
      <c r="M37">
        <v>2.6665999999999999E-2</v>
      </c>
      <c r="N37">
        <v>2.8146000000000001E-2</v>
      </c>
      <c r="O37" s="8">
        <f t="shared" si="1"/>
        <v>1000.7326340619202</v>
      </c>
      <c r="P37" s="8">
        <f t="shared" si="2"/>
        <v>1158.8848190011147</v>
      </c>
      <c r="Q37" s="8">
        <f t="shared" si="3"/>
        <v>1136.598764936994</v>
      </c>
      <c r="R37">
        <v>-1.5844438120400522E-2</v>
      </c>
      <c r="S37">
        <v>6.7708273732040719E-2</v>
      </c>
      <c r="T37">
        <v>3.8901879505918537E-2</v>
      </c>
    </row>
    <row r="38" spans="1:20" x14ac:dyDescent="0.25">
      <c r="A38">
        <v>35</v>
      </c>
      <c r="B38">
        <v>3</v>
      </c>
      <c r="C38">
        <v>11</v>
      </c>
      <c r="D38">
        <v>7.9500000000000005E-3</v>
      </c>
      <c r="E38">
        <v>1.0129000000000001E-2</v>
      </c>
      <c r="F38">
        <v>1.0642E-2</v>
      </c>
      <c r="G38">
        <v>1.0914E-2</v>
      </c>
      <c r="H38">
        <v>1.2779E-2</v>
      </c>
      <c r="I38">
        <v>1.4461E-2</v>
      </c>
      <c r="J38">
        <v>1.7520000000000001E-2</v>
      </c>
      <c r="K38">
        <v>2.0229E-2</v>
      </c>
      <c r="L38">
        <v>2.2408999999999998E-2</v>
      </c>
      <c r="M38">
        <v>2.6591E-2</v>
      </c>
      <c r="N38">
        <v>2.8192999999999999E-2</v>
      </c>
      <c r="O38" s="8">
        <f t="shared" si="1"/>
        <v>996.77936146972911</v>
      </c>
      <c r="P38" s="8">
        <f t="shared" si="2"/>
        <v>1163.1337806893366</v>
      </c>
      <c r="Q38" s="8">
        <f t="shared" si="3"/>
        <v>1140.0803048955199</v>
      </c>
      <c r="R38">
        <v>-4.6388021292334283E-2</v>
      </c>
      <c r="S38">
        <v>4.4895221528694483E-2</v>
      </c>
      <c r="T38">
        <v>3.7383082062262908E-2</v>
      </c>
    </row>
    <row r="39" spans="1:20" x14ac:dyDescent="0.25">
      <c r="A39">
        <v>36</v>
      </c>
      <c r="B39">
        <v>3</v>
      </c>
      <c r="C39">
        <v>12</v>
      </c>
      <c r="D39">
        <v>7.901E-3</v>
      </c>
      <c r="E39">
        <v>1.014E-2</v>
      </c>
      <c r="F39">
        <v>1.0737999999999999E-2</v>
      </c>
      <c r="G39">
        <v>1.0851E-2</v>
      </c>
      <c r="H39">
        <v>1.2803999999999999E-2</v>
      </c>
      <c r="I39">
        <v>1.451E-2</v>
      </c>
      <c r="J39">
        <v>1.7524000000000001E-2</v>
      </c>
      <c r="K39">
        <v>2.0225E-2</v>
      </c>
      <c r="L39">
        <v>2.2488000000000001E-2</v>
      </c>
      <c r="M39">
        <v>2.6620000000000001E-2</v>
      </c>
      <c r="N39">
        <v>2.8258999999999999E-2</v>
      </c>
      <c r="O39" s="8">
        <f t="shared" si="1"/>
        <v>996.61554639914993</v>
      </c>
      <c r="P39" s="8">
        <f t="shared" si="2"/>
        <v>1166.2639582908655</v>
      </c>
      <c r="Q39" s="8">
        <f t="shared" si="3"/>
        <v>1143.8661243314305</v>
      </c>
      <c r="R39">
        <v>-1.9703507500016901E-3</v>
      </c>
      <c r="S39">
        <v>3.2776212544387721E-2</v>
      </c>
      <c r="T39">
        <v>4.0583807784725895E-2</v>
      </c>
    </row>
    <row r="40" spans="1:20" x14ac:dyDescent="0.25">
      <c r="A40">
        <v>37</v>
      </c>
      <c r="B40">
        <v>4</v>
      </c>
      <c r="C40">
        <v>1</v>
      </c>
      <c r="D40">
        <v>7.8340000000000007E-3</v>
      </c>
      <c r="E40">
        <v>1.0218E-2</v>
      </c>
      <c r="F40">
        <v>1.0802000000000001E-2</v>
      </c>
      <c r="G40">
        <v>1.0822999999999999E-2</v>
      </c>
      <c r="H40">
        <v>1.2888999999999999E-2</v>
      </c>
      <c r="I40">
        <v>1.4604000000000001E-2</v>
      </c>
      <c r="J40">
        <v>1.7586000000000001E-2</v>
      </c>
      <c r="K40">
        <v>2.0164000000000001E-2</v>
      </c>
      <c r="L40">
        <v>2.248E-2</v>
      </c>
      <c r="M40">
        <v>2.6606000000000001E-2</v>
      </c>
      <c r="N40">
        <v>2.8258999999999999E-2</v>
      </c>
      <c r="O40" s="8">
        <f t="shared" si="1"/>
        <v>1000.5058755583649</v>
      </c>
      <c r="P40" s="8">
        <f t="shared" si="2"/>
        <v>1169.6684823852129</v>
      </c>
      <c r="Q40" s="8">
        <f t="shared" si="3"/>
        <v>1148.0120474929763</v>
      </c>
      <c r="R40">
        <v>4.7861371020690491E-2</v>
      </c>
      <c r="S40">
        <v>3.5597985520125476E-2</v>
      </c>
      <c r="T40">
        <v>4.4371389221057898E-2</v>
      </c>
    </row>
    <row r="41" spans="1:20" x14ac:dyDescent="0.25">
      <c r="A41">
        <v>38</v>
      </c>
      <c r="B41">
        <v>4</v>
      </c>
      <c r="C41">
        <v>2</v>
      </c>
      <c r="D41">
        <v>7.8700000000000003E-3</v>
      </c>
      <c r="E41">
        <v>1.0206E-2</v>
      </c>
      <c r="F41">
        <v>1.0799E-2</v>
      </c>
      <c r="G41">
        <v>1.0907999999999999E-2</v>
      </c>
      <c r="H41">
        <v>1.2895999999999999E-2</v>
      </c>
      <c r="I41">
        <v>1.465E-2</v>
      </c>
      <c r="J41">
        <v>1.763E-2</v>
      </c>
      <c r="K41">
        <v>2.0205000000000001E-2</v>
      </c>
      <c r="L41">
        <v>2.2467000000000001E-2</v>
      </c>
      <c r="M41">
        <v>2.6643E-2</v>
      </c>
      <c r="N41">
        <v>2.8257000000000001E-2</v>
      </c>
      <c r="O41" s="8">
        <f t="shared" si="1"/>
        <v>1004.7907887596548</v>
      </c>
      <c r="P41" s="8">
        <f t="shared" si="2"/>
        <v>1173.2721623053289</v>
      </c>
      <c r="Q41" s="8">
        <f t="shared" si="3"/>
        <v>1151.7802219484543</v>
      </c>
      <c r="R41">
        <v>5.2620976138655358E-2</v>
      </c>
      <c r="S41">
        <v>3.7604259299761168E-2</v>
      </c>
      <c r="T41">
        <v>4.0107078637835296E-2</v>
      </c>
    </row>
    <row r="42" spans="1:20" x14ac:dyDescent="0.25">
      <c r="A42">
        <v>39</v>
      </c>
      <c r="B42">
        <v>4</v>
      </c>
      <c r="C42">
        <v>3</v>
      </c>
      <c r="D42">
        <v>7.8829999999999994E-3</v>
      </c>
      <c r="E42">
        <v>1.0207000000000001E-2</v>
      </c>
      <c r="F42">
        <v>1.0795000000000001E-2</v>
      </c>
      <c r="G42">
        <v>1.094E-2</v>
      </c>
      <c r="H42">
        <v>1.2839E-2</v>
      </c>
      <c r="I42">
        <v>1.4718E-2</v>
      </c>
      <c r="J42">
        <v>1.772E-2</v>
      </c>
      <c r="K42">
        <v>2.0226000000000001E-2</v>
      </c>
      <c r="L42">
        <v>2.2523000000000001E-2</v>
      </c>
      <c r="M42">
        <v>2.6587E-2</v>
      </c>
      <c r="N42">
        <v>2.819E-2</v>
      </c>
      <c r="O42" s="8">
        <f t="shared" si="1"/>
        <v>1003.775191353845</v>
      </c>
      <c r="P42" s="8">
        <f t="shared" si="2"/>
        <v>1178.6883458824125</v>
      </c>
      <c r="Q42" s="8">
        <f t="shared" si="3"/>
        <v>1155.2695680123425</v>
      </c>
      <c r="R42">
        <v>-1.2061860452851028E-2</v>
      </c>
      <c r="S42">
        <v>5.6824022204959877E-2</v>
      </c>
      <c r="T42">
        <v>3.6966198609584416E-2</v>
      </c>
    </row>
    <row r="43" spans="1:20" x14ac:dyDescent="0.25">
      <c r="A43">
        <v>40</v>
      </c>
      <c r="B43">
        <v>4</v>
      </c>
      <c r="C43">
        <v>4</v>
      </c>
      <c r="D43">
        <v>7.9660000000000009E-3</v>
      </c>
      <c r="E43">
        <v>1.0284E-2</v>
      </c>
      <c r="F43">
        <v>1.0736000000000001E-2</v>
      </c>
      <c r="G43">
        <v>1.0900999999999999E-2</v>
      </c>
      <c r="H43">
        <v>1.2858E-2</v>
      </c>
      <c r="I43">
        <v>1.4736000000000001E-2</v>
      </c>
      <c r="J43">
        <v>1.7787000000000001E-2</v>
      </c>
      <c r="K43">
        <v>2.0194E-2</v>
      </c>
      <c r="L43">
        <v>2.2501E-2</v>
      </c>
      <c r="M43">
        <v>2.6682999999999998E-2</v>
      </c>
      <c r="N43">
        <v>2.8216000000000001E-2</v>
      </c>
      <c r="O43" s="8">
        <f t="shared" si="1"/>
        <v>1004.1428715858251</v>
      </c>
      <c r="P43" s="8">
        <f t="shared" si="2"/>
        <v>1183.2961545113819</v>
      </c>
      <c r="Q43" s="8">
        <f t="shared" si="3"/>
        <v>1159.0525375750076</v>
      </c>
      <c r="R43">
        <v>4.4044349615935093E-3</v>
      </c>
      <c r="S43">
        <v>4.7933112570864557E-2</v>
      </c>
      <c r="T43">
        <v>4.0009880432446659E-2</v>
      </c>
    </row>
    <row r="44" spans="1:20" x14ac:dyDescent="0.25">
      <c r="A44">
        <v>41</v>
      </c>
      <c r="B44">
        <v>4</v>
      </c>
      <c r="C44">
        <v>5</v>
      </c>
      <c r="D44">
        <v>7.9699999999999997E-3</v>
      </c>
      <c r="E44">
        <v>1.0257E-2</v>
      </c>
      <c r="F44">
        <v>1.0649E-2</v>
      </c>
      <c r="G44">
        <v>1.0828000000000001E-2</v>
      </c>
      <c r="H44">
        <v>1.2784E-2</v>
      </c>
      <c r="I44">
        <v>1.4814000000000001E-2</v>
      </c>
      <c r="J44">
        <v>1.7807E-2</v>
      </c>
      <c r="K44">
        <v>2.0219000000000001E-2</v>
      </c>
      <c r="L44">
        <v>2.2533000000000001E-2</v>
      </c>
      <c r="M44">
        <v>2.6674E-2</v>
      </c>
      <c r="N44">
        <v>2.8242E-2</v>
      </c>
      <c r="O44" s="8">
        <f t="shared" si="1"/>
        <v>1000.9005845395565</v>
      </c>
      <c r="P44" s="8">
        <f t="shared" si="2"/>
        <v>1190.2020631370644</v>
      </c>
      <c r="Q44" s="8">
        <f t="shared" si="3"/>
        <v>1162.3929434126089</v>
      </c>
      <c r="R44">
        <v>-3.8066166841753915E-2</v>
      </c>
      <c r="S44">
        <v>7.2326274346804331E-2</v>
      </c>
      <c r="T44">
        <v>3.513766709399864E-2</v>
      </c>
    </row>
    <row r="45" spans="1:20" x14ac:dyDescent="0.25">
      <c r="A45">
        <v>42</v>
      </c>
      <c r="B45">
        <v>4</v>
      </c>
      <c r="C45">
        <v>6</v>
      </c>
      <c r="D45">
        <v>7.8890000000000002E-3</v>
      </c>
      <c r="E45">
        <v>1.0168999999999999E-2</v>
      </c>
      <c r="F45">
        <v>1.0625000000000001E-2</v>
      </c>
      <c r="G45">
        <v>1.0881999999999999E-2</v>
      </c>
      <c r="H45">
        <v>1.2759E-2</v>
      </c>
      <c r="I45">
        <v>1.4836E-2</v>
      </c>
      <c r="J45">
        <v>1.7867999999999998E-2</v>
      </c>
      <c r="K45">
        <v>2.0268000000000001E-2</v>
      </c>
      <c r="L45">
        <v>2.2557000000000001E-2</v>
      </c>
      <c r="M45">
        <v>2.6742999999999999E-2</v>
      </c>
      <c r="N45">
        <v>2.8258999999999999E-2</v>
      </c>
      <c r="O45" s="8">
        <f t="shared" si="1"/>
        <v>1003.9770314522394</v>
      </c>
      <c r="P45" s="8">
        <f t="shared" si="2"/>
        <v>1194.3611619750759</v>
      </c>
      <c r="Q45" s="8">
        <f t="shared" si="3"/>
        <v>1165.6989415262276</v>
      </c>
      <c r="R45">
        <v>3.7514113641125758E-2</v>
      </c>
      <c r="S45">
        <v>4.274877092596132E-2</v>
      </c>
      <c r="T45">
        <v>3.4668548594362629E-2</v>
      </c>
    </row>
    <row r="46" spans="1:20" x14ac:dyDescent="0.25">
      <c r="A46">
        <v>43</v>
      </c>
      <c r="B46">
        <v>4</v>
      </c>
      <c r="C46">
        <v>7</v>
      </c>
      <c r="D46">
        <v>7.8980000000000005E-3</v>
      </c>
      <c r="E46">
        <v>1.0114E-2</v>
      </c>
      <c r="F46">
        <v>1.0640999999999999E-2</v>
      </c>
      <c r="G46">
        <v>1.0962E-2</v>
      </c>
      <c r="H46">
        <v>1.2815999999999999E-2</v>
      </c>
      <c r="I46">
        <v>1.4806E-2</v>
      </c>
      <c r="J46">
        <v>1.7773000000000001E-2</v>
      </c>
      <c r="K46">
        <v>2.0237999999999999E-2</v>
      </c>
      <c r="L46">
        <v>2.2481999999999999E-2</v>
      </c>
      <c r="M46">
        <v>2.6675000000000001E-2</v>
      </c>
      <c r="N46">
        <v>2.8254000000000001E-2</v>
      </c>
      <c r="O46" s="8">
        <f t="shared" si="1"/>
        <v>1007.0153061762179</v>
      </c>
      <c r="P46" s="8">
        <f t="shared" si="2"/>
        <v>1197.6142969507835</v>
      </c>
      <c r="Q46" s="8">
        <f t="shared" si="3"/>
        <v>1169.0008845395625</v>
      </c>
      <c r="R46">
        <v>3.6925446442832265E-2</v>
      </c>
      <c r="S46">
        <v>3.3179050039547339E-2</v>
      </c>
      <c r="T46">
        <v>3.4525623332431574E-2</v>
      </c>
    </row>
    <row r="47" spans="1:20" x14ac:dyDescent="0.25">
      <c r="A47">
        <v>44</v>
      </c>
      <c r="B47">
        <v>4</v>
      </c>
      <c r="C47">
        <v>8</v>
      </c>
      <c r="D47">
        <v>7.9649999999999999E-3</v>
      </c>
      <c r="E47">
        <v>1.0207000000000001E-2</v>
      </c>
      <c r="F47">
        <v>1.0647E-2</v>
      </c>
      <c r="G47">
        <v>1.102E-2</v>
      </c>
      <c r="H47">
        <v>1.2841E-2</v>
      </c>
      <c r="I47">
        <v>1.4907E-2</v>
      </c>
      <c r="J47">
        <v>1.7767000000000002E-2</v>
      </c>
      <c r="K47">
        <v>2.0275999999999999E-2</v>
      </c>
      <c r="L47">
        <v>2.2412000000000001E-2</v>
      </c>
      <c r="M47">
        <v>2.6654000000000001E-2</v>
      </c>
      <c r="N47">
        <v>2.8334999999999999E-2</v>
      </c>
      <c r="O47" s="8">
        <f t="shared" si="1"/>
        <v>1005.3521062826001</v>
      </c>
      <c r="P47" s="8">
        <f t="shared" si="2"/>
        <v>1203.7940989823019</v>
      </c>
      <c r="Q47" s="8">
        <f t="shared" si="3"/>
        <v>1171.9720978770408</v>
      </c>
      <c r="R47">
        <v>-1.9640310788522439E-2</v>
      </c>
      <c r="S47">
        <v>6.3709059160126272E-2</v>
      </c>
      <c r="T47">
        <v>3.0930026671962377E-2</v>
      </c>
    </row>
    <row r="48" spans="1:20" x14ac:dyDescent="0.25">
      <c r="A48">
        <v>45</v>
      </c>
      <c r="B48">
        <v>4</v>
      </c>
      <c r="C48">
        <v>9</v>
      </c>
      <c r="D48">
        <v>7.9310000000000005E-3</v>
      </c>
      <c r="E48">
        <v>1.0181000000000001E-2</v>
      </c>
      <c r="F48">
        <v>1.0619999999999999E-2</v>
      </c>
      <c r="G48">
        <v>1.0947999999999999E-2</v>
      </c>
      <c r="H48">
        <v>1.2791E-2</v>
      </c>
      <c r="I48">
        <v>1.494E-2</v>
      </c>
      <c r="J48">
        <v>1.7794000000000001E-2</v>
      </c>
      <c r="K48">
        <v>2.0240999999999999E-2</v>
      </c>
      <c r="L48">
        <v>2.2384000000000001E-2</v>
      </c>
      <c r="M48">
        <v>2.6588000000000001E-2</v>
      </c>
      <c r="N48">
        <v>2.8426E-2</v>
      </c>
      <c r="O48" s="8">
        <f t="shared" si="1"/>
        <v>1005.1279512968936</v>
      </c>
      <c r="P48" s="8">
        <f t="shared" si="2"/>
        <v>1208.9025332925401</v>
      </c>
      <c r="Q48" s="8">
        <f t="shared" si="3"/>
        <v>1174.8427663022348</v>
      </c>
      <c r="R48">
        <v>-2.6722615051224547E-3</v>
      </c>
      <c r="S48">
        <v>5.2128853965757366E-2</v>
      </c>
      <c r="T48">
        <v>2.9792442249949268E-2</v>
      </c>
    </row>
    <row r="49" spans="1:20" x14ac:dyDescent="0.25">
      <c r="A49">
        <v>46</v>
      </c>
      <c r="B49">
        <v>4</v>
      </c>
      <c r="C49">
        <v>10</v>
      </c>
      <c r="D49">
        <v>7.9539999999999993E-3</v>
      </c>
      <c r="E49">
        <v>1.018E-2</v>
      </c>
      <c r="F49">
        <v>1.0715000000000001E-2</v>
      </c>
      <c r="G49">
        <v>1.0857E-2</v>
      </c>
      <c r="H49">
        <v>1.2777E-2</v>
      </c>
      <c r="I49">
        <v>1.5037E-2</v>
      </c>
      <c r="J49">
        <v>1.7822999999999999E-2</v>
      </c>
      <c r="K49">
        <v>2.0257000000000001E-2</v>
      </c>
      <c r="L49">
        <v>2.2348E-2</v>
      </c>
      <c r="M49">
        <v>2.6598E-2</v>
      </c>
      <c r="N49">
        <v>2.8458000000000001E-2</v>
      </c>
      <c r="O49" s="8">
        <f t="shared" si="1"/>
        <v>1003.3040987439622</v>
      </c>
      <c r="P49" s="8">
        <f t="shared" si="2"/>
        <v>1212.5386252858468</v>
      </c>
      <c r="Q49" s="8">
        <f t="shared" si="3"/>
        <v>1177.9372550783276</v>
      </c>
      <c r="R49">
        <v>-2.1558570254666485E-2</v>
      </c>
      <c r="S49">
        <v>3.6696257812654086E-2</v>
      </c>
      <c r="T49">
        <v>3.2069454532620743E-2</v>
      </c>
    </row>
    <row r="50" spans="1:20" x14ac:dyDescent="0.25">
      <c r="A50">
        <v>47</v>
      </c>
      <c r="B50">
        <v>4</v>
      </c>
      <c r="C50">
        <v>11</v>
      </c>
      <c r="D50">
        <v>7.8770000000000003E-3</v>
      </c>
      <c r="E50">
        <v>1.0174000000000001E-2</v>
      </c>
      <c r="F50">
        <v>1.0701E-2</v>
      </c>
      <c r="G50">
        <v>1.0847000000000001E-2</v>
      </c>
      <c r="H50">
        <v>1.2784E-2</v>
      </c>
      <c r="I50">
        <v>1.4973999999999999E-2</v>
      </c>
      <c r="J50">
        <v>1.7772E-2</v>
      </c>
      <c r="K50">
        <v>2.0320000000000001E-2</v>
      </c>
      <c r="L50">
        <v>2.2381999999999999E-2</v>
      </c>
      <c r="M50">
        <v>2.6622E-2</v>
      </c>
      <c r="N50">
        <v>2.8545999999999998E-2</v>
      </c>
      <c r="O50" s="8">
        <f t="shared" si="1"/>
        <v>1004.2266485884771</v>
      </c>
      <c r="P50" s="8">
        <f t="shared" si="2"/>
        <v>1218.6560483975049</v>
      </c>
      <c r="Q50" s="8">
        <f t="shared" si="3"/>
        <v>1181.1902399132387</v>
      </c>
      <c r="R50">
        <v>1.1090114753378599E-2</v>
      </c>
      <c r="S50">
        <v>6.225013981415909E-2</v>
      </c>
      <c r="T50">
        <v>3.3647136815921581E-2</v>
      </c>
    </row>
    <row r="51" spans="1:20" x14ac:dyDescent="0.25">
      <c r="A51">
        <v>48</v>
      </c>
      <c r="B51">
        <v>4</v>
      </c>
      <c r="C51">
        <v>12</v>
      </c>
      <c r="D51">
        <v>7.9559999999999995E-3</v>
      </c>
      <c r="E51">
        <v>1.0271000000000001E-2</v>
      </c>
      <c r="F51">
        <v>1.0792E-2</v>
      </c>
      <c r="G51">
        <v>1.081E-2</v>
      </c>
      <c r="H51">
        <v>1.2758E-2</v>
      </c>
      <c r="I51">
        <v>1.4966E-2</v>
      </c>
      <c r="J51">
        <v>1.7819000000000002E-2</v>
      </c>
      <c r="K51">
        <v>2.0403999999999999E-2</v>
      </c>
      <c r="L51">
        <v>2.2395000000000002E-2</v>
      </c>
      <c r="M51">
        <v>2.6561000000000001E-2</v>
      </c>
      <c r="N51">
        <v>2.8546999999999999E-2</v>
      </c>
      <c r="O51" s="8">
        <f t="shared" si="1"/>
        <v>1001.9880839644941</v>
      </c>
      <c r="P51" s="8">
        <f t="shared" si="2"/>
        <v>1224.5559594136125</v>
      </c>
      <c r="Q51" s="8">
        <f t="shared" si="3"/>
        <v>1184.1222250844542</v>
      </c>
      <c r="R51">
        <v>-2.6424179431879562E-2</v>
      </c>
      <c r="S51">
        <v>5.9668084972432645E-2</v>
      </c>
      <c r="T51">
        <v>3.0196793247975872E-2</v>
      </c>
    </row>
    <row r="52" spans="1:20" x14ac:dyDescent="0.25">
      <c r="A52">
        <v>49</v>
      </c>
      <c r="B52">
        <v>5</v>
      </c>
      <c r="C52">
        <v>1</v>
      </c>
      <c r="D52">
        <v>7.9810000000000002E-3</v>
      </c>
      <c r="E52">
        <v>1.0255999999999999E-2</v>
      </c>
      <c r="F52">
        <v>1.0697E-2</v>
      </c>
      <c r="G52">
        <v>1.074E-2</v>
      </c>
      <c r="H52">
        <v>1.2838E-2</v>
      </c>
      <c r="I52">
        <v>1.4959E-2</v>
      </c>
      <c r="J52">
        <v>1.7833999999999999E-2</v>
      </c>
      <c r="K52">
        <v>2.0324999999999999E-2</v>
      </c>
      <c r="L52">
        <v>2.2348E-2</v>
      </c>
      <c r="M52">
        <v>2.6495999999999999E-2</v>
      </c>
      <c r="N52">
        <v>2.8558E-2</v>
      </c>
      <c r="O52" s="8">
        <f t="shared" si="1"/>
        <v>997.88559537209267</v>
      </c>
      <c r="P52" s="8">
        <f t="shared" si="2"/>
        <v>1228.7949661904408</v>
      </c>
      <c r="Q52" s="8">
        <f t="shared" si="3"/>
        <v>1187.3519815830662</v>
      </c>
      <c r="R52">
        <v>-4.8040742394581122E-2</v>
      </c>
      <c r="S52">
        <v>4.2340107121628605E-2</v>
      </c>
      <c r="T52">
        <v>3.3226141573204471E-2</v>
      </c>
    </row>
    <row r="53" spans="1:20" x14ac:dyDescent="0.25">
      <c r="A53">
        <v>50</v>
      </c>
      <c r="B53">
        <v>5</v>
      </c>
      <c r="C53">
        <v>2</v>
      </c>
      <c r="D53">
        <v>7.9620000000000003E-3</v>
      </c>
      <c r="E53">
        <v>1.0343E-2</v>
      </c>
      <c r="F53">
        <v>1.0682000000000001E-2</v>
      </c>
      <c r="G53">
        <v>1.073E-2</v>
      </c>
      <c r="H53">
        <v>1.2865E-2</v>
      </c>
      <c r="I53">
        <v>1.4898E-2</v>
      </c>
      <c r="J53">
        <v>1.7913999999999999E-2</v>
      </c>
      <c r="K53">
        <v>2.0358999999999999E-2</v>
      </c>
      <c r="L53">
        <v>2.2449E-2</v>
      </c>
      <c r="M53">
        <v>2.6453000000000001E-2</v>
      </c>
      <c r="N53">
        <v>2.8492E-2</v>
      </c>
      <c r="O53" s="8">
        <f t="shared" si="1"/>
        <v>1000.44452755731</v>
      </c>
      <c r="P53" s="8">
        <f t="shared" si="2"/>
        <v>1233.4742946675979</v>
      </c>
      <c r="Q53" s="8">
        <f t="shared" si="3"/>
        <v>1190.3528159822365</v>
      </c>
      <c r="R53">
        <v>3.1209992805085809E-2</v>
      </c>
      <c r="S53">
        <v>4.6666096555965736E-2</v>
      </c>
      <c r="T53">
        <v>3.0753142712838178E-2</v>
      </c>
    </row>
    <row r="54" spans="1:20" x14ac:dyDescent="0.25">
      <c r="A54">
        <v>51</v>
      </c>
      <c r="B54">
        <v>5</v>
      </c>
      <c r="C54">
        <v>3</v>
      </c>
      <c r="D54">
        <v>7.8639999999999995E-3</v>
      </c>
      <c r="E54">
        <v>1.0392999999999999E-2</v>
      </c>
      <c r="F54">
        <v>1.0642E-2</v>
      </c>
      <c r="G54">
        <v>1.0796E-2</v>
      </c>
      <c r="H54">
        <v>1.2938E-2</v>
      </c>
      <c r="I54">
        <v>1.4865E-2</v>
      </c>
      <c r="J54">
        <v>1.7847999999999999E-2</v>
      </c>
      <c r="K54">
        <v>2.0375000000000001E-2</v>
      </c>
      <c r="L54">
        <v>2.2380000000000001E-2</v>
      </c>
      <c r="M54">
        <v>2.6453999999999998E-2</v>
      </c>
      <c r="N54">
        <v>2.8435999999999999E-2</v>
      </c>
      <c r="O54" s="8">
        <f t="shared" si="1"/>
        <v>1002.4283291106136</v>
      </c>
      <c r="P54" s="8">
        <f t="shared" si="2"/>
        <v>1238.4787112704923</v>
      </c>
      <c r="Q54" s="8">
        <f t="shared" si="3"/>
        <v>1193.0567906344043</v>
      </c>
      <c r="R54">
        <v>2.405627421608459E-2</v>
      </c>
      <c r="S54">
        <v>4.9787286135740058E-2</v>
      </c>
      <c r="T54">
        <v>2.7602044633936978E-2</v>
      </c>
    </row>
    <row r="55" spans="1:20" x14ac:dyDescent="0.25">
      <c r="A55">
        <v>52</v>
      </c>
      <c r="B55">
        <v>5</v>
      </c>
      <c r="C55">
        <v>4</v>
      </c>
      <c r="D55">
        <v>7.9419999999999994E-3</v>
      </c>
      <c r="E55">
        <v>1.0449E-2</v>
      </c>
      <c r="F55">
        <v>1.0567E-2</v>
      </c>
      <c r="G55">
        <v>1.0808999999999999E-2</v>
      </c>
      <c r="H55">
        <v>1.3032999999999999E-2</v>
      </c>
      <c r="I55">
        <v>1.4788000000000001E-2</v>
      </c>
      <c r="J55">
        <v>1.7946E-2</v>
      </c>
      <c r="K55">
        <v>2.0449999999999999E-2</v>
      </c>
      <c r="L55">
        <v>2.2415999999999998E-2</v>
      </c>
      <c r="M55">
        <v>2.6388999999999999E-2</v>
      </c>
      <c r="N55">
        <v>2.8518999999999999E-2</v>
      </c>
      <c r="O55" s="8">
        <f t="shared" si="1"/>
        <v>1003.7098100181611</v>
      </c>
      <c r="P55" s="8">
        <f t="shared" si="2"/>
        <v>1244.1342315110367</v>
      </c>
      <c r="Q55" s="8">
        <f t="shared" si="3"/>
        <v>1195.7004466413682</v>
      </c>
      <c r="R55">
        <v>1.5448840288822424E-2</v>
      </c>
      <c r="S55">
        <v>5.6195532573581938E-2</v>
      </c>
      <c r="T55">
        <v>2.691688259175247E-2</v>
      </c>
    </row>
    <row r="56" spans="1:20" x14ac:dyDescent="0.25">
      <c r="A56">
        <v>53</v>
      </c>
      <c r="B56">
        <v>5</v>
      </c>
      <c r="C56">
        <v>5</v>
      </c>
      <c r="D56">
        <v>7.9139999999999992E-3</v>
      </c>
      <c r="E56">
        <v>1.0496999999999999E-2</v>
      </c>
      <c r="F56">
        <v>1.0577E-2</v>
      </c>
      <c r="G56">
        <v>1.0846E-2</v>
      </c>
      <c r="H56">
        <v>1.2997999999999999E-2</v>
      </c>
      <c r="I56">
        <v>1.487E-2</v>
      </c>
      <c r="J56">
        <v>1.7906999999999999E-2</v>
      </c>
      <c r="K56">
        <v>2.0454E-2</v>
      </c>
      <c r="L56">
        <v>2.2363999999999998E-2</v>
      </c>
      <c r="M56">
        <v>2.6395999999999999E-2</v>
      </c>
      <c r="N56">
        <v>2.8597999999999998E-2</v>
      </c>
      <c r="O56" s="8">
        <f t="shared" si="1"/>
        <v>1004.126352840133</v>
      </c>
      <c r="P56" s="8">
        <f t="shared" si="2"/>
        <v>1251.3156631032771</v>
      </c>
      <c r="Q56" s="8">
        <f t="shared" si="3"/>
        <v>1198.3733968126342</v>
      </c>
      <c r="R56">
        <v>4.9914216322141328E-3</v>
      </c>
      <c r="S56">
        <v>7.1508683140061521E-2</v>
      </c>
      <c r="T56">
        <v>2.7157909911716356E-2</v>
      </c>
    </row>
    <row r="57" spans="1:20" x14ac:dyDescent="0.25">
      <c r="A57">
        <v>54</v>
      </c>
      <c r="B57">
        <v>5</v>
      </c>
      <c r="C57">
        <v>6</v>
      </c>
      <c r="D57">
        <v>8.005E-3</v>
      </c>
      <c r="E57">
        <v>1.0515999999999999E-2</v>
      </c>
      <c r="F57">
        <v>1.0551E-2</v>
      </c>
      <c r="G57">
        <v>1.0791E-2</v>
      </c>
      <c r="H57">
        <v>1.3001E-2</v>
      </c>
      <c r="I57">
        <v>1.4895E-2</v>
      </c>
      <c r="J57">
        <v>1.7821E-2</v>
      </c>
      <c r="K57">
        <v>2.0499E-2</v>
      </c>
      <c r="L57">
        <v>2.2321000000000001E-2</v>
      </c>
      <c r="M57">
        <v>2.6449E-2</v>
      </c>
      <c r="N57">
        <v>2.8509E-2</v>
      </c>
      <c r="O57" s="8">
        <f t="shared" si="1"/>
        <v>1001.1191969762999</v>
      </c>
      <c r="P57" s="8">
        <f t="shared" si="2"/>
        <v>1257.2787333071014</v>
      </c>
      <c r="Q57" s="8">
        <f t="shared" si="3"/>
        <v>1200.6306183779404</v>
      </c>
      <c r="R57">
        <v>-3.5351506861067167E-2</v>
      </c>
      <c r="S57">
        <v>5.8708172286920268E-2</v>
      </c>
      <c r="T57">
        <v>2.2838487765109591E-2</v>
      </c>
    </row>
    <row r="58" spans="1:20" x14ac:dyDescent="0.25">
      <c r="A58">
        <v>55</v>
      </c>
      <c r="B58">
        <v>5</v>
      </c>
      <c r="C58">
        <v>7</v>
      </c>
      <c r="D58">
        <v>7.979E-3</v>
      </c>
      <c r="E58">
        <v>1.0572E-2</v>
      </c>
      <c r="F58">
        <v>1.057E-2</v>
      </c>
      <c r="G58">
        <v>1.0713E-2</v>
      </c>
      <c r="H58">
        <v>1.307E-2</v>
      </c>
      <c r="I58">
        <v>1.4962E-2</v>
      </c>
      <c r="J58">
        <v>1.7779E-2</v>
      </c>
      <c r="K58">
        <v>2.0532000000000002E-2</v>
      </c>
      <c r="L58">
        <v>2.2331E-2</v>
      </c>
      <c r="M58">
        <v>2.639E-2</v>
      </c>
      <c r="N58">
        <v>2.8443E-2</v>
      </c>
      <c r="O58" s="8">
        <f t="shared" si="1"/>
        <v>1000.2327745045438</v>
      </c>
      <c r="P58" s="8">
        <f t="shared" si="2"/>
        <v>1262.2554254817589</v>
      </c>
      <c r="Q58" s="8">
        <f t="shared" si="3"/>
        <v>1203.0586410418721</v>
      </c>
      <c r="R58">
        <v>-1.0573587137184804E-2</v>
      </c>
      <c r="S58">
        <v>4.8547521143938691E-2</v>
      </c>
      <c r="T58">
        <v>2.4539218730337667E-2</v>
      </c>
    </row>
    <row r="59" spans="1:20" x14ac:dyDescent="0.25">
      <c r="A59">
        <v>56</v>
      </c>
      <c r="B59">
        <v>5</v>
      </c>
      <c r="C59">
        <v>8</v>
      </c>
      <c r="D59">
        <v>8.0409999999999995E-3</v>
      </c>
      <c r="E59">
        <v>1.0505E-2</v>
      </c>
      <c r="F59">
        <v>1.0541999999999999E-2</v>
      </c>
      <c r="G59">
        <v>1.0654E-2</v>
      </c>
      <c r="H59">
        <v>1.308E-2</v>
      </c>
      <c r="I59">
        <v>1.4970000000000001E-2</v>
      </c>
      <c r="J59">
        <v>1.7691999999999999E-2</v>
      </c>
      <c r="K59">
        <v>2.0551E-2</v>
      </c>
      <c r="L59">
        <v>2.2232999999999999E-2</v>
      </c>
      <c r="M59">
        <v>2.6308999999999999E-2</v>
      </c>
      <c r="N59">
        <v>2.8458000000000001E-2</v>
      </c>
      <c r="O59" s="8">
        <f t="shared" si="1"/>
        <v>1003.898680870423</v>
      </c>
      <c r="P59" s="8">
        <f t="shared" si="2"/>
        <v>1267.0834295077605</v>
      </c>
      <c r="Q59" s="8">
        <f t="shared" si="3"/>
        <v>1205.9325986085471</v>
      </c>
      <c r="R59">
        <v>4.4878112139685969E-2</v>
      </c>
      <c r="S59">
        <v>4.6876820276542254E-2</v>
      </c>
      <c r="T59">
        <v>2.9046167894529542E-2</v>
      </c>
    </row>
    <row r="60" spans="1:20" x14ac:dyDescent="0.25">
      <c r="A60">
        <v>57</v>
      </c>
      <c r="B60">
        <v>5</v>
      </c>
      <c r="C60">
        <v>9</v>
      </c>
      <c r="D60">
        <v>8.1359999999999991E-3</v>
      </c>
      <c r="E60">
        <v>1.0456E-2</v>
      </c>
      <c r="F60">
        <v>1.0607E-2</v>
      </c>
      <c r="G60">
        <v>1.0606000000000001E-2</v>
      </c>
      <c r="H60">
        <v>1.3113E-2</v>
      </c>
      <c r="I60">
        <v>1.5003000000000001E-2</v>
      </c>
      <c r="J60">
        <v>1.7777000000000001E-2</v>
      </c>
      <c r="K60">
        <v>2.0583000000000001E-2</v>
      </c>
      <c r="L60">
        <v>2.2141000000000001E-2</v>
      </c>
      <c r="M60">
        <v>2.6286E-2</v>
      </c>
      <c r="N60">
        <v>2.8358999999999999E-2</v>
      </c>
      <c r="O60" s="8">
        <f t="shared" si="1"/>
        <v>1008.1198614980526</v>
      </c>
      <c r="P60" s="8">
        <f t="shared" si="2"/>
        <v>1271.9311710967049</v>
      </c>
      <c r="Q60" s="8">
        <f t="shared" si="3"/>
        <v>1208.4886919119372</v>
      </c>
      <c r="R60">
        <v>5.1640856680888032E-2</v>
      </c>
      <c r="S60">
        <v>4.6889372872270539E-2</v>
      </c>
      <c r="T60">
        <v>2.5733808910009263E-2</v>
      </c>
    </row>
    <row r="61" spans="1:20" x14ac:dyDescent="0.25">
      <c r="A61">
        <v>58</v>
      </c>
      <c r="B61">
        <v>5</v>
      </c>
      <c r="C61">
        <v>10</v>
      </c>
      <c r="D61">
        <v>8.0669999999999995E-3</v>
      </c>
      <c r="E61">
        <v>1.0449999999999999E-2</v>
      </c>
      <c r="F61">
        <v>1.0692E-2</v>
      </c>
      <c r="G61">
        <v>1.0706E-2</v>
      </c>
      <c r="H61">
        <v>1.3126000000000001E-2</v>
      </c>
      <c r="I61">
        <v>1.5010000000000001E-2</v>
      </c>
      <c r="J61">
        <v>1.7772E-2</v>
      </c>
      <c r="K61">
        <v>2.0575E-2</v>
      </c>
      <c r="L61">
        <v>2.2044000000000001E-2</v>
      </c>
      <c r="M61">
        <v>2.6206E-2</v>
      </c>
      <c r="N61">
        <v>2.828E-2</v>
      </c>
      <c r="O61" s="8">
        <f t="shared" si="1"/>
        <v>1008.9737522046327</v>
      </c>
      <c r="P61" s="8">
        <f t="shared" si="2"/>
        <v>1277.8745184307168</v>
      </c>
      <c r="Q61" s="8">
        <f t="shared" si="3"/>
        <v>1210.8671826487762</v>
      </c>
      <c r="R61">
        <v>1.0211641331888002E-2</v>
      </c>
      <c r="S61">
        <v>5.7536081258593004E-2</v>
      </c>
      <c r="T61">
        <v>2.3875180975213559E-2</v>
      </c>
    </row>
    <row r="62" spans="1:20" x14ac:dyDescent="0.25">
      <c r="A62">
        <v>59</v>
      </c>
      <c r="B62">
        <v>5</v>
      </c>
      <c r="C62">
        <v>11</v>
      </c>
      <c r="D62">
        <v>8.0909999999999992E-3</v>
      </c>
      <c r="E62">
        <v>1.0456E-2</v>
      </c>
      <c r="F62">
        <v>1.0659E-2</v>
      </c>
      <c r="G62">
        <v>1.0609E-2</v>
      </c>
      <c r="H62">
        <v>1.3127E-2</v>
      </c>
      <c r="I62">
        <v>1.5063E-2</v>
      </c>
      <c r="J62">
        <v>1.77E-2</v>
      </c>
      <c r="K62">
        <v>2.0645E-2</v>
      </c>
      <c r="L62">
        <v>2.1999999999999999E-2</v>
      </c>
      <c r="M62">
        <v>2.6297000000000001E-2</v>
      </c>
      <c r="N62">
        <v>2.8201E-2</v>
      </c>
      <c r="O62" s="8">
        <f t="shared" si="1"/>
        <v>1005.1720699781081</v>
      </c>
      <c r="P62" s="8">
        <f t="shared" si="2"/>
        <v>1284.0483430894501</v>
      </c>
      <c r="Q62" s="8">
        <f t="shared" si="3"/>
        <v>1213.0608348097317</v>
      </c>
      <c r="R62">
        <v>-4.4289120678781428E-2</v>
      </c>
      <c r="S62">
        <v>5.9541509518675186E-2</v>
      </c>
      <c r="T62">
        <v>2.1957575070626283E-2</v>
      </c>
    </row>
    <row r="63" spans="1:20" x14ac:dyDescent="0.25">
      <c r="A63">
        <v>60</v>
      </c>
      <c r="B63">
        <v>5</v>
      </c>
      <c r="C63">
        <v>12</v>
      </c>
      <c r="D63">
        <v>8.0420000000000005E-3</v>
      </c>
      <c r="E63">
        <v>1.0475999999999999E-2</v>
      </c>
      <c r="F63">
        <v>1.0645999999999999E-2</v>
      </c>
      <c r="G63">
        <v>1.0676E-2</v>
      </c>
      <c r="H63">
        <v>1.3073E-2</v>
      </c>
      <c r="I63">
        <v>1.4978999999999999E-2</v>
      </c>
      <c r="J63">
        <v>1.7684999999999999E-2</v>
      </c>
      <c r="K63">
        <v>2.0576000000000001E-2</v>
      </c>
      <c r="L63">
        <v>2.206E-2</v>
      </c>
      <c r="M63">
        <v>2.6332000000000001E-2</v>
      </c>
      <c r="N63">
        <v>2.8160999999999999E-2</v>
      </c>
      <c r="O63" s="8">
        <f t="shared" si="1"/>
        <v>1003.2296027806085</v>
      </c>
      <c r="P63" s="8">
        <f t="shared" si="2"/>
        <v>1290.4001308780184</v>
      </c>
      <c r="Q63" s="8">
        <f t="shared" si="3"/>
        <v>1215.68678087424</v>
      </c>
      <c r="R63">
        <v>-2.2944774931265344E-2</v>
      </c>
      <c r="S63">
        <v>6.1002198526418062E-2</v>
      </c>
      <c r="T63">
        <v>2.6288250720983602E-2</v>
      </c>
    </row>
    <row r="64" spans="1:20" x14ac:dyDescent="0.25">
      <c r="A64">
        <v>61</v>
      </c>
      <c r="B64">
        <v>6</v>
      </c>
      <c r="C64">
        <v>1</v>
      </c>
      <c r="D64">
        <v>8.0190000000000001E-3</v>
      </c>
      <c r="E64">
        <v>1.0401000000000001E-2</v>
      </c>
      <c r="F64">
        <v>1.0614999999999999E-2</v>
      </c>
      <c r="G64">
        <v>1.0664E-2</v>
      </c>
      <c r="H64">
        <v>1.2977000000000001E-2</v>
      </c>
      <c r="I64">
        <v>1.4973999999999999E-2</v>
      </c>
      <c r="J64">
        <v>1.7680000000000001E-2</v>
      </c>
      <c r="K64">
        <v>2.0631E-2</v>
      </c>
      <c r="L64">
        <v>2.1994E-2</v>
      </c>
      <c r="M64">
        <v>2.6256999999999999E-2</v>
      </c>
      <c r="N64">
        <v>2.8251999999999999E-2</v>
      </c>
      <c r="O64" s="8">
        <f t="shared" si="1"/>
        <v>1001.64042964629</v>
      </c>
      <c r="P64" s="8">
        <f t="shared" si="2"/>
        <v>1297.1310478961166</v>
      </c>
      <c r="Q64" s="8">
        <f t="shared" si="3"/>
        <v>1218.2680595477964</v>
      </c>
      <c r="R64">
        <v>-1.8843948776683363E-2</v>
      </c>
      <c r="S64">
        <v>6.4421099277059773E-2</v>
      </c>
      <c r="T64">
        <v>2.577938113233888E-2</v>
      </c>
    </row>
    <row r="65" spans="1:20" x14ac:dyDescent="0.25">
      <c r="A65">
        <v>62</v>
      </c>
      <c r="B65">
        <v>6</v>
      </c>
      <c r="C65">
        <v>2</v>
      </c>
      <c r="D65">
        <v>8.0929999999999995E-3</v>
      </c>
      <c r="E65">
        <v>1.0401000000000001E-2</v>
      </c>
      <c r="F65">
        <v>1.0652999999999999E-2</v>
      </c>
      <c r="G65">
        <v>1.0658000000000001E-2</v>
      </c>
      <c r="H65">
        <v>1.2899000000000001E-2</v>
      </c>
      <c r="I65">
        <v>1.4921E-2</v>
      </c>
      <c r="J65">
        <v>1.7659999999999999E-2</v>
      </c>
      <c r="K65">
        <v>2.0563000000000001E-2</v>
      </c>
      <c r="L65">
        <v>2.1984E-2</v>
      </c>
      <c r="M65">
        <v>2.6287999999999999E-2</v>
      </c>
      <c r="N65">
        <v>2.8347000000000001E-2</v>
      </c>
      <c r="O65" s="8">
        <f t="shared" si="1"/>
        <v>1001.770748577125</v>
      </c>
      <c r="P65" s="8">
        <f t="shared" si="2"/>
        <v>1301.6453854373892</v>
      </c>
      <c r="Q65" s="8">
        <f t="shared" si="3"/>
        <v>1220.7111620636258</v>
      </c>
      <c r="R65">
        <v>1.5623837187570913E-3</v>
      </c>
      <c r="S65">
        <v>4.2571721190507138E-2</v>
      </c>
      <c r="T65">
        <v>2.4331886491086696E-2</v>
      </c>
    </row>
    <row r="66" spans="1:20" x14ac:dyDescent="0.25">
      <c r="A66">
        <v>63</v>
      </c>
      <c r="B66">
        <v>6</v>
      </c>
      <c r="C66">
        <v>3</v>
      </c>
      <c r="D66">
        <v>8.1829999999999993E-3</v>
      </c>
      <c r="E66">
        <v>1.0467000000000001E-2</v>
      </c>
      <c r="F66">
        <v>1.0658000000000001E-2</v>
      </c>
      <c r="G66">
        <v>1.0562E-2</v>
      </c>
      <c r="H66">
        <v>1.2961E-2</v>
      </c>
      <c r="I66">
        <v>1.4884E-2</v>
      </c>
      <c r="J66">
        <v>1.7575E-2</v>
      </c>
      <c r="K66">
        <v>2.0655E-2</v>
      </c>
      <c r="L66">
        <v>2.1998E-2</v>
      </c>
      <c r="M66">
        <v>2.6341E-2</v>
      </c>
      <c r="N66">
        <v>2.8263E-2</v>
      </c>
      <c r="O66" s="8">
        <f t="shared" si="1"/>
        <v>1005.6695001939788</v>
      </c>
      <c r="P66" s="8">
        <f t="shared" si="2"/>
        <v>1305.2296400630717</v>
      </c>
      <c r="Q66" s="8">
        <f t="shared" si="3"/>
        <v>1222.7387618644545</v>
      </c>
      <c r="R66">
        <v>4.7715078201392612E-2</v>
      </c>
      <c r="S66">
        <v>3.3548671618729722E-2</v>
      </c>
      <c r="T66">
        <v>2.0115086318647168E-2</v>
      </c>
    </row>
    <row r="67" spans="1:20" x14ac:dyDescent="0.25">
      <c r="A67">
        <v>64</v>
      </c>
      <c r="B67">
        <v>6</v>
      </c>
      <c r="C67">
        <v>4</v>
      </c>
      <c r="D67">
        <v>8.1130000000000004E-3</v>
      </c>
      <c r="E67">
        <v>1.0435E-2</v>
      </c>
      <c r="F67">
        <v>1.0621E-2</v>
      </c>
      <c r="G67">
        <v>1.0621999999999999E-2</v>
      </c>
      <c r="H67">
        <v>1.2994E-2</v>
      </c>
      <c r="I67">
        <v>1.4827999999999999E-2</v>
      </c>
      <c r="J67">
        <v>1.7616E-2</v>
      </c>
      <c r="K67">
        <v>2.0677999999999998E-2</v>
      </c>
      <c r="L67">
        <v>2.2027000000000001E-2</v>
      </c>
      <c r="M67">
        <v>2.6391999999999999E-2</v>
      </c>
      <c r="N67">
        <v>2.8246E-2</v>
      </c>
      <c r="O67" s="8">
        <f t="shared" si="1"/>
        <v>1002.6376193929941</v>
      </c>
      <c r="P67" s="8">
        <f t="shared" si="2"/>
        <v>1311.4524576640599</v>
      </c>
      <c r="Q67" s="8">
        <f t="shared" si="3"/>
        <v>1224.5374992842371</v>
      </c>
      <c r="R67">
        <v>-3.558357840600123E-2</v>
      </c>
      <c r="S67">
        <v>5.8735525420498931E-2</v>
      </c>
      <c r="T67">
        <v>1.7796400797035278E-2</v>
      </c>
    </row>
    <row r="68" spans="1:20" x14ac:dyDescent="0.25">
      <c r="A68">
        <v>65</v>
      </c>
      <c r="B68">
        <v>6</v>
      </c>
      <c r="C68">
        <v>5</v>
      </c>
      <c r="D68">
        <v>8.1829999999999993E-3</v>
      </c>
      <c r="E68">
        <v>1.047E-2</v>
      </c>
      <c r="F68">
        <v>1.0552000000000001E-2</v>
      </c>
      <c r="G68">
        <v>1.0593999999999999E-2</v>
      </c>
      <c r="H68">
        <v>1.3086E-2</v>
      </c>
      <c r="I68">
        <v>1.4761E-2</v>
      </c>
      <c r="J68">
        <v>1.7638999999999998E-2</v>
      </c>
      <c r="K68">
        <v>2.0629000000000002E-2</v>
      </c>
      <c r="L68">
        <v>2.2106000000000001E-2</v>
      </c>
      <c r="M68">
        <v>2.6377999999999999E-2</v>
      </c>
      <c r="N68">
        <v>2.8228E-2</v>
      </c>
      <c r="O68" s="8">
        <f t="shared" si="1"/>
        <v>1000.7206993623823</v>
      </c>
      <c r="P68" s="8">
        <f t="shared" si="2"/>
        <v>1318.9859554574257</v>
      </c>
      <c r="Q68" s="8">
        <f t="shared" si="3"/>
        <v>1225.8564013090015</v>
      </c>
      <c r="R68">
        <v>-2.2702809457537443E-2</v>
      </c>
      <c r="S68">
        <v>7.1152828061371742E-2</v>
      </c>
      <c r="T68">
        <v>1.3001575909385134E-2</v>
      </c>
    </row>
    <row r="69" spans="1:20" x14ac:dyDescent="0.25">
      <c r="A69">
        <v>66</v>
      </c>
      <c r="B69">
        <v>6</v>
      </c>
      <c r="C69">
        <v>6</v>
      </c>
      <c r="D69">
        <v>8.1689999999999992E-3</v>
      </c>
      <c r="E69">
        <v>1.0383E-2</v>
      </c>
      <c r="F69">
        <v>1.0595E-2</v>
      </c>
      <c r="G69">
        <v>1.0506E-2</v>
      </c>
      <c r="H69">
        <v>1.3186E-2</v>
      </c>
      <c r="I69">
        <v>1.4708000000000001E-2</v>
      </c>
      <c r="J69">
        <v>1.7642999999999999E-2</v>
      </c>
      <c r="K69">
        <v>2.0635000000000001E-2</v>
      </c>
      <c r="L69">
        <v>2.2008E-2</v>
      </c>
      <c r="M69">
        <v>2.6373000000000001E-2</v>
      </c>
      <c r="N69">
        <v>2.8176E-2</v>
      </c>
      <c r="O69" s="8">
        <f t="shared" ref="O69:O132" si="4">O68*(1+R69)^(1/12)</f>
        <v>1002.4588785033052</v>
      </c>
      <c r="P69" s="8">
        <f t="shared" ref="P69:P132" si="5">P68*(1+S69)^(1/12)</f>
        <v>1323.879975887729</v>
      </c>
      <c r="Q69" s="8">
        <f t="shared" ref="Q69:Q132" si="6">Q68*(1+T69)^(1/12)</f>
        <v>1226.7825380207939</v>
      </c>
      <c r="R69">
        <v>2.1043401910402292E-2</v>
      </c>
      <c r="S69">
        <v>4.544527940200134E-2</v>
      </c>
      <c r="T69">
        <v>9.1037882489196746E-3</v>
      </c>
    </row>
    <row r="70" spans="1:20" x14ac:dyDescent="0.25">
      <c r="A70">
        <v>67</v>
      </c>
      <c r="B70">
        <v>6</v>
      </c>
      <c r="C70">
        <v>7</v>
      </c>
      <c r="D70">
        <v>8.1220000000000007E-3</v>
      </c>
      <c r="E70">
        <v>1.0392E-2</v>
      </c>
      <c r="F70">
        <v>1.0599000000000001E-2</v>
      </c>
      <c r="G70">
        <v>1.0421E-2</v>
      </c>
      <c r="H70">
        <v>1.3220000000000001E-2</v>
      </c>
      <c r="I70">
        <v>1.4726E-2</v>
      </c>
      <c r="J70">
        <v>1.7634E-2</v>
      </c>
      <c r="K70">
        <v>2.0549000000000001E-2</v>
      </c>
      <c r="L70">
        <v>2.1968999999999999E-2</v>
      </c>
      <c r="M70">
        <v>2.6460999999999998E-2</v>
      </c>
      <c r="N70">
        <v>2.8083E-2</v>
      </c>
      <c r="O70" s="8">
        <f t="shared" si="4"/>
        <v>1001.0007537341767</v>
      </c>
      <c r="P70" s="8">
        <f t="shared" si="5"/>
        <v>1328.5807941749952</v>
      </c>
      <c r="Q70" s="8">
        <f t="shared" si="6"/>
        <v>1227.2507846900007</v>
      </c>
      <c r="R70">
        <v>-1.7315616466608771E-2</v>
      </c>
      <c r="S70">
        <v>4.3451529431821199E-2</v>
      </c>
      <c r="T70">
        <v>4.589868726916E-3</v>
      </c>
    </row>
    <row r="71" spans="1:20" x14ac:dyDescent="0.25">
      <c r="A71">
        <v>68</v>
      </c>
      <c r="B71">
        <v>6</v>
      </c>
      <c r="C71">
        <v>8</v>
      </c>
      <c r="D71">
        <v>8.0280000000000004E-3</v>
      </c>
      <c r="E71">
        <v>1.0468999999999999E-2</v>
      </c>
      <c r="F71">
        <v>1.0536E-2</v>
      </c>
      <c r="G71">
        <v>1.0377000000000001E-2</v>
      </c>
      <c r="H71">
        <v>1.3205E-2</v>
      </c>
      <c r="I71">
        <v>1.4789999999999999E-2</v>
      </c>
      <c r="J71">
        <v>1.7703E-2</v>
      </c>
      <c r="K71">
        <v>2.0615000000000001E-2</v>
      </c>
      <c r="L71">
        <v>2.2016000000000001E-2</v>
      </c>
      <c r="M71">
        <v>2.6408999999999998E-2</v>
      </c>
      <c r="N71">
        <v>2.8024E-2</v>
      </c>
      <c r="O71" s="8">
        <f t="shared" si="4"/>
        <v>1002.0870289741249</v>
      </c>
      <c r="P71" s="8">
        <f t="shared" si="5"/>
        <v>1332.2616578982772</v>
      </c>
      <c r="Q71" s="8">
        <f t="shared" si="6"/>
        <v>1227.3840671966134</v>
      </c>
      <c r="R71">
        <v>1.3100276585868063E-2</v>
      </c>
      <c r="S71">
        <v>3.3757587160621508E-2</v>
      </c>
      <c r="T71">
        <v>1.304008751064312E-3</v>
      </c>
    </row>
    <row r="72" spans="1:20" x14ac:dyDescent="0.25">
      <c r="A72">
        <v>69</v>
      </c>
      <c r="B72">
        <v>6</v>
      </c>
      <c r="C72">
        <v>9</v>
      </c>
      <c r="D72">
        <v>7.9509999999999997E-3</v>
      </c>
      <c r="E72">
        <v>1.0399E-2</v>
      </c>
      <c r="F72">
        <v>1.0534999999999999E-2</v>
      </c>
      <c r="G72">
        <v>1.0362E-2</v>
      </c>
      <c r="H72">
        <v>1.3197E-2</v>
      </c>
      <c r="I72">
        <v>1.4884E-2</v>
      </c>
      <c r="J72">
        <v>1.7748E-2</v>
      </c>
      <c r="K72">
        <v>2.0614E-2</v>
      </c>
      <c r="L72">
        <v>2.1951999999999999E-2</v>
      </c>
      <c r="M72">
        <v>2.6426000000000002E-2</v>
      </c>
      <c r="N72">
        <v>2.7959000000000001E-2</v>
      </c>
      <c r="O72" s="8">
        <f t="shared" si="4"/>
        <v>1003.1639977393086</v>
      </c>
      <c r="P72" s="8">
        <f t="shared" si="5"/>
        <v>1337.0134974362786</v>
      </c>
      <c r="Q72" s="8">
        <f t="shared" si="6"/>
        <v>1227.1091174533581</v>
      </c>
      <c r="R72">
        <v>1.2973215477137442E-2</v>
      </c>
      <c r="S72">
        <v>4.3650651360633175E-2</v>
      </c>
      <c r="T72">
        <v>-2.6848440938247948E-3</v>
      </c>
    </row>
    <row r="73" spans="1:20" x14ac:dyDescent="0.25">
      <c r="A73">
        <v>70</v>
      </c>
      <c r="B73">
        <v>6</v>
      </c>
      <c r="C73">
        <v>10</v>
      </c>
      <c r="D73">
        <v>7.9360000000000003E-3</v>
      </c>
      <c r="E73">
        <v>1.0444E-2</v>
      </c>
      <c r="F73">
        <v>1.0555999999999999E-2</v>
      </c>
      <c r="G73">
        <v>1.0442E-2</v>
      </c>
      <c r="H73">
        <v>1.3264E-2</v>
      </c>
      <c r="I73">
        <v>1.4844E-2</v>
      </c>
      <c r="J73">
        <v>1.7763000000000001E-2</v>
      </c>
      <c r="K73">
        <v>2.0614E-2</v>
      </c>
      <c r="L73">
        <v>2.1964000000000001E-2</v>
      </c>
      <c r="M73">
        <v>2.6426000000000002E-2</v>
      </c>
      <c r="N73">
        <v>2.7893999999999999E-2</v>
      </c>
      <c r="O73" s="8">
        <f t="shared" si="4"/>
        <v>1002.8991212109844</v>
      </c>
      <c r="P73" s="8">
        <f t="shared" si="5"/>
        <v>1340.6672894525498</v>
      </c>
      <c r="Q73" s="8">
        <f t="shared" si="6"/>
        <v>1226.4535687762118</v>
      </c>
      <c r="R73">
        <v>-3.1638959134247546E-3</v>
      </c>
      <c r="S73">
        <v>3.3291032808473883E-2</v>
      </c>
      <c r="T73">
        <v>-6.3918614588010236E-3</v>
      </c>
    </row>
    <row r="74" spans="1:20" x14ac:dyDescent="0.25">
      <c r="A74">
        <v>71</v>
      </c>
      <c r="B74">
        <v>6</v>
      </c>
      <c r="C74">
        <v>11</v>
      </c>
      <c r="D74">
        <v>8.0359999999999997E-3</v>
      </c>
      <c r="E74">
        <v>1.0357999999999999E-2</v>
      </c>
      <c r="F74">
        <v>1.0500000000000001E-2</v>
      </c>
      <c r="G74">
        <v>1.0532E-2</v>
      </c>
      <c r="H74">
        <v>1.3302E-2</v>
      </c>
      <c r="I74">
        <v>1.4852000000000001E-2</v>
      </c>
      <c r="J74">
        <v>1.7829999999999999E-2</v>
      </c>
      <c r="K74">
        <v>2.0614E-2</v>
      </c>
      <c r="L74">
        <v>2.2051000000000001E-2</v>
      </c>
      <c r="M74">
        <v>2.6450999999999999E-2</v>
      </c>
      <c r="N74">
        <v>2.7980999999999999E-2</v>
      </c>
      <c r="O74" s="8">
        <f t="shared" si="4"/>
        <v>1000.6619029244922</v>
      </c>
      <c r="P74" s="8">
        <f t="shared" si="5"/>
        <v>1347.4545186941014</v>
      </c>
      <c r="Q74" s="8">
        <f t="shared" si="6"/>
        <v>1226.3074998399043</v>
      </c>
      <c r="R74">
        <v>-2.6443010259780995E-2</v>
      </c>
      <c r="S74">
        <v>6.2471336296246398E-2</v>
      </c>
      <c r="T74">
        <v>-1.428247721510934E-3</v>
      </c>
    </row>
    <row r="75" spans="1:20" x14ac:dyDescent="0.25">
      <c r="A75">
        <v>72</v>
      </c>
      <c r="B75">
        <v>6</v>
      </c>
      <c r="C75">
        <v>12</v>
      </c>
      <c r="D75">
        <v>8.0160000000000006E-3</v>
      </c>
      <c r="E75">
        <v>1.0300999999999999E-2</v>
      </c>
      <c r="F75">
        <v>1.0524E-2</v>
      </c>
      <c r="G75">
        <v>1.0436000000000001E-2</v>
      </c>
      <c r="H75">
        <v>1.3266999999999999E-2</v>
      </c>
      <c r="I75">
        <v>1.4852000000000001E-2</v>
      </c>
      <c r="J75">
        <v>1.7750999999999999E-2</v>
      </c>
      <c r="K75">
        <v>2.0605999999999999E-2</v>
      </c>
      <c r="L75">
        <v>2.2030999999999999E-2</v>
      </c>
      <c r="M75">
        <v>2.6393E-2</v>
      </c>
      <c r="N75">
        <v>2.7970999999999999E-2</v>
      </c>
      <c r="O75" s="8">
        <f t="shared" si="4"/>
        <v>1001.2455923745123</v>
      </c>
      <c r="P75" s="8">
        <f t="shared" si="5"/>
        <v>1354.4882996153035</v>
      </c>
      <c r="Q75" s="8">
        <f t="shared" si="6"/>
        <v>1225.8674839005735</v>
      </c>
      <c r="R75">
        <v>7.0221400628829901E-3</v>
      </c>
      <c r="S75">
        <v>6.4470701503589092E-2</v>
      </c>
      <c r="T75">
        <v>-4.2972773128129721E-3</v>
      </c>
    </row>
    <row r="76" spans="1:20" x14ac:dyDescent="0.25">
      <c r="A76">
        <v>73</v>
      </c>
      <c r="B76">
        <v>7</v>
      </c>
      <c r="C76">
        <v>1</v>
      </c>
      <c r="D76">
        <v>7.9299999999999995E-3</v>
      </c>
      <c r="E76">
        <v>1.0244E-2</v>
      </c>
      <c r="F76">
        <v>1.0548999999999999E-2</v>
      </c>
      <c r="G76">
        <v>1.0456999999999999E-2</v>
      </c>
      <c r="H76">
        <v>1.3205E-2</v>
      </c>
      <c r="I76">
        <v>1.4945999999999999E-2</v>
      </c>
      <c r="J76">
        <v>1.7774000000000002E-2</v>
      </c>
      <c r="K76">
        <v>2.0539999999999999E-2</v>
      </c>
      <c r="L76">
        <v>2.2017999999999999E-2</v>
      </c>
      <c r="M76">
        <v>2.6328000000000001E-2</v>
      </c>
      <c r="N76">
        <v>2.794E-2</v>
      </c>
      <c r="O76" s="8">
        <f t="shared" si="4"/>
        <v>1003.8199272238796</v>
      </c>
      <c r="P76" s="8">
        <f t="shared" si="5"/>
        <v>1361.9246033102359</v>
      </c>
      <c r="Q76" s="8">
        <f t="shared" si="6"/>
        <v>1225.5472629885573</v>
      </c>
      <c r="R76">
        <v>3.1293655864226791E-2</v>
      </c>
      <c r="S76">
        <v>6.7907636531536975E-2</v>
      </c>
      <c r="T76">
        <v>-3.1301384751233662E-3</v>
      </c>
    </row>
    <row r="77" spans="1:20" x14ac:dyDescent="0.25">
      <c r="A77">
        <v>74</v>
      </c>
      <c r="B77">
        <v>7</v>
      </c>
      <c r="C77">
        <v>2</v>
      </c>
      <c r="D77">
        <v>7.9340000000000001E-3</v>
      </c>
      <c r="E77">
        <v>1.0252000000000001E-2</v>
      </c>
      <c r="F77">
        <v>1.0488000000000001E-2</v>
      </c>
      <c r="G77">
        <v>1.0369E-2</v>
      </c>
      <c r="H77">
        <v>1.3122E-2</v>
      </c>
      <c r="I77">
        <v>1.4962E-2</v>
      </c>
      <c r="J77">
        <v>1.7753000000000001E-2</v>
      </c>
      <c r="K77">
        <v>2.0471E-2</v>
      </c>
      <c r="L77">
        <v>2.1922000000000001E-2</v>
      </c>
      <c r="M77">
        <v>2.6353999999999999E-2</v>
      </c>
      <c r="N77">
        <v>2.8011999999999999E-2</v>
      </c>
      <c r="O77" s="8">
        <f t="shared" si="4"/>
        <v>1004.5905323708678</v>
      </c>
      <c r="P77" s="8">
        <f t="shared" si="5"/>
        <v>1367.7384670818071</v>
      </c>
      <c r="Q77" s="8">
        <f t="shared" si="6"/>
        <v>1225.0295313595216</v>
      </c>
      <c r="R77">
        <v>9.2510672294622946E-3</v>
      </c>
      <c r="S77">
        <v>5.2446313107693675E-2</v>
      </c>
      <c r="T77">
        <v>-5.0576300303983388E-3</v>
      </c>
    </row>
    <row r="78" spans="1:20" x14ac:dyDescent="0.25">
      <c r="A78">
        <v>75</v>
      </c>
      <c r="B78">
        <v>7</v>
      </c>
      <c r="C78">
        <v>3</v>
      </c>
      <c r="D78">
        <v>7.8499999999999993E-3</v>
      </c>
      <c r="E78">
        <v>1.0276E-2</v>
      </c>
      <c r="F78">
        <v>1.0534999999999999E-2</v>
      </c>
      <c r="G78">
        <v>1.0333E-2</v>
      </c>
      <c r="H78">
        <v>1.3082999999999999E-2</v>
      </c>
      <c r="I78">
        <v>1.4904000000000001E-2</v>
      </c>
      <c r="J78">
        <v>1.7776E-2</v>
      </c>
      <c r="K78">
        <v>2.0459000000000001E-2</v>
      </c>
      <c r="L78">
        <v>2.1887E-2</v>
      </c>
      <c r="M78">
        <v>2.6283999999999998E-2</v>
      </c>
      <c r="N78">
        <v>2.794E-2</v>
      </c>
      <c r="O78" s="8">
        <f t="shared" si="4"/>
        <v>1003.0064941964198</v>
      </c>
      <c r="P78" s="8">
        <f t="shared" si="5"/>
        <v>1373.0011751452748</v>
      </c>
      <c r="Q78" s="8">
        <f t="shared" si="6"/>
        <v>1224.6504588255627</v>
      </c>
      <c r="R78">
        <v>-1.8758361673005392E-2</v>
      </c>
      <c r="S78">
        <v>4.7162713945450713E-2</v>
      </c>
      <c r="T78">
        <v>-3.706960909851259E-3</v>
      </c>
    </row>
    <row r="79" spans="1:20" x14ac:dyDescent="0.25">
      <c r="A79">
        <v>76</v>
      </c>
      <c r="B79">
        <v>7</v>
      </c>
      <c r="C79">
        <v>4</v>
      </c>
      <c r="D79">
        <v>7.9419999999999994E-3</v>
      </c>
      <c r="E79">
        <v>1.0286E-2</v>
      </c>
      <c r="F79">
        <v>1.0481000000000001E-2</v>
      </c>
      <c r="G79">
        <v>1.0316000000000001E-2</v>
      </c>
      <c r="H79">
        <v>1.2997E-2</v>
      </c>
      <c r="I79">
        <v>1.4912E-2</v>
      </c>
      <c r="J79">
        <v>1.7694000000000001E-2</v>
      </c>
      <c r="K79">
        <v>2.0480999999999999E-2</v>
      </c>
      <c r="L79">
        <v>2.1805000000000001E-2</v>
      </c>
      <c r="M79">
        <v>2.6357999999999999E-2</v>
      </c>
      <c r="N79">
        <v>2.7917999999999998E-2</v>
      </c>
      <c r="O79" s="8">
        <f t="shared" si="4"/>
        <v>1005.8809716227513</v>
      </c>
      <c r="P79" s="8">
        <f t="shared" si="5"/>
        <v>1379.7056902443173</v>
      </c>
      <c r="Q79" s="8">
        <f t="shared" si="6"/>
        <v>1224.2787071477114</v>
      </c>
      <c r="R79">
        <v>3.4937615229048952E-2</v>
      </c>
      <c r="S79">
        <v>6.0196967911532492E-2</v>
      </c>
      <c r="T79">
        <v>-3.63661293529291E-3</v>
      </c>
    </row>
    <row r="80" spans="1:20" x14ac:dyDescent="0.25">
      <c r="A80">
        <v>77</v>
      </c>
      <c r="B80">
        <v>7</v>
      </c>
      <c r="C80">
        <v>5</v>
      </c>
      <c r="D80">
        <v>7.9439999999999997E-3</v>
      </c>
      <c r="E80">
        <v>1.0234E-2</v>
      </c>
      <c r="F80">
        <v>1.0404999999999999E-2</v>
      </c>
      <c r="G80">
        <v>1.0394E-2</v>
      </c>
      <c r="H80">
        <v>1.3025999999999999E-2</v>
      </c>
      <c r="I80">
        <v>1.4851E-2</v>
      </c>
      <c r="J80">
        <v>1.7781000000000002E-2</v>
      </c>
      <c r="K80">
        <v>2.0521000000000001E-2</v>
      </c>
      <c r="L80">
        <v>2.1770000000000001E-2</v>
      </c>
      <c r="M80">
        <v>2.6366000000000001E-2</v>
      </c>
      <c r="N80">
        <v>2.7904000000000002E-2</v>
      </c>
      <c r="O80" s="8">
        <f t="shared" si="4"/>
        <v>1003.918322608445</v>
      </c>
      <c r="P80" s="8">
        <f t="shared" si="5"/>
        <v>1387.1544155876286</v>
      </c>
      <c r="Q80" s="8">
        <f t="shared" si="6"/>
        <v>1224.1274512405271</v>
      </c>
      <c r="R80">
        <v>-2.3164450304774598E-2</v>
      </c>
      <c r="S80">
        <v>6.6744073487777458E-2</v>
      </c>
      <c r="T80">
        <v>-1.4815564689263051E-3</v>
      </c>
    </row>
    <row r="81" spans="1:20" x14ac:dyDescent="0.25">
      <c r="A81">
        <v>78</v>
      </c>
      <c r="B81">
        <v>7</v>
      </c>
      <c r="C81">
        <v>6</v>
      </c>
      <c r="D81">
        <v>7.901E-3</v>
      </c>
      <c r="E81">
        <v>1.0243E-2</v>
      </c>
      <c r="F81">
        <v>1.0352E-2</v>
      </c>
      <c r="G81">
        <v>1.0449999999999999E-2</v>
      </c>
      <c r="H81">
        <v>1.3074000000000001E-2</v>
      </c>
      <c r="I81">
        <v>1.4836E-2</v>
      </c>
      <c r="J81">
        <v>1.7821E-2</v>
      </c>
      <c r="K81">
        <v>2.0590000000000001E-2</v>
      </c>
      <c r="L81">
        <v>2.1815999999999999E-2</v>
      </c>
      <c r="M81">
        <v>2.6419000000000002E-2</v>
      </c>
      <c r="N81">
        <v>2.7987999999999999E-2</v>
      </c>
      <c r="O81" s="8">
        <f t="shared" si="4"/>
        <v>1007.5160208478235</v>
      </c>
      <c r="P81" s="8">
        <f t="shared" si="5"/>
        <v>1394.8407002352756</v>
      </c>
      <c r="Q81" s="8">
        <f t="shared" si="6"/>
        <v>1223.6359243600739</v>
      </c>
      <c r="R81">
        <v>4.386169419346559E-2</v>
      </c>
      <c r="S81">
        <v>6.8556845151682491E-2</v>
      </c>
      <c r="T81">
        <v>-4.8077624230791968E-3</v>
      </c>
    </row>
    <row r="82" spans="1:20" x14ac:dyDescent="0.25">
      <c r="A82">
        <v>79</v>
      </c>
      <c r="B82">
        <v>7</v>
      </c>
      <c r="C82">
        <v>7</v>
      </c>
      <c r="D82">
        <v>7.8860000000000006E-3</v>
      </c>
      <c r="E82">
        <v>1.0291E-2</v>
      </c>
      <c r="F82">
        <v>1.0354E-2</v>
      </c>
      <c r="G82">
        <v>1.0456E-2</v>
      </c>
      <c r="H82">
        <v>1.3084E-2</v>
      </c>
      <c r="I82">
        <v>1.4935E-2</v>
      </c>
      <c r="J82">
        <v>1.7791999999999999E-2</v>
      </c>
      <c r="K82">
        <v>2.0552000000000001E-2</v>
      </c>
      <c r="L82">
        <v>2.1735999999999998E-2</v>
      </c>
      <c r="M82">
        <v>2.6409999999999999E-2</v>
      </c>
      <c r="N82">
        <v>2.8014000000000001E-2</v>
      </c>
      <c r="O82" s="8">
        <f t="shared" si="4"/>
        <v>1008.4872962001556</v>
      </c>
      <c r="P82" s="8">
        <f t="shared" si="5"/>
        <v>1402.7007017131493</v>
      </c>
      <c r="Q82" s="8">
        <f t="shared" si="6"/>
        <v>1222.7012871688105</v>
      </c>
      <c r="R82">
        <v>1.1629891066372931E-2</v>
      </c>
      <c r="S82">
        <v>6.9756259377850641E-2</v>
      </c>
      <c r="T82">
        <v>-9.1274281899338464E-3</v>
      </c>
    </row>
    <row r="83" spans="1:20" x14ac:dyDescent="0.25">
      <c r="A83">
        <v>80</v>
      </c>
      <c r="B83">
        <v>7</v>
      </c>
      <c r="C83">
        <v>8</v>
      </c>
      <c r="D83">
        <v>7.9299999999999995E-3</v>
      </c>
      <c r="E83">
        <v>1.0253999999999999E-2</v>
      </c>
      <c r="F83">
        <v>1.039E-2</v>
      </c>
      <c r="G83">
        <v>1.0513E-2</v>
      </c>
      <c r="H83">
        <v>1.3048000000000001E-2</v>
      </c>
      <c r="I83">
        <v>1.4947E-2</v>
      </c>
      <c r="J83">
        <v>1.7845E-2</v>
      </c>
      <c r="K83">
        <v>2.0563999999999999E-2</v>
      </c>
      <c r="L83">
        <v>2.1722999999999999E-2</v>
      </c>
      <c r="M83">
        <v>2.6436999999999999E-2</v>
      </c>
      <c r="N83">
        <v>2.8058E-2</v>
      </c>
      <c r="O83" s="8">
        <f t="shared" si="4"/>
        <v>1004.8357242083715</v>
      </c>
      <c r="P83" s="8">
        <f t="shared" si="5"/>
        <v>1408.903674360261</v>
      </c>
      <c r="Q83" s="8">
        <f t="shared" si="6"/>
        <v>1221.3637635049286</v>
      </c>
      <c r="R83">
        <v>-4.2595156907587965E-2</v>
      </c>
      <c r="S83">
        <v>5.4375849937600439E-2</v>
      </c>
      <c r="T83">
        <v>-1.3048214539394341E-2</v>
      </c>
    </row>
    <row r="84" spans="1:20" x14ac:dyDescent="0.25">
      <c r="A84">
        <v>81</v>
      </c>
      <c r="B84">
        <v>7</v>
      </c>
      <c r="C84">
        <v>9</v>
      </c>
      <c r="D84">
        <v>7.8630000000000002E-3</v>
      </c>
      <c r="E84">
        <v>1.0344000000000001E-2</v>
      </c>
      <c r="F84">
        <v>1.0468999999999999E-2</v>
      </c>
      <c r="G84">
        <v>1.0605E-2</v>
      </c>
      <c r="H84">
        <v>1.3047E-2</v>
      </c>
      <c r="I84">
        <v>1.4931E-2</v>
      </c>
      <c r="J84">
        <v>1.7808000000000001E-2</v>
      </c>
      <c r="K84">
        <v>2.0584000000000002E-2</v>
      </c>
      <c r="L84">
        <v>2.1812999999999999E-2</v>
      </c>
      <c r="M84">
        <v>2.6338E-2</v>
      </c>
      <c r="N84">
        <v>2.8136999999999999E-2</v>
      </c>
      <c r="O84" s="8">
        <f t="shared" si="4"/>
        <v>1002.7106868424114</v>
      </c>
      <c r="P84" s="8">
        <f t="shared" si="5"/>
        <v>1414.2242008028597</v>
      </c>
      <c r="Q84" s="8">
        <f t="shared" si="6"/>
        <v>1220.4370222862065</v>
      </c>
      <c r="R84">
        <v>-2.5084619649060128E-2</v>
      </c>
      <c r="S84">
        <v>4.6269479073486476E-2</v>
      </c>
      <c r="T84">
        <v>-9.0674061898361365E-3</v>
      </c>
    </row>
    <row r="85" spans="1:20" x14ac:dyDescent="0.25">
      <c r="A85">
        <v>82</v>
      </c>
      <c r="B85">
        <v>7</v>
      </c>
      <c r="C85">
        <v>10</v>
      </c>
      <c r="D85">
        <v>7.9340000000000001E-3</v>
      </c>
      <c r="E85">
        <v>1.0324E-2</v>
      </c>
      <c r="F85">
        <v>1.0524E-2</v>
      </c>
      <c r="G85">
        <v>1.0612E-2</v>
      </c>
      <c r="H85">
        <v>1.3093E-2</v>
      </c>
      <c r="I85">
        <v>1.4940999999999999E-2</v>
      </c>
      <c r="J85">
        <v>1.7826000000000002E-2</v>
      </c>
      <c r="K85">
        <v>2.0563000000000001E-2</v>
      </c>
      <c r="L85">
        <v>2.1765E-2</v>
      </c>
      <c r="M85">
        <v>2.6263999999999999E-2</v>
      </c>
      <c r="N85">
        <v>2.8048E-2</v>
      </c>
      <c r="O85" s="8">
        <f t="shared" si="4"/>
        <v>1005.0687680307894</v>
      </c>
      <c r="P85" s="8">
        <f t="shared" si="5"/>
        <v>1422.3504747824747</v>
      </c>
      <c r="Q85" s="8">
        <f t="shared" si="6"/>
        <v>1219.8183508514169</v>
      </c>
      <c r="R85">
        <v>2.8588368470668819E-2</v>
      </c>
      <c r="S85">
        <v>7.1174652253722812E-2</v>
      </c>
      <c r="T85">
        <v>-6.0661820730667651E-3</v>
      </c>
    </row>
    <row r="86" spans="1:20" x14ac:dyDescent="0.25">
      <c r="A86">
        <v>83</v>
      </c>
      <c r="B86">
        <v>7</v>
      </c>
      <c r="C86">
        <v>11</v>
      </c>
      <c r="D86">
        <v>8.0090000000000005E-3</v>
      </c>
      <c r="E86">
        <v>1.0248E-2</v>
      </c>
      <c r="F86">
        <v>1.0607999999999999E-2</v>
      </c>
      <c r="G86">
        <v>1.0513E-2</v>
      </c>
      <c r="H86">
        <v>1.3181999999999999E-2</v>
      </c>
      <c r="I86">
        <v>1.502E-2</v>
      </c>
      <c r="J86">
        <v>1.7912999999999998E-2</v>
      </c>
      <c r="K86">
        <v>2.0487999999999999E-2</v>
      </c>
      <c r="L86">
        <v>2.1666000000000001E-2</v>
      </c>
      <c r="M86">
        <v>2.6298999999999999E-2</v>
      </c>
      <c r="N86">
        <v>2.8007000000000001E-2</v>
      </c>
      <c r="O86" s="8">
        <f t="shared" si="4"/>
        <v>1002.0613920277546</v>
      </c>
      <c r="P86" s="8">
        <f t="shared" si="5"/>
        <v>1429.1808417069433</v>
      </c>
      <c r="Q86" s="8">
        <f t="shared" si="6"/>
        <v>1219.2383806413191</v>
      </c>
      <c r="R86">
        <v>-3.5321445772199631E-2</v>
      </c>
      <c r="S86">
        <v>5.9172667254523713E-2</v>
      </c>
      <c r="T86">
        <v>-5.6905782735441942E-3</v>
      </c>
    </row>
    <row r="87" spans="1:20" x14ac:dyDescent="0.25">
      <c r="A87">
        <v>84</v>
      </c>
      <c r="B87">
        <v>7</v>
      </c>
      <c r="C87">
        <v>12</v>
      </c>
      <c r="D87">
        <v>7.9579999999999998E-3</v>
      </c>
      <c r="E87">
        <v>1.0189E-2</v>
      </c>
      <c r="F87">
        <v>1.0645E-2</v>
      </c>
      <c r="G87">
        <v>1.0415000000000001E-2</v>
      </c>
      <c r="H87">
        <v>1.3148999999999999E-2</v>
      </c>
      <c r="I87">
        <v>1.4961E-2</v>
      </c>
      <c r="J87">
        <v>1.7912000000000001E-2</v>
      </c>
      <c r="K87">
        <v>2.0486000000000001E-2</v>
      </c>
      <c r="L87">
        <v>2.1652999999999999E-2</v>
      </c>
      <c r="M87">
        <v>2.6283999999999998E-2</v>
      </c>
      <c r="N87">
        <v>2.7941000000000001E-2</v>
      </c>
      <c r="O87" s="8">
        <f t="shared" si="4"/>
        <v>1000.4819869803875</v>
      </c>
      <c r="P87" s="8">
        <f t="shared" si="5"/>
        <v>1434.8461696526251</v>
      </c>
      <c r="Q87" s="8">
        <f t="shared" si="6"/>
        <v>1218.224695396689</v>
      </c>
      <c r="R87">
        <v>-1.8750768382644455E-2</v>
      </c>
      <c r="S87">
        <v>4.86193869105657E-2</v>
      </c>
      <c r="T87">
        <v>-9.9314072439995425E-3</v>
      </c>
    </row>
    <row r="88" spans="1:20" x14ac:dyDescent="0.25">
      <c r="A88">
        <v>85</v>
      </c>
      <c r="B88">
        <v>8</v>
      </c>
      <c r="C88">
        <v>1</v>
      </c>
      <c r="D88">
        <v>7.9679999999999994E-3</v>
      </c>
      <c r="E88">
        <v>1.0272E-2</v>
      </c>
      <c r="F88">
        <v>1.0662E-2</v>
      </c>
      <c r="G88">
        <v>1.0351000000000001E-2</v>
      </c>
      <c r="H88">
        <v>1.3164E-2</v>
      </c>
      <c r="I88">
        <v>1.498E-2</v>
      </c>
      <c r="J88">
        <v>1.7913999999999999E-2</v>
      </c>
      <c r="K88">
        <v>2.0475E-2</v>
      </c>
      <c r="L88">
        <v>2.1722999999999999E-2</v>
      </c>
      <c r="M88">
        <v>2.6217000000000001E-2</v>
      </c>
      <c r="N88">
        <v>2.8035999999999998E-2</v>
      </c>
      <c r="O88" s="8">
        <f t="shared" si="4"/>
        <v>1001.0887701096959</v>
      </c>
      <c r="P88" s="8">
        <f t="shared" si="5"/>
        <v>1442.8823924112364</v>
      </c>
      <c r="Q88" s="8">
        <f t="shared" si="6"/>
        <v>1217.1623471575081</v>
      </c>
      <c r="R88">
        <v>7.3022157022822071E-3</v>
      </c>
      <c r="S88">
        <v>6.9318528747130223E-2</v>
      </c>
      <c r="T88">
        <v>-1.0414509570026426E-2</v>
      </c>
    </row>
    <row r="89" spans="1:20" x14ac:dyDescent="0.25">
      <c r="A89">
        <v>86</v>
      </c>
      <c r="B89">
        <v>8</v>
      </c>
      <c r="C89">
        <v>2</v>
      </c>
      <c r="D89">
        <v>8.0619999999999997E-3</v>
      </c>
      <c r="E89">
        <v>1.0276E-2</v>
      </c>
      <c r="F89">
        <v>1.0581E-2</v>
      </c>
      <c r="G89">
        <v>1.0285000000000001E-2</v>
      </c>
      <c r="H89">
        <v>1.3246000000000001E-2</v>
      </c>
      <c r="I89">
        <v>1.4959999999999999E-2</v>
      </c>
      <c r="J89">
        <v>1.8013000000000001E-2</v>
      </c>
      <c r="K89">
        <v>2.0503E-2</v>
      </c>
      <c r="L89">
        <v>2.1746000000000001E-2</v>
      </c>
      <c r="M89">
        <v>2.6315000000000002E-2</v>
      </c>
      <c r="N89">
        <v>2.8049999999999999E-2</v>
      </c>
      <c r="O89" s="8">
        <f t="shared" si="4"/>
        <v>1003.4900613237854</v>
      </c>
      <c r="P89" s="8">
        <f t="shared" si="5"/>
        <v>1450.1423947788146</v>
      </c>
      <c r="Q89" s="8">
        <f t="shared" si="6"/>
        <v>1216.5111161391098</v>
      </c>
      <c r="R89">
        <v>2.9166949767659163E-2</v>
      </c>
      <c r="S89">
        <v>6.2078425332402792E-2</v>
      </c>
      <c r="T89">
        <v>-6.4016246478566649E-3</v>
      </c>
    </row>
    <row r="90" spans="1:20" x14ac:dyDescent="0.25">
      <c r="A90">
        <v>87</v>
      </c>
      <c r="B90">
        <v>8</v>
      </c>
      <c r="C90">
        <v>3</v>
      </c>
      <c r="D90">
        <v>7.9740000000000002E-3</v>
      </c>
      <c r="E90">
        <v>1.0199E-2</v>
      </c>
      <c r="F90">
        <v>1.0652999999999999E-2</v>
      </c>
      <c r="G90">
        <v>1.0229E-2</v>
      </c>
      <c r="H90">
        <v>1.3318999999999999E-2</v>
      </c>
      <c r="I90">
        <v>1.4958000000000001E-2</v>
      </c>
      <c r="J90">
        <v>1.796E-2</v>
      </c>
      <c r="K90">
        <v>2.0537E-2</v>
      </c>
      <c r="L90">
        <v>2.1649999999999999E-2</v>
      </c>
      <c r="M90">
        <v>2.632E-2</v>
      </c>
      <c r="N90">
        <v>2.8035999999999998E-2</v>
      </c>
      <c r="O90" s="8">
        <f t="shared" si="4"/>
        <v>1001.477758056029</v>
      </c>
      <c r="P90" s="8">
        <f t="shared" si="5"/>
        <v>1455.6567896044764</v>
      </c>
      <c r="Q90" s="8">
        <f t="shared" si="6"/>
        <v>1215.4136498273565</v>
      </c>
      <c r="R90">
        <v>-2.3800019362168374E-2</v>
      </c>
      <c r="S90">
        <v>4.6598464547854386E-2</v>
      </c>
      <c r="T90">
        <v>-1.0772155706185713E-2</v>
      </c>
    </row>
    <row r="91" spans="1:20" x14ac:dyDescent="0.25">
      <c r="A91">
        <v>88</v>
      </c>
      <c r="B91">
        <v>8</v>
      </c>
      <c r="C91">
        <v>4</v>
      </c>
      <c r="D91">
        <v>7.9050000000000006E-3</v>
      </c>
      <c r="E91">
        <v>1.0154E-2</v>
      </c>
      <c r="F91">
        <v>1.0638E-2</v>
      </c>
      <c r="G91">
        <v>1.0165E-2</v>
      </c>
      <c r="H91">
        <v>1.336E-2</v>
      </c>
      <c r="I91">
        <v>1.4991000000000001E-2</v>
      </c>
      <c r="J91">
        <v>1.7891000000000001E-2</v>
      </c>
      <c r="K91">
        <v>2.0611999999999998E-2</v>
      </c>
      <c r="L91">
        <v>2.1558000000000001E-2</v>
      </c>
      <c r="M91">
        <v>2.6349999999999998E-2</v>
      </c>
      <c r="N91">
        <v>2.8015000000000002E-2</v>
      </c>
      <c r="O91" s="8">
        <f t="shared" si="4"/>
        <v>997.59853876026273</v>
      </c>
      <c r="P91" s="8">
        <f t="shared" si="5"/>
        <v>1461.7375772428936</v>
      </c>
      <c r="Q91" s="8">
        <f t="shared" si="6"/>
        <v>1214.3465911626956</v>
      </c>
      <c r="R91">
        <v>-4.5504355953143331E-2</v>
      </c>
      <c r="S91">
        <v>5.1296103352408487E-2</v>
      </c>
      <c r="T91">
        <v>-1.0484541592302339E-2</v>
      </c>
    </row>
    <row r="92" spans="1:20" x14ac:dyDescent="0.25">
      <c r="A92">
        <v>89</v>
      </c>
      <c r="B92">
        <v>8</v>
      </c>
      <c r="C92">
        <v>5</v>
      </c>
      <c r="D92">
        <v>7.8869999999999999E-3</v>
      </c>
      <c r="E92">
        <v>1.0213E-2</v>
      </c>
      <c r="F92">
        <v>1.0591E-2</v>
      </c>
      <c r="G92">
        <v>1.0093E-2</v>
      </c>
      <c r="H92">
        <v>1.342E-2</v>
      </c>
      <c r="I92">
        <v>1.5051E-2</v>
      </c>
      <c r="J92">
        <v>1.7793E-2</v>
      </c>
      <c r="K92">
        <v>2.052E-2</v>
      </c>
      <c r="L92">
        <v>2.162E-2</v>
      </c>
      <c r="M92">
        <v>2.6363999999999999E-2</v>
      </c>
      <c r="N92">
        <v>2.7958E-2</v>
      </c>
      <c r="O92" s="8">
        <f t="shared" si="4"/>
        <v>998.77668228685366</v>
      </c>
      <c r="P92" s="8">
        <f t="shared" si="5"/>
        <v>1466.4422966286245</v>
      </c>
      <c r="Q92" s="8">
        <f t="shared" si="6"/>
        <v>1212.9331387517548</v>
      </c>
      <c r="R92">
        <v>1.4264169619084345E-2</v>
      </c>
      <c r="S92">
        <v>3.9314060095374893E-2</v>
      </c>
      <c r="T92">
        <v>-1.3878464177096128E-2</v>
      </c>
    </row>
    <row r="93" spans="1:20" x14ac:dyDescent="0.25">
      <c r="A93">
        <v>90</v>
      </c>
      <c r="B93">
        <v>8</v>
      </c>
      <c r="C93">
        <v>6</v>
      </c>
      <c r="D93">
        <v>7.7910000000000002E-3</v>
      </c>
      <c r="E93">
        <v>1.0172E-2</v>
      </c>
      <c r="F93">
        <v>1.0564E-2</v>
      </c>
      <c r="G93">
        <v>1.0045999999999999E-2</v>
      </c>
      <c r="H93">
        <v>1.3479E-2</v>
      </c>
      <c r="I93">
        <v>1.4983E-2</v>
      </c>
      <c r="J93">
        <v>1.7892999999999999E-2</v>
      </c>
      <c r="K93">
        <v>2.0421999999999999E-2</v>
      </c>
      <c r="L93">
        <v>2.1586999999999999E-2</v>
      </c>
      <c r="M93">
        <v>2.6438E-2</v>
      </c>
      <c r="N93">
        <v>2.7903000000000001E-2</v>
      </c>
      <c r="O93" s="8">
        <f t="shared" si="4"/>
        <v>1002.1669172348464</v>
      </c>
      <c r="P93" s="8">
        <f t="shared" si="5"/>
        <v>1474.8671123450563</v>
      </c>
      <c r="Q93" s="8">
        <f t="shared" si="6"/>
        <v>1211.5423058521255</v>
      </c>
      <c r="R93">
        <v>4.1501761673097277E-2</v>
      </c>
      <c r="S93">
        <v>7.1161503598111547E-2</v>
      </c>
      <c r="T93">
        <v>-1.3673579440009683E-2</v>
      </c>
    </row>
    <row r="94" spans="1:20" x14ac:dyDescent="0.25">
      <c r="A94">
        <v>91</v>
      </c>
      <c r="B94">
        <v>8</v>
      </c>
      <c r="C94">
        <v>7</v>
      </c>
      <c r="D94">
        <v>7.6969999999999998E-3</v>
      </c>
      <c r="E94">
        <v>1.0252000000000001E-2</v>
      </c>
      <c r="F94">
        <v>1.0527999999999999E-2</v>
      </c>
      <c r="G94">
        <v>1.0142999999999999E-2</v>
      </c>
      <c r="H94">
        <v>1.3518000000000001E-2</v>
      </c>
      <c r="I94">
        <v>1.4945999999999999E-2</v>
      </c>
      <c r="J94">
        <v>1.7957999999999998E-2</v>
      </c>
      <c r="K94">
        <v>2.0324999999999999E-2</v>
      </c>
      <c r="L94">
        <v>2.1663000000000002E-2</v>
      </c>
      <c r="M94">
        <v>2.6384999999999999E-2</v>
      </c>
      <c r="N94">
        <v>2.7806999999999998E-2</v>
      </c>
      <c r="O94" s="8">
        <f t="shared" si="4"/>
        <v>1004.2562937914867</v>
      </c>
      <c r="P94" s="8">
        <f t="shared" si="5"/>
        <v>1479.4384420022359</v>
      </c>
      <c r="Q94" s="8">
        <f t="shared" si="6"/>
        <v>1209.8697087494884</v>
      </c>
      <c r="R94">
        <v>2.5307187132886141E-2</v>
      </c>
      <c r="S94">
        <v>3.7834475755933641E-2</v>
      </c>
      <c r="T94">
        <v>-1.6441409607863479E-2</v>
      </c>
    </row>
    <row r="95" spans="1:20" x14ac:dyDescent="0.25">
      <c r="A95">
        <v>92</v>
      </c>
      <c r="B95">
        <v>8</v>
      </c>
      <c r="C95">
        <v>8</v>
      </c>
      <c r="D95">
        <v>7.7629999999999999E-3</v>
      </c>
      <c r="E95">
        <v>1.0283E-2</v>
      </c>
      <c r="F95">
        <v>1.0461E-2</v>
      </c>
      <c r="G95">
        <v>1.0139E-2</v>
      </c>
      <c r="H95">
        <v>1.3457E-2</v>
      </c>
      <c r="I95">
        <v>1.5025999999999999E-2</v>
      </c>
      <c r="J95">
        <v>1.8016999999999998E-2</v>
      </c>
      <c r="K95">
        <v>2.0407000000000002E-2</v>
      </c>
      <c r="L95">
        <v>2.1731E-2</v>
      </c>
      <c r="M95">
        <v>2.6445E-2</v>
      </c>
      <c r="N95">
        <v>2.7824999999999999E-2</v>
      </c>
      <c r="O95" s="8">
        <f t="shared" si="4"/>
        <v>1007.7698904786295</v>
      </c>
      <c r="P95" s="8">
        <f t="shared" si="5"/>
        <v>1487.4838108545923</v>
      </c>
      <c r="Q95" s="8">
        <f t="shared" si="6"/>
        <v>1208.5593908295959</v>
      </c>
      <c r="R95">
        <v>4.2801860562960946E-2</v>
      </c>
      <c r="S95">
        <v>6.7245129129882092E-2</v>
      </c>
      <c r="T95">
        <v>-1.2919152573030491E-2</v>
      </c>
    </row>
    <row r="96" spans="1:20" x14ac:dyDescent="0.25">
      <c r="A96">
        <v>93</v>
      </c>
      <c r="B96">
        <v>8</v>
      </c>
      <c r="C96">
        <v>9</v>
      </c>
      <c r="D96">
        <v>7.8169999999999993E-3</v>
      </c>
      <c r="E96">
        <v>1.0267999999999999E-2</v>
      </c>
      <c r="F96">
        <v>1.0507000000000001E-2</v>
      </c>
      <c r="G96">
        <v>1.0127000000000001E-2</v>
      </c>
      <c r="H96">
        <v>1.3521E-2</v>
      </c>
      <c r="I96">
        <v>1.5056E-2</v>
      </c>
      <c r="J96">
        <v>1.8100999999999999E-2</v>
      </c>
      <c r="K96">
        <v>2.0454E-2</v>
      </c>
      <c r="L96">
        <v>2.1734E-2</v>
      </c>
      <c r="M96">
        <v>2.6431E-2</v>
      </c>
      <c r="N96">
        <v>2.7782999999999999E-2</v>
      </c>
      <c r="O96" s="8">
        <f t="shared" si="4"/>
        <v>1011.1001162117367</v>
      </c>
      <c r="P96" s="8">
        <f t="shared" si="5"/>
        <v>1494.159583645562</v>
      </c>
      <c r="Q96" s="8">
        <f t="shared" si="6"/>
        <v>1207.4578149122488</v>
      </c>
      <c r="R96">
        <v>4.0383318383445554E-2</v>
      </c>
      <c r="S96">
        <v>5.5205009015686084E-2</v>
      </c>
      <c r="T96">
        <v>-1.088307607565221E-2</v>
      </c>
    </row>
    <row r="97" spans="1:20" x14ac:dyDescent="0.25">
      <c r="A97">
        <v>94</v>
      </c>
      <c r="B97">
        <v>8</v>
      </c>
      <c r="C97">
        <v>10</v>
      </c>
      <c r="D97">
        <v>7.9089999999999994E-3</v>
      </c>
      <c r="E97">
        <v>1.0262E-2</v>
      </c>
      <c r="F97">
        <v>1.0451E-2</v>
      </c>
      <c r="G97">
        <v>1.0030000000000001E-2</v>
      </c>
      <c r="H97">
        <v>1.3558000000000001E-2</v>
      </c>
      <c r="I97">
        <v>1.511E-2</v>
      </c>
      <c r="J97">
        <v>1.8057E-2</v>
      </c>
      <c r="K97">
        <v>2.0459000000000001E-2</v>
      </c>
      <c r="L97">
        <v>2.1787000000000001E-2</v>
      </c>
      <c r="M97">
        <v>2.6341E-2</v>
      </c>
      <c r="N97">
        <v>2.7841999999999999E-2</v>
      </c>
      <c r="O97" s="8">
        <f t="shared" si="4"/>
        <v>1010.562551885468</v>
      </c>
      <c r="P97" s="8">
        <f t="shared" si="5"/>
        <v>1498.4071796499907</v>
      </c>
      <c r="Q97" s="8">
        <f t="shared" si="6"/>
        <v>1206.5855810485129</v>
      </c>
      <c r="R97">
        <v>-6.36133079804396E-3</v>
      </c>
      <c r="S97">
        <v>3.4652059439014997E-2</v>
      </c>
      <c r="T97">
        <v>-8.6341080379141663E-3</v>
      </c>
    </row>
    <row r="98" spans="1:20" x14ac:dyDescent="0.25">
      <c r="A98">
        <v>95</v>
      </c>
      <c r="B98">
        <v>8</v>
      </c>
      <c r="C98">
        <v>11</v>
      </c>
      <c r="D98">
        <v>8.0009999999999994E-3</v>
      </c>
      <c r="E98">
        <v>1.0292000000000001E-2</v>
      </c>
      <c r="F98">
        <v>1.0534E-2</v>
      </c>
      <c r="G98">
        <v>1.0012999999999999E-2</v>
      </c>
      <c r="H98">
        <v>1.3507999999999999E-2</v>
      </c>
      <c r="I98">
        <v>1.5124E-2</v>
      </c>
      <c r="J98">
        <v>1.8072999999999999E-2</v>
      </c>
      <c r="K98">
        <v>2.0553999999999999E-2</v>
      </c>
      <c r="L98">
        <v>2.1860999999999998E-2</v>
      </c>
      <c r="M98">
        <v>2.6349999999999998E-2</v>
      </c>
      <c r="N98">
        <v>2.7906E-2</v>
      </c>
      <c r="O98" s="8">
        <f t="shared" si="4"/>
        <v>1007.973476528566</v>
      </c>
      <c r="P98" s="8">
        <f t="shared" si="5"/>
        <v>1502.7951133888796</v>
      </c>
      <c r="Q98" s="8">
        <f t="shared" si="6"/>
        <v>1205.5830329445557</v>
      </c>
      <c r="R98">
        <v>-3.0314627462626371E-2</v>
      </c>
      <c r="S98">
        <v>3.5712330825133129E-2</v>
      </c>
      <c r="T98">
        <v>-9.9253219157674436E-3</v>
      </c>
    </row>
    <row r="99" spans="1:20" x14ac:dyDescent="0.25">
      <c r="A99">
        <v>96</v>
      </c>
      <c r="B99">
        <v>8</v>
      </c>
      <c r="C99">
        <v>12</v>
      </c>
      <c r="D99">
        <v>7.9450000000000007E-3</v>
      </c>
      <c r="E99">
        <v>1.0335E-2</v>
      </c>
      <c r="F99">
        <v>1.0527999999999999E-2</v>
      </c>
      <c r="G99">
        <v>1.0044000000000001E-2</v>
      </c>
      <c r="H99">
        <v>1.3502999999999999E-2</v>
      </c>
      <c r="I99">
        <v>1.5103E-2</v>
      </c>
      <c r="J99">
        <v>1.8043E-2</v>
      </c>
      <c r="K99">
        <v>2.0582E-2</v>
      </c>
      <c r="L99">
        <v>2.1828E-2</v>
      </c>
      <c r="M99">
        <v>2.6317E-2</v>
      </c>
      <c r="N99">
        <v>2.7827000000000001E-2</v>
      </c>
      <c r="O99" s="8">
        <f t="shared" si="4"/>
        <v>1011.0662538098539</v>
      </c>
      <c r="P99" s="8">
        <f t="shared" si="5"/>
        <v>1510.9195694072732</v>
      </c>
      <c r="Q99" s="8">
        <f t="shared" si="6"/>
        <v>1205.0121669270604</v>
      </c>
      <c r="R99">
        <v>3.7447504779190177E-2</v>
      </c>
      <c r="S99">
        <v>6.683895188869729E-2</v>
      </c>
      <c r="T99">
        <v>-5.6674482947893902E-3</v>
      </c>
    </row>
    <row r="100" spans="1:20" x14ac:dyDescent="0.25">
      <c r="A100">
        <v>97</v>
      </c>
      <c r="B100">
        <v>9</v>
      </c>
      <c r="C100">
        <v>1</v>
      </c>
      <c r="D100">
        <v>7.979E-3</v>
      </c>
      <c r="E100">
        <v>1.0342E-2</v>
      </c>
      <c r="F100">
        <v>1.0540000000000001E-2</v>
      </c>
      <c r="G100">
        <v>1.0005E-2</v>
      </c>
      <c r="H100">
        <v>1.3509999999999999E-2</v>
      </c>
      <c r="I100">
        <v>1.5153E-2</v>
      </c>
      <c r="J100">
        <v>1.8065999999999999E-2</v>
      </c>
      <c r="K100">
        <v>2.0497999999999999E-2</v>
      </c>
      <c r="L100">
        <v>2.1832000000000001E-2</v>
      </c>
      <c r="M100">
        <v>2.6270000000000002E-2</v>
      </c>
      <c r="N100">
        <v>2.7754999999999998E-2</v>
      </c>
      <c r="O100" s="8">
        <f t="shared" si="4"/>
        <v>1014.6898890298801</v>
      </c>
      <c r="P100" s="8">
        <f t="shared" si="5"/>
        <v>1517.5516485591797</v>
      </c>
      <c r="Q100" s="8">
        <f t="shared" si="6"/>
        <v>1204.4501811514672</v>
      </c>
      <c r="R100">
        <v>4.386566005356371E-2</v>
      </c>
      <c r="S100">
        <v>5.3963608003666945E-2</v>
      </c>
      <c r="T100">
        <v>-5.5821493475520668E-3</v>
      </c>
    </row>
    <row r="101" spans="1:20" x14ac:dyDescent="0.25">
      <c r="A101">
        <v>98</v>
      </c>
      <c r="B101">
        <v>9</v>
      </c>
      <c r="C101">
        <v>2</v>
      </c>
      <c r="D101">
        <v>7.9129999999999999E-3</v>
      </c>
      <c r="E101">
        <v>1.0418999999999999E-2</v>
      </c>
      <c r="F101">
        <v>1.0574999999999999E-2</v>
      </c>
      <c r="G101">
        <v>1.0018000000000001E-2</v>
      </c>
      <c r="H101">
        <v>1.3483E-2</v>
      </c>
      <c r="I101">
        <v>1.5145E-2</v>
      </c>
      <c r="J101">
        <v>1.8093999999999999E-2</v>
      </c>
      <c r="K101">
        <v>2.0421999999999999E-2</v>
      </c>
      <c r="L101">
        <v>2.1906999999999999E-2</v>
      </c>
      <c r="M101">
        <v>2.6207999999999999E-2</v>
      </c>
      <c r="N101">
        <v>2.7703999999999999E-2</v>
      </c>
      <c r="O101" s="8">
        <f t="shared" si="4"/>
        <v>1018.5989934624159</v>
      </c>
      <c r="P101" s="8">
        <f t="shared" si="5"/>
        <v>1523.9327752155536</v>
      </c>
      <c r="Q101" s="8">
        <f t="shared" si="6"/>
        <v>1204.2223190704281</v>
      </c>
      <c r="R101">
        <v>4.7222388299635785E-2</v>
      </c>
      <c r="S101">
        <v>5.1642052866671687E-2</v>
      </c>
      <c r="T101">
        <v>-2.2678411258712913E-3</v>
      </c>
    </row>
    <row r="102" spans="1:20" x14ac:dyDescent="0.25">
      <c r="A102">
        <v>99</v>
      </c>
      <c r="B102">
        <v>9</v>
      </c>
      <c r="C102">
        <v>3</v>
      </c>
      <c r="D102">
        <v>7.9590000000000008E-3</v>
      </c>
      <c r="E102">
        <v>1.038E-2</v>
      </c>
      <c r="F102">
        <v>1.0658000000000001E-2</v>
      </c>
      <c r="G102">
        <v>1.001E-2</v>
      </c>
      <c r="H102">
        <v>1.3431999999999999E-2</v>
      </c>
      <c r="I102">
        <v>1.5228E-2</v>
      </c>
      <c r="J102">
        <v>1.8086000000000001E-2</v>
      </c>
      <c r="K102">
        <v>2.0383999999999999E-2</v>
      </c>
      <c r="L102">
        <v>2.1992999999999999E-2</v>
      </c>
      <c r="M102">
        <v>2.6112E-2</v>
      </c>
      <c r="N102">
        <v>2.7800999999999999E-2</v>
      </c>
      <c r="O102" s="8">
        <f t="shared" si="4"/>
        <v>1017.1127770721268</v>
      </c>
      <c r="P102" s="8">
        <f t="shared" si="5"/>
        <v>1528.910034154939</v>
      </c>
      <c r="Q102" s="8">
        <f t="shared" si="6"/>
        <v>1204.4803169199811</v>
      </c>
      <c r="R102">
        <v>-1.736912085426863E-2</v>
      </c>
      <c r="S102">
        <v>3.9904498055382112E-2</v>
      </c>
      <c r="T102">
        <v>2.5739640220853403E-3</v>
      </c>
    </row>
    <row r="103" spans="1:20" x14ac:dyDescent="0.25">
      <c r="A103">
        <v>100</v>
      </c>
      <c r="B103">
        <v>9</v>
      </c>
      <c r="C103">
        <v>4</v>
      </c>
      <c r="D103">
        <v>7.8860000000000006E-3</v>
      </c>
      <c r="E103">
        <v>1.0416E-2</v>
      </c>
      <c r="F103">
        <v>1.0624E-2</v>
      </c>
      <c r="G103">
        <v>1.0024999999999999E-2</v>
      </c>
      <c r="H103">
        <v>1.3511E-2</v>
      </c>
      <c r="I103">
        <v>1.5158E-2</v>
      </c>
      <c r="J103">
        <v>1.8099000000000001E-2</v>
      </c>
      <c r="K103">
        <v>2.0344999999999999E-2</v>
      </c>
      <c r="L103">
        <v>2.1967E-2</v>
      </c>
      <c r="M103">
        <v>2.6075999999999998E-2</v>
      </c>
      <c r="N103">
        <v>2.7716999999999999E-2</v>
      </c>
      <c r="O103" s="8">
        <f t="shared" si="4"/>
        <v>1016.3509699221287</v>
      </c>
      <c r="P103" s="8">
        <f t="shared" si="5"/>
        <v>1537.6324675548869</v>
      </c>
      <c r="Q103" s="8">
        <f t="shared" si="6"/>
        <v>1205.1193686690922</v>
      </c>
      <c r="R103">
        <v>-8.9509454627922889E-3</v>
      </c>
      <c r="S103">
        <v>7.0649496426554964E-2</v>
      </c>
      <c r="T103">
        <v>6.3853582724714237E-3</v>
      </c>
    </row>
    <row r="104" spans="1:20" x14ac:dyDescent="0.25">
      <c r="A104">
        <v>101</v>
      </c>
      <c r="B104">
        <v>9</v>
      </c>
      <c r="C104">
        <v>5</v>
      </c>
      <c r="D104">
        <v>7.901E-3</v>
      </c>
      <c r="E104">
        <v>1.0374E-2</v>
      </c>
      <c r="F104">
        <v>1.0661E-2</v>
      </c>
      <c r="G104">
        <v>9.9959999999999997E-3</v>
      </c>
      <c r="H104">
        <v>1.3566999999999999E-2</v>
      </c>
      <c r="I104">
        <v>1.5065E-2</v>
      </c>
      <c r="J104">
        <v>1.8179000000000001E-2</v>
      </c>
      <c r="K104">
        <v>2.0247000000000001E-2</v>
      </c>
      <c r="L104">
        <v>2.1930999999999999E-2</v>
      </c>
      <c r="M104">
        <v>2.6019E-2</v>
      </c>
      <c r="N104">
        <v>2.7699999999999999E-2</v>
      </c>
      <c r="O104" s="8">
        <f t="shared" si="4"/>
        <v>1011.9528247289445</v>
      </c>
      <c r="P104" s="8">
        <f t="shared" si="5"/>
        <v>1543.9670293022434</v>
      </c>
      <c r="Q104" s="8">
        <f t="shared" si="6"/>
        <v>1205.294854526257</v>
      </c>
      <c r="R104">
        <v>-5.0710378852377329E-2</v>
      </c>
      <c r="S104">
        <v>5.0571887427078174E-2</v>
      </c>
      <c r="T104">
        <v>1.7488040648634042E-3</v>
      </c>
    </row>
    <row r="105" spans="1:20" x14ac:dyDescent="0.25">
      <c r="A105">
        <v>102</v>
      </c>
      <c r="B105">
        <v>9</v>
      </c>
      <c r="C105">
        <v>6</v>
      </c>
      <c r="D105">
        <v>7.8259999999999996E-3</v>
      </c>
      <c r="E105">
        <v>1.0453E-2</v>
      </c>
      <c r="F105">
        <v>1.0736000000000001E-2</v>
      </c>
      <c r="G105">
        <v>9.9900000000000006E-3</v>
      </c>
      <c r="H105">
        <v>1.3561999999999999E-2</v>
      </c>
      <c r="I105">
        <v>1.5141E-2</v>
      </c>
      <c r="J105">
        <v>1.8204000000000001E-2</v>
      </c>
      <c r="K105">
        <v>2.0157999999999999E-2</v>
      </c>
      <c r="L105">
        <v>2.2010999999999999E-2</v>
      </c>
      <c r="M105">
        <v>2.6091E-2</v>
      </c>
      <c r="N105">
        <v>2.7709999999999999E-2</v>
      </c>
      <c r="O105" s="8">
        <f t="shared" si="4"/>
        <v>1007.2269983285629</v>
      </c>
      <c r="P105" s="8">
        <f t="shared" si="5"/>
        <v>1550.2293754598595</v>
      </c>
      <c r="Q105" s="8">
        <f t="shared" si="6"/>
        <v>1205.1049968657203</v>
      </c>
      <c r="R105">
        <v>-5.4622860940738531E-2</v>
      </c>
      <c r="S105">
        <v>4.9772718590901606E-2</v>
      </c>
      <c r="T105">
        <v>-1.8885994052974253E-3</v>
      </c>
    </row>
    <row r="106" spans="1:20" x14ac:dyDescent="0.25">
      <c r="A106">
        <v>103</v>
      </c>
      <c r="B106">
        <v>9</v>
      </c>
      <c r="C106">
        <v>7</v>
      </c>
      <c r="D106">
        <v>7.8110000000000002E-3</v>
      </c>
      <c r="E106">
        <v>1.0359E-2</v>
      </c>
      <c r="F106">
        <v>1.0654E-2</v>
      </c>
      <c r="G106">
        <v>1.0056000000000001E-2</v>
      </c>
      <c r="H106">
        <v>1.3520000000000001E-2</v>
      </c>
      <c r="I106">
        <v>1.5084999999999999E-2</v>
      </c>
      <c r="J106">
        <v>1.8279E-2</v>
      </c>
      <c r="K106">
        <v>2.0094000000000001E-2</v>
      </c>
      <c r="L106">
        <v>2.2016000000000001E-2</v>
      </c>
      <c r="M106">
        <v>2.6012E-2</v>
      </c>
      <c r="N106">
        <v>2.7733000000000001E-2</v>
      </c>
      <c r="O106" s="8">
        <f t="shared" si="4"/>
        <v>1004.2381530371879</v>
      </c>
      <c r="P106" s="8">
        <f t="shared" si="5"/>
        <v>1556.1594989926468</v>
      </c>
      <c r="Q106" s="8">
        <f t="shared" si="6"/>
        <v>1204.4987158382833</v>
      </c>
      <c r="R106">
        <v>-3.5033348518642073E-2</v>
      </c>
      <c r="S106">
        <v>4.6882045023535775E-2</v>
      </c>
      <c r="T106">
        <v>-6.0204504940308406E-3</v>
      </c>
    </row>
    <row r="107" spans="1:20" x14ac:dyDescent="0.25">
      <c r="A107">
        <v>104</v>
      </c>
      <c r="B107">
        <v>9</v>
      </c>
      <c r="C107">
        <v>8</v>
      </c>
      <c r="D107">
        <v>7.7419999999999998E-3</v>
      </c>
      <c r="E107">
        <v>1.0279999999999999E-2</v>
      </c>
      <c r="F107">
        <v>1.0569E-2</v>
      </c>
      <c r="G107">
        <v>1.0083999999999999E-2</v>
      </c>
      <c r="H107">
        <v>1.3610000000000001E-2</v>
      </c>
      <c r="I107">
        <v>1.5063999999999999E-2</v>
      </c>
      <c r="J107">
        <v>1.8232999999999999E-2</v>
      </c>
      <c r="K107">
        <v>2.0095999999999999E-2</v>
      </c>
      <c r="L107">
        <v>2.2041999999999999E-2</v>
      </c>
      <c r="M107">
        <v>2.5930999999999999E-2</v>
      </c>
      <c r="N107">
        <v>2.7663E-2</v>
      </c>
      <c r="O107" s="8">
        <f t="shared" si="4"/>
        <v>1002.5274157187157</v>
      </c>
      <c r="P107" s="8">
        <f t="shared" si="5"/>
        <v>1562.5981764177889</v>
      </c>
      <c r="Q107" s="8">
        <f t="shared" si="6"/>
        <v>1203.6521809490234</v>
      </c>
      <c r="R107">
        <v>-2.0251763875761893E-2</v>
      </c>
      <c r="S107">
        <v>5.0796121007773247E-2</v>
      </c>
      <c r="T107">
        <v>-8.4012074235976474E-3</v>
      </c>
    </row>
    <row r="108" spans="1:20" x14ac:dyDescent="0.25">
      <c r="A108">
        <v>105</v>
      </c>
      <c r="B108">
        <v>9</v>
      </c>
      <c r="C108">
        <v>9</v>
      </c>
      <c r="D108">
        <v>7.6610000000000003E-3</v>
      </c>
      <c r="E108">
        <v>1.031E-2</v>
      </c>
      <c r="F108">
        <v>1.0553E-2</v>
      </c>
      <c r="G108">
        <v>1.0109999999999999E-2</v>
      </c>
      <c r="H108">
        <v>1.3544E-2</v>
      </c>
      <c r="I108">
        <v>1.5148E-2</v>
      </c>
      <c r="J108">
        <v>1.8225000000000002E-2</v>
      </c>
      <c r="K108">
        <v>2.0133000000000002E-2</v>
      </c>
      <c r="L108">
        <v>2.2051999999999999E-2</v>
      </c>
      <c r="M108">
        <v>2.5926000000000001E-2</v>
      </c>
      <c r="N108">
        <v>2.7730999999999999E-2</v>
      </c>
      <c r="O108" s="8">
        <f t="shared" si="4"/>
        <v>999.95827359223154</v>
      </c>
      <c r="P108" s="8">
        <f t="shared" si="5"/>
        <v>1566.785260070101</v>
      </c>
      <c r="Q108" s="8">
        <f t="shared" si="6"/>
        <v>1203.2978131598679</v>
      </c>
      <c r="R108">
        <v>-3.0322225044696952E-2</v>
      </c>
      <c r="S108">
        <v>3.2632924970063655E-2</v>
      </c>
      <c r="T108">
        <v>-3.5272103831791206E-3</v>
      </c>
    </row>
    <row r="109" spans="1:20" x14ac:dyDescent="0.25">
      <c r="A109">
        <v>106</v>
      </c>
      <c r="B109">
        <v>9</v>
      </c>
      <c r="C109">
        <v>10</v>
      </c>
      <c r="D109">
        <v>7.672E-3</v>
      </c>
      <c r="E109">
        <v>1.0342E-2</v>
      </c>
      <c r="F109">
        <v>1.0493000000000001E-2</v>
      </c>
      <c r="G109">
        <v>1.0182E-2</v>
      </c>
      <c r="H109">
        <v>1.3553000000000001E-2</v>
      </c>
      <c r="I109">
        <v>1.5233E-2</v>
      </c>
      <c r="J109">
        <v>1.814E-2</v>
      </c>
      <c r="K109">
        <v>2.0046999999999999E-2</v>
      </c>
      <c r="L109">
        <v>2.1978000000000001E-2</v>
      </c>
      <c r="M109">
        <v>2.5884000000000001E-2</v>
      </c>
      <c r="N109">
        <v>2.7786999999999999E-2</v>
      </c>
      <c r="O109" s="8">
        <f t="shared" si="4"/>
        <v>1000.9392205933145</v>
      </c>
      <c r="P109" s="8">
        <f t="shared" si="5"/>
        <v>1575.1648834309237</v>
      </c>
      <c r="Q109" s="8">
        <f t="shared" si="6"/>
        <v>1202.6632352432553</v>
      </c>
      <c r="R109">
        <v>1.1835577622034833E-2</v>
      </c>
      <c r="S109">
        <v>6.6101434028460845E-2</v>
      </c>
      <c r="T109">
        <v>-6.3100643035625984E-3</v>
      </c>
    </row>
    <row r="110" spans="1:20" x14ac:dyDescent="0.25">
      <c r="A110">
        <v>107</v>
      </c>
      <c r="B110">
        <v>9</v>
      </c>
      <c r="C110">
        <v>11</v>
      </c>
      <c r="D110">
        <v>7.724E-3</v>
      </c>
      <c r="E110">
        <v>1.0255999999999999E-2</v>
      </c>
      <c r="F110">
        <v>1.0404999999999999E-2</v>
      </c>
      <c r="G110">
        <v>1.0113E-2</v>
      </c>
      <c r="H110">
        <v>1.3513000000000001E-2</v>
      </c>
      <c r="I110">
        <v>1.5197E-2</v>
      </c>
      <c r="J110">
        <v>1.8134999999999998E-2</v>
      </c>
      <c r="K110">
        <v>2.0039999999999999E-2</v>
      </c>
      <c r="L110">
        <v>2.1963E-2</v>
      </c>
      <c r="M110">
        <v>2.5944999999999999E-2</v>
      </c>
      <c r="N110">
        <v>2.7858999999999998E-2</v>
      </c>
      <c r="O110" s="8">
        <f t="shared" si="4"/>
        <v>1002.7249964754058</v>
      </c>
      <c r="P110" s="8">
        <f t="shared" si="5"/>
        <v>1580.5817722627792</v>
      </c>
      <c r="Q110" s="8">
        <f t="shared" si="6"/>
        <v>1201.9411917814627</v>
      </c>
      <c r="R110">
        <v>2.1620535886835254E-2</v>
      </c>
      <c r="S110">
        <v>4.2056764586357563E-2</v>
      </c>
      <c r="T110">
        <v>-7.1807035361602153E-3</v>
      </c>
    </row>
    <row r="111" spans="1:20" x14ac:dyDescent="0.25">
      <c r="A111">
        <v>108</v>
      </c>
      <c r="B111">
        <v>9</v>
      </c>
      <c r="C111">
        <v>12</v>
      </c>
      <c r="D111">
        <v>7.6680000000000003E-3</v>
      </c>
      <c r="E111">
        <v>1.0321E-2</v>
      </c>
      <c r="F111">
        <v>1.0374E-2</v>
      </c>
      <c r="G111">
        <v>1.0129000000000001E-2</v>
      </c>
      <c r="H111">
        <v>1.3422E-2</v>
      </c>
      <c r="I111">
        <v>1.5231E-2</v>
      </c>
      <c r="J111">
        <v>1.8051000000000001E-2</v>
      </c>
      <c r="K111">
        <v>2.0084000000000001E-2</v>
      </c>
      <c r="L111">
        <v>2.1866E-2</v>
      </c>
      <c r="M111">
        <v>2.5881000000000001E-2</v>
      </c>
      <c r="N111">
        <v>2.7857E-2</v>
      </c>
      <c r="O111" s="8">
        <f t="shared" si="4"/>
        <v>1001.4473755857854</v>
      </c>
      <c r="P111" s="8">
        <f t="shared" si="5"/>
        <v>1586.1957782152865</v>
      </c>
      <c r="Q111" s="8">
        <f t="shared" si="6"/>
        <v>1200.9440922074903</v>
      </c>
      <c r="R111">
        <v>-1.5183091788206437E-2</v>
      </c>
      <c r="S111">
        <v>4.3464900236166067E-2</v>
      </c>
      <c r="T111">
        <v>-9.9095966994151973E-3</v>
      </c>
    </row>
    <row r="112" spans="1:20" x14ac:dyDescent="0.25">
      <c r="A112">
        <v>109</v>
      </c>
      <c r="B112">
        <v>10</v>
      </c>
      <c r="C112">
        <v>1</v>
      </c>
      <c r="D112">
        <v>7.7609999999999997E-3</v>
      </c>
      <c r="E112">
        <v>1.0237E-2</v>
      </c>
      <c r="F112">
        <v>1.0338999999999999E-2</v>
      </c>
      <c r="G112">
        <v>1.0173E-2</v>
      </c>
      <c r="H112">
        <v>1.3344999999999999E-2</v>
      </c>
      <c r="I112">
        <v>1.5287E-2</v>
      </c>
      <c r="J112">
        <v>1.7964999999999998E-2</v>
      </c>
      <c r="K112">
        <v>2.0031E-2</v>
      </c>
      <c r="L112">
        <v>2.1954999999999999E-2</v>
      </c>
      <c r="M112">
        <v>2.5911E-2</v>
      </c>
      <c r="N112">
        <v>2.7897000000000002E-2</v>
      </c>
      <c r="O112" s="8">
        <f t="shared" si="4"/>
        <v>997.97622700278214</v>
      </c>
      <c r="P112" s="8">
        <f t="shared" si="5"/>
        <v>1595.2587574486638</v>
      </c>
      <c r="Q112" s="8">
        <f t="shared" si="6"/>
        <v>1199.5966662699286</v>
      </c>
      <c r="R112">
        <v>-4.080974313380329E-2</v>
      </c>
      <c r="S112">
        <v>7.0760085262752251E-2</v>
      </c>
      <c r="T112">
        <v>-1.3380894626756568E-2</v>
      </c>
    </row>
    <row r="113" spans="1:20" x14ac:dyDescent="0.25">
      <c r="A113">
        <v>110</v>
      </c>
      <c r="B113">
        <v>10</v>
      </c>
      <c r="C113">
        <v>2</v>
      </c>
      <c r="D113">
        <v>7.8379999999999995E-3</v>
      </c>
      <c r="E113">
        <v>1.027E-2</v>
      </c>
      <c r="F113">
        <v>1.0359E-2</v>
      </c>
      <c r="G113">
        <v>1.0222999999999999E-2</v>
      </c>
      <c r="H113">
        <v>1.3412E-2</v>
      </c>
      <c r="I113">
        <v>1.5367E-2</v>
      </c>
      <c r="J113">
        <v>1.7935E-2</v>
      </c>
      <c r="K113">
        <v>1.9970999999999999E-2</v>
      </c>
      <c r="L113">
        <v>2.2009000000000001E-2</v>
      </c>
      <c r="M113">
        <v>2.5985999999999999E-2</v>
      </c>
      <c r="N113">
        <v>2.7935000000000001E-2</v>
      </c>
      <c r="O113" s="8">
        <f t="shared" si="4"/>
        <v>1000.369759606308</v>
      </c>
      <c r="P113" s="8">
        <f t="shared" si="5"/>
        <v>1599.9932009470822</v>
      </c>
      <c r="Q113" s="8">
        <f t="shared" si="6"/>
        <v>1198.5062306382947</v>
      </c>
      <c r="R113">
        <v>2.9163337290591014E-2</v>
      </c>
      <c r="S113">
        <v>3.6200975162464899E-2</v>
      </c>
      <c r="T113">
        <v>-1.0853652758531281E-2</v>
      </c>
    </row>
    <row r="114" spans="1:20" x14ac:dyDescent="0.25">
      <c r="A114">
        <v>111</v>
      </c>
      <c r="B114">
        <v>10</v>
      </c>
      <c r="C114">
        <v>3</v>
      </c>
      <c r="D114">
        <v>7.8100000000000001E-3</v>
      </c>
      <c r="E114">
        <v>1.026E-2</v>
      </c>
      <c r="F114">
        <v>1.0322E-2</v>
      </c>
      <c r="G114">
        <v>1.0156E-2</v>
      </c>
      <c r="H114">
        <v>1.3511E-2</v>
      </c>
      <c r="I114">
        <v>1.5403E-2</v>
      </c>
      <c r="J114">
        <v>1.7867999999999998E-2</v>
      </c>
      <c r="K114">
        <v>1.9996E-2</v>
      </c>
      <c r="L114">
        <v>2.1923999999999999E-2</v>
      </c>
      <c r="M114">
        <v>2.6037999999999999E-2</v>
      </c>
      <c r="N114">
        <v>2.8029999999999999E-2</v>
      </c>
      <c r="O114" s="8">
        <f t="shared" si="4"/>
        <v>1000.1098212413974</v>
      </c>
      <c r="P114" s="8">
        <f t="shared" si="5"/>
        <v>1606.3503474867418</v>
      </c>
      <c r="Q114" s="8">
        <f t="shared" si="6"/>
        <v>1197.3774207401302</v>
      </c>
      <c r="R114">
        <v>-3.1136550972957443E-3</v>
      </c>
      <c r="S114">
        <v>4.8734639594998089E-2</v>
      </c>
      <c r="T114">
        <v>-1.1243804385100318E-2</v>
      </c>
    </row>
    <row r="115" spans="1:20" x14ac:dyDescent="0.25">
      <c r="A115">
        <v>112</v>
      </c>
      <c r="B115">
        <v>10</v>
      </c>
      <c r="C115">
        <v>4</v>
      </c>
      <c r="D115">
        <v>7.7470000000000004E-3</v>
      </c>
      <c r="E115">
        <v>1.0319E-2</v>
      </c>
      <c r="F115">
        <v>1.0376E-2</v>
      </c>
      <c r="G115">
        <v>1.0085E-2</v>
      </c>
      <c r="H115">
        <v>1.3559E-2</v>
      </c>
      <c r="I115">
        <v>1.5443E-2</v>
      </c>
      <c r="J115">
        <v>1.7895999999999999E-2</v>
      </c>
      <c r="K115">
        <v>1.9948E-2</v>
      </c>
      <c r="L115">
        <v>2.1871000000000002E-2</v>
      </c>
      <c r="M115">
        <v>2.6034999999999999E-2</v>
      </c>
      <c r="N115">
        <v>2.7941000000000001E-2</v>
      </c>
      <c r="O115" s="8">
        <f t="shared" si="4"/>
        <v>997.31035544277279</v>
      </c>
      <c r="P115" s="8">
        <f t="shared" si="5"/>
        <v>1614.6743042962553</v>
      </c>
      <c r="Q115" s="8">
        <f t="shared" si="6"/>
        <v>1196.6847184608939</v>
      </c>
      <c r="R115">
        <v>-3.3077566543868175E-2</v>
      </c>
      <c r="S115">
        <v>6.3986088164655799E-2</v>
      </c>
      <c r="T115">
        <v>-6.9201484314780652E-3</v>
      </c>
    </row>
    <row r="116" spans="1:20" x14ac:dyDescent="0.25">
      <c r="A116">
        <v>113</v>
      </c>
      <c r="B116">
        <v>10</v>
      </c>
      <c r="C116">
        <v>5</v>
      </c>
      <c r="D116">
        <v>7.8100000000000001E-3</v>
      </c>
      <c r="E116">
        <v>1.0274999999999999E-2</v>
      </c>
      <c r="F116">
        <v>1.0399E-2</v>
      </c>
      <c r="G116">
        <v>9.9989999999999992E-3</v>
      </c>
      <c r="H116">
        <v>1.349E-2</v>
      </c>
      <c r="I116">
        <v>1.536E-2</v>
      </c>
      <c r="J116">
        <v>1.7949E-2</v>
      </c>
      <c r="K116">
        <v>1.9952000000000001E-2</v>
      </c>
      <c r="L116">
        <v>2.1864000000000001E-2</v>
      </c>
      <c r="M116">
        <v>2.6082999999999999E-2</v>
      </c>
      <c r="N116">
        <v>2.7937E-2</v>
      </c>
      <c r="O116" s="8">
        <f t="shared" si="4"/>
        <v>995.76647631177684</v>
      </c>
      <c r="P116" s="8">
        <f t="shared" si="5"/>
        <v>1622.09994756641</v>
      </c>
      <c r="Q116" s="8">
        <f t="shared" si="6"/>
        <v>1196.3213602225301</v>
      </c>
      <c r="R116">
        <v>-1.8419162295502271E-2</v>
      </c>
      <c r="S116">
        <v>5.6603669791517236E-2</v>
      </c>
      <c r="T116">
        <v>-3.6375700585178153E-3</v>
      </c>
    </row>
    <row r="117" spans="1:20" x14ac:dyDescent="0.25">
      <c r="A117">
        <v>114</v>
      </c>
      <c r="B117">
        <v>10</v>
      </c>
      <c r="C117">
        <v>6</v>
      </c>
      <c r="D117">
        <v>7.7799999999999996E-3</v>
      </c>
      <c r="E117">
        <v>1.0284E-2</v>
      </c>
      <c r="F117">
        <v>1.0421E-2</v>
      </c>
      <c r="G117">
        <v>9.9089999999999994E-3</v>
      </c>
      <c r="H117">
        <v>1.3476E-2</v>
      </c>
      <c r="I117">
        <v>1.5448999999999999E-2</v>
      </c>
      <c r="J117">
        <v>1.7920999999999999E-2</v>
      </c>
      <c r="K117">
        <v>1.9861E-2</v>
      </c>
      <c r="L117">
        <v>2.1805000000000001E-2</v>
      </c>
      <c r="M117">
        <v>2.6179999999999998E-2</v>
      </c>
      <c r="N117">
        <v>2.7977999999999999E-2</v>
      </c>
      <c r="O117" s="8">
        <f t="shared" si="4"/>
        <v>995.16170608515165</v>
      </c>
      <c r="P117" s="8">
        <f t="shared" si="5"/>
        <v>1627.77330967424</v>
      </c>
      <c r="Q117" s="8">
        <f t="shared" si="6"/>
        <v>1195.9037465911379</v>
      </c>
      <c r="R117">
        <v>-7.2638012717739942E-3</v>
      </c>
      <c r="S117">
        <v>4.2787351420083643E-2</v>
      </c>
      <c r="T117">
        <v>-4.1809444951252696E-3</v>
      </c>
    </row>
    <row r="118" spans="1:20" x14ac:dyDescent="0.25">
      <c r="A118">
        <v>115</v>
      </c>
      <c r="B118">
        <v>10</v>
      </c>
      <c r="C118">
        <v>7</v>
      </c>
      <c r="D118">
        <v>7.8309999999999994E-3</v>
      </c>
      <c r="E118">
        <v>1.0278000000000001E-2</v>
      </c>
      <c r="F118">
        <v>1.0514000000000001E-2</v>
      </c>
      <c r="G118">
        <v>9.9249999999999998E-3</v>
      </c>
      <c r="H118">
        <v>1.3387E-2</v>
      </c>
      <c r="I118">
        <v>1.5517E-2</v>
      </c>
      <c r="J118">
        <v>1.8013000000000001E-2</v>
      </c>
      <c r="K118">
        <v>1.9800999999999999E-2</v>
      </c>
      <c r="L118">
        <v>2.1783E-2</v>
      </c>
      <c r="M118">
        <v>2.6218999999999999E-2</v>
      </c>
      <c r="N118">
        <v>2.7893000000000001E-2</v>
      </c>
      <c r="O118" s="8">
        <f t="shared" si="4"/>
        <v>992.36747633724519</v>
      </c>
      <c r="P118" s="8">
        <f t="shared" si="5"/>
        <v>1632.3702049370227</v>
      </c>
      <c r="Q118" s="8">
        <f t="shared" si="6"/>
        <v>1195.8007873994288</v>
      </c>
      <c r="R118">
        <v>-3.3178284360119152E-2</v>
      </c>
      <c r="S118">
        <v>3.4419817122392456E-2</v>
      </c>
      <c r="T118">
        <v>-1.0326294587890495E-3</v>
      </c>
    </row>
    <row r="119" spans="1:20" x14ac:dyDescent="0.25">
      <c r="A119">
        <v>116</v>
      </c>
      <c r="B119">
        <v>10</v>
      </c>
      <c r="C119">
        <v>8</v>
      </c>
      <c r="D119">
        <v>7.8139999999999998E-3</v>
      </c>
      <c r="E119">
        <v>1.0377000000000001E-2</v>
      </c>
      <c r="F119">
        <v>1.0432E-2</v>
      </c>
      <c r="G119">
        <v>1.0004000000000001E-2</v>
      </c>
      <c r="H119">
        <v>1.3434E-2</v>
      </c>
      <c r="I119">
        <v>1.5427E-2</v>
      </c>
      <c r="J119">
        <v>1.7940999999999999E-2</v>
      </c>
      <c r="K119">
        <v>1.9768000000000001E-2</v>
      </c>
      <c r="L119">
        <v>2.1860000000000001E-2</v>
      </c>
      <c r="M119">
        <v>2.6256999999999999E-2</v>
      </c>
      <c r="N119">
        <v>2.7802E-2</v>
      </c>
      <c r="O119" s="8">
        <f t="shared" si="4"/>
        <v>991.84739291718734</v>
      </c>
      <c r="P119" s="8">
        <f t="shared" si="5"/>
        <v>1637.169865401162</v>
      </c>
      <c r="Q119" s="8">
        <f t="shared" si="6"/>
        <v>1195.5320171101396</v>
      </c>
      <c r="R119">
        <v>-6.2709058362257894E-3</v>
      </c>
      <c r="S119">
        <v>3.585984144092999E-2</v>
      </c>
      <c r="T119">
        <v>-2.6938094357403077E-3</v>
      </c>
    </row>
    <row r="120" spans="1:20" x14ac:dyDescent="0.25">
      <c r="A120">
        <v>117</v>
      </c>
      <c r="B120">
        <v>10</v>
      </c>
      <c r="C120">
        <v>9</v>
      </c>
      <c r="D120">
        <v>7.7460000000000003E-3</v>
      </c>
      <c r="E120">
        <v>1.0477E-2</v>
      </c>
      <c r="F120">
        <v>1.0359E-2</v>
      </c>
      <c r="G120">
        <v>9.953E-3</v>
      </c>
      <c r="H120">
        <v>1.3435000000000001E-2</v>
      </c>
      <c r="I120">
        <v>1.5419E-2</v>
      </c>
      <c r="J120">
        <v>1.8013000000000001E-2</v>
      </c>
      <c r="K120">
        <v>1.9854E-2</v>
      </c>
      <c r="L120">
        <v>2.1772E-2</v>
      </c>
      <c r="M120">
        <v>2.6197999999999999E-2</v>
      </c>
      <c r="N120">
        <v>2.7886999999999999E-2</v>
      </c>
      <c r="O120" s="8">
        <f t="shared" si="4"/>
        <v>995.83473232758513</v>
      </c>
      <c r="P120" s="8">
        <f t="shared" si="5"/>
        <v>1644.9155940127127</v>
      </c>
      <c r="Q120" s="8">
        <f t="shared" si="6"/>
        <v>1194.9148081533026</v>
      </c>
      <c r="R120">
        <v>4.9322436218545471E-2</v>
      </c>
      <c r="S120">
        <v>5.827492778652673E-2</v>
      </c>
      <c r="T120">
        <v>-6.1775955331274781E-3</v>
      </c>
    </row>
    <row r="121" spans="1:20" x14ac:dyDescent="0.25">
      <c r="A121">
        <v>118</v>
      </c>
      <c r="B121">
        <v>10</v>
      </c>
      <c r="C121">
        <v>10</v>
      </c>
      <c r="D121">
        <v>7.7629999999999999E-3</v>
      </c>
      <c r="E121">
        <v>1.0397E-2</v>
      </c>
      <c r="F121">
        <v>1.0455000000000001E-2</v>
      </c>
      <c r="G121">
        <v>9.9939999999999994E-3</v>
      </c>
      <c r="H121">
        <v>1.3493E-2</v>
      </c>
      <c r="I121">
        <v>1.542E-2</v>
      </c>
      <c r="J121">
        <v>1.7974E-2</v>
      </c>
      <c r="K121">
        <v>1.9828999999999999E-2</v>
      </c>
      <c r="L121">
        <v>2.1867000000000001E-2</v>
      </c>
      <c r="M121">
        <v>2.6162999999999999E-2</v>
      </c>
      <c r="N121">
        <v>2.7987000000000001E-2</v>
      </c>
      <c r="O121" s="8">
        <f t="shared" si="4"/>
        <v>994.68844284980514</v>
      </c>
      <c r="P121" s="8">
        <f t="shared" si="5"/>
        <v>1651.8619528369968</v>
      </c>
      <c r="Q121" s="8">
        <f t="shared" si="6"/>
        <v>1194.45107059726</v>
      </c>
      <c r="R121">
        <v>-1.3725893647268912E-2</v>
      </c>
      <c r="S121">
        <v>5.1868838326780721E-2</v>
      </c>
      <c r="T121">
        <v>-4.6471830149355398E-3</v>
      </c>
    </row>
    <row r="122" spans="1:20" x14ac:dyDescent="0.25">
      <c r="A122">
        <v>119</v>
      </c>
      <c r="B122">
        <v>10</v>
      </c>
      <c r="C122">
        <v>11</v>
      </c>
      <c r="D122">
        <v>7.6750000000000004E-3</v>
      </c>
      <c r="E122">
        <v>1.0463999999999999E-2</v>
      </c>
      <c r="F122">
        <v>1.0432E-2</v>
      </c>
      <c r="G122">
        <v>1.0059E-2</v>
      </c>
      <c r="H122">
        <v>1.3426E-2</v>
      </c>
      <c r="I122">
        <v>1.5520000000000001E-2</v>
      </c>
      <c r="J122">
        <v>1.7971000000000001E-2</v>
      </c>
      <c r="K122">
        <v>1.9765000000000001E-2</v>
      </c>
      <c r="L122">
        <v>2.1804E-2</v>
      </c>
      <c r="M122">
        <v>2.6224000000000001E-2</v>
      </c>
      <c r="N122">
        <v>2.8046999999999999E-2</v>
      </c>
      <c r="O122" s="8">
        <f t="shared" si="4"/>
        <v>993.6724313192633</v>
      </c>
      <c r="P122" s="8">
        <f t="shared" si="5"/>
        <v>1660.5115256278943</v>
      </c>
      <c r="Q122" s="8">
        <f t="shared" si="6"/>
        <v>1193.8158821309112</v>
      </c>
      <c r="R122">
        <v>-1.2188617323910533E-2</v>
      </c>
      <c r="S122">
        <v>6.4676651068209898E-2</v>
      </c>
      <c r="T122">
        <v>-6.362761627029514E-3</v>
      </c>
    </row>
    <row r="123" spans="1:20" x14ac:dyDescent="0.25">
      <c r="A123">
        <v>120</v>
      </c>
      <c r="B123">
        <v>10</v>
      </c>
      <c r="C123">
        <v>12</v>
      </c>
      <c r="D123">
        <v>7.7580000000000001E-3</v>
      </c>
      <c r="E123">
        <v>1.0444999999999999E-2</v>
      </c>
      <c r="F123">
        <v>1.0488000000000001E-2</v>
      </c>
      <c r="G123">
        <v>1.0021E-2</v>
      </c>
      <c r="H123">
        <v>1.3358E-2</v>
      </c>
      <c r="I123">
        <v>1.5602E-2</v>
      </c>
      <c r="J123">
        <v>1.7991E-2</v>
      </c>
      <c r="K123">
        <v>1.9758999999999999E-2</v>
      </c>
      <c r="L123">
        <v>2.1863E-2</v>
      </c>
      <c r="M123">
        <v>2.6318000000000001E-2</v>
      </c>
      <c r="N123">
        <v>2.8004999999999999E-2</v>
      </c>
      <c r="O123" s="8">
        <f t="shared" si="4"/>
        <v>995.6880061921795</v>
      </c>
      <c r="P123" s="8">
        <f t="shared" si="5"/>
        <v>1668.5664204317973</v>
      </c>
      <c r="Q123" s="8">
        <f t="shared" si="6"/>
        <v>1193.030374422864</v>
      </c>
      <c r="R123">
        <v>2.4614315230394507E-2</v>
      </c>
      <c r="S123">
        <v>5.9788635966837464E-2</v>
      </c>
      <c r="T123">
        <v>-7.8672560145893779E-3</v>
      </c>
    </row>
    <row r="124" spans="1:20" x14ac:dyDescent="0.25">
      <c r="A124">
        <v>121</v>
      </c>
      <c r="B124">
        <v>11</v>
      </c>
      <c r="C124">
        <v>1</v>
      </c>
      <c r="D124">
        <v>7.6730000000000001E-3</v>
      </c>
      <c r="E124">
        <v>1.0499E-2</v>
      </c>
      <c r="F124">
        <v>1.0539E-2</v>
      </c>
      <c r="G124">
        <v>1.0085999999999999E-2</v>
      </c>
      <c r="H124">
        <v>1.3332999999999999E-2</v>
      </c>
      <c r="I124">
        <v>1.5599E-2</v>
      </c>
      <c r="J124">
        <v>1.7953E-2</v>
      </c>
      <c r="K124">
        <v>1.984E-2</v>
      </c>
      <c r="L124">
        <v>2.1821E-2</v>
      </c>
      <c r="M124">
        <v>2.6221999999999999E-2</v>
      </c>
      <c r="N124">
        <v>2.7954E-2</v>
      </c>
      <c r="O124" s="8">
        <f t="shared" si="4"/>
        <v>996.86095019272545</v>
      </c>
      <c r="P124" s="8">
        <f t="shared" si="5"/>
        <v>1676.6520961599233</v>
      </c>
      <c r="Q124" s="8">
        <f t="shared" si="6"/>
        <v>1191.9343326182743</v>
      </c>
      <c r="R124">
        <v>1.4228235001282319E-2</v>
      </c>
      <c r="S124">
        <v>5.9725741562988467E-2</v>
      </c>
      <c r="T124">
        <v>-1.096891338536992E-2</v>
      </c>
    </row>
    <row r="125" spans="1:20" x14ac:dyDescent="0.25">
      <c r="A125">
        <v>122</v>
      </c>
      <c r="B125">
        <v>11</v>
      </c>
      <c r="C125">
        <v>2</v>
      </c>
      <c r="D125">
        <v>7.5989999999999999E-3</v>
      </c>
      <c r="E125">
        <v>1.0468E-2</v>
      </c>
      <c r="F125">
        <v>1.0474000000000001E-2</v>
      </c>
      <c r="G125">
        <v>1.0031999999999999E-2</v>
      </c>
      <c r="H125">
        <v>1.3363999999999999E-2</v>
      </c>
      <c r="I125">
        <v>1.5654000000000001E-2</v>
      </c>
      <c r="J125">
        <v>1.7975999999999999E-2</v>
      </c>
      <c r="K125">
        <v>1.9741999999999999E-2</v>
      </c>
      <c r="L125">
        <v>2.1874999999999999E-2</v>
      </c>
      <c r="M125">
        <v>2.6151000000000001E-2</v>
      </c>
      <c r="N125">
        <v>2.7993000000000001E-2</v>
      </c>
      <c r="O125" s="8">
        <f t="shared" si="4"/>
        <v>993.65917154236934</v>
      </c>
      <c r="P125" s="8">
        <f t="shared" si="5"/>
        <v>1681.7016793130467</v>
      </c>
      <c r="Q125" s="8">
        <f t="shared" si="6"/>
        <v>1191.0934343365338</v>
      </c>
      <c r="R125">
        <v>-3.786870780298951E-2</v>
      </c>
      <c r="S125">
        <v>3.6745167163306933E-2</v>
      </c>
      <c r="T125">
        <v>-8.4331131505200174E-3</v>
      </c>
    </row>
    <row r="126" spans="1:20" x14ac:dyDescent="0.25">
      <c r="A126">
        <v>123</v>
      </c>
      <c r="B126">
        <v>11</v>
      </c>
      <c r="C126">
        <v>3</v>
      </c>
      <c r="D126">
        <v>7.6600000000000001E-3</v>
      </c>
      <c r="E126">
        <v>1.0482999999999999E-2</v>
      </c>
      <c r="F126">
        <v>1.0503999999999999E-2</v>
      </c>
      <c r="G126">
        <v>9.9749999999999995E-3</v>
      </c>
      <c r="H126">
        <v>1.3455E-2</v>
      </c>
      <c r="I126">
        <v>1.5573999999999999E-2</v>
      </c>
      <c r="J126">
        <v>1.8036E-2</v>
      </c>
      <c r="K126">
        <v>1.9668000000000001E-2</v>
      </c>
      <c r="L126">
        <v>2.1850000000000001E-2</v>
      </c>
      <c r="M126">
        <v>2.6128999999999999E-2</v>
      </c>
      <c r="N126">
        <v>2.8051E-2</v>
      </c>
      <c r="O126" s="8">
        <f t="shared" si="4"/>
        <v>996.30253868277657</v>
      </c>
      <c r="P126" s="8">
        <f t="shared" si="5"/>
        <v>1690.1606487378633</v>
      </c>
      <c r="Q126" s="8">
        <f t="shared" si="6"/>
        <v>1190.3253492553829</v>
      </c>
      <c r="R126">
        <v>3.2394061664028015E-2</v>
      </c>
      <c r="S126">
        <v>6.205825204660291E-2</v>
      </c>
      <c r="T126">
        <v>-7.710898857007974E-3</v>
      </c>
    </row>
    <row r="127" spans="1:20" x14ac:dyDescent="0.25">
      <c r="A127">
        <v>124</v>
      </c>
      <c r="B127">
        <v>11</v>
      </c>
      <c r="C127">
        <v>4</v>
      </c>
      <c r="D127">
        <v>7.7140000000000004E-3</v>
      </c>
      <c r="E127">
        <v>1.0508999999999999E-2</v>
      </c>
      <c r="F127">
        <v>1.0444999999999999E-2</v>
      </c>
      <c r="G127">
        <v>9.9900000000000006E-3</v>
      </c>
      <c r="H127">
        <v>1.354E-2</v>
      </c>
      <c r="I127">
        <v>1.5587E-2</v>
      </c>
      <c r="J127">
        <v>1.797E-2</v>
      </c>
      <c r="K127">
        <v>1.9713999999999999E-2</v>
      </c>
      <c r="L127">
        <v>2.1791000000000001E-2</v>
      </c>
      <c r="M127">
        <v>2.6091E-2</v>
      </c>
      <c r="N127">
        <v>2.8133999999999999E-2</v>
      </c>
      <c r="O127" s="8">
        <f t="shared" si="4"/>
        <v>999.8239082290014</v>
      </c>
      <c r="P127" s="8">
        <f t="shared" si="5"/>
        <v>1698.0195215455337</v>
      </c>
      <c r="Q127" s="8">
        <f t="shared" si="6"/>
        <v>1189.831141735664</v>
      </c>
      <c r="R127">
        <v>4.3247535921747092E-2</v>
      </c>
      <c r="S127">
        <v>5.7246642026072811E-2</v>
      </c>
      <c r="T127">
        <v>-4.9708817206985893E-3</v>
      </c>
    </row>
    <row r="128" spans="1:20" x14ac:dyDescent="0.25">
      <c r="A128">
        <v>125</v>
      </c>
      <c r="B128">
        <v>11</v>
      </c>
      <c r="C128">
        <v>5</v>
      </c>
      <c r="D128">
        <v>7.7580000000000001E-3</v>
      </c>
      <c r="E128">
        <v>1.0595E-2</v>
      </c>
      <c r="F128">
        <v>1.0533000000000001E-2</v>
      </c>
      <c r="G128">
        <v>9.9129999999999999E-3</v>
      </c>
      <c r="H128">
        <v>1.3639999999999999E-2</v>
      </c>
      <c r="I128">
        <v>1.554E-2</v>
      </c>
      <c r="J128">
        <v>1.8033E-2</v>
      </c>
      <c r="K128">
        <v>1.9779000000000001E-2</v>
      </c>
      <c r="L128">
        <v>2.1824E-2</v>
      </c>
      <c r="M128">
        <v>2.6023000000000001E-2</v>
      </c>
      <c r="N128">
        <v>2.8087000000000001E-2</v>
      </c>
      <c r="O128" s="8">
        <f t="shared" si="4"/>
        <v>1001.4680483706154</v>
      </c>
      <c r="P128" s="8">
        <f t="shared" si="5"/>
        <v>1702.6756414493393</v>
      </c>
      <c r="Q128" s="8">
        <f t="shared" si="6"/>
        <v>1188.9673026949192</v>
      </c>
      <c r="R128">
        <v>1.9912612306484345E-2</v>
      </c>
      <c r="S128">
        <v>3.3405884038428944E-2</v>
      </c>
      <c r="T128">
        <v>-8.6775134624358426E-3</v>
      </c>
    </row>
    <row r="129" spans="1:20" x14ac:dyDescent="0.25">
      <c r="A129">
        <v>126</v>
      </c>
      <c r="B129">
        <v>11</v>
      </c>
      <c r="C129">
        <v>6</v>
      </c>
      <c r="D129">
        <v>7.6689999999999996E-3</v>
      </c>
      <c r="E129">
        <v>1.0668E-2</v>
      </c>
      <c r="F129">
        <v>1.0631E-2</v>
      </c>
      <c r="G129">
        <v>9.8840000000000004E-3</v>
      </c>
      <c r="H129">
        <v>1.3703999999999999E-2</v>
      </c>
      <c r="I129">
        <v>1.5464E-2</v>
      </c>
      <c r="J129">
        <v>1.8105E-2</v>
      </c>
      <c r="K129">
        <v>1.9834000000000001E-2</v>
      </c>
      <c r="L129">
        <v>2.1807E-2</v>
      </c>
      <c r="M129">
        <v>2.6030999999999999E-2</v>
      </c>
      <c r="N129">
        <v>2.8025999999999999E-2</v>
      </c>
      <c r="O129" s="8">
        <f t="shared" si="4"/>
        <v>1003.8643146657416</v>
      </c>
      <c r="P129" s="8">
        <f t="shared" si="5"/>
        <v>1708.9566798675012</v>
      </c>
      <c r="Q129" s="8">
        <f t="shared" si="6"/>
        <v>1188.2102484253357</v>
      </c>
      <c r="R129">
        <v>2.9093941319480992E-2</v>
      </c>
      <c r="S129">
        <v>4.5176343443183338E-2</v>
      </c>
      <c r="T129">
        <v>-7.6140899137990808E-3</v>
      </c>
    </row>
    <row r="130" spans="1:20" x14ac:dyDescent="0.25">
      <c r="A130">
        <v>127</v>
      </c>
      <c r="B130">
        <v>11</v>
      </c>
      <c r="C130">
        <v>7</v>
      </c>
      <c r="D130">
        <v>7.7299999999999999E-3</v>
      </c>
      <c r="E130">
        <v>1.0598E-2</v>
      </c>
      <c r="F130">
        <v>1.0544E-2</v>
      </c>
      <c r="G130">
        <v>9.7959999999999992E-3</v>
      </c>
      <c r="H130">
        <v>1.3698999999999999E-2</v>
      </c>
      <c r="I130">
        <v>1.5521999999999999E-2</v>
      </c>
      <c r="J130">
        <v>1.8072000000000001E-2</v>
      </c>
      <c r="K130">
        <v>1.9843E-2</v>
      </c>
      <c r="L130">
        <v>2.1898999999999998E-2</v>
      </c>
      <c r="M130">
        <v>2.5944999999999999E-2</v>
      </c>
      <c r="N130">
        <v>2.8011999999999999E-2</v>
      </c>
      <c r="O130" s="8">
        <f t="shared" si="4"/>
        <v>1007.7673577872716</v>
      </c>
      <c r="P130" s="8">
        <f t="shared" si="5"/>
        <v>1713.4373210633707</v>
      </c>
      <c r="Q130" s="8">
        <f t="shared" si="6"/>
        <v>1187.0645328284108</v>
      </c>
      <c r="R130">
        <v>4.7666968671984083E-2</v>
      </c>
      <c r="S130">
        <v>3.1919973799006698E-2</v>
      </c>
      <c r="T130">
        <v>-1.1509670226990796E-2</v>
      </c>
    </row>
    <row r="131" spans="1:20" x14ac:dyDescent="0.25">
      <c r="A131">
        <v>128</v>
      </c>
      <c r="B131">
        <v>11</v>
      </c>
      <c r="C131">
        <v>8</v>
      </c>
      <c r="D131">
        <v>7.8139999999999998E-3</v>
      </c>
      <c r="E131">
        <v>1.0526000000000001E-2</v>
      </c>
      <c r="F131">
        <v>1.0532E-2</v>
      </c>
      <c r="G131">
        <v>9.8099999999999993E-3</v>
      </c>
      <c r="H131">
        <v>1.3671000000000001E-2</v>
      </c>
      <c r="I131">
        <v>1.5609E-2</v>
      </c>
      <c r="J131">
        <v>1.8075000000000001E-2</v>
      </c>
      <c r="K131">
        <v>1.9781E-2</v>
      </c>
      <c r="L131">
        <v>2.1822999999999999E-2</v>
      </c>
      <c r="M131">
        <v>2.6044999999999999E-2</v>
      </c>
      <c r="N131">
        <v>2.7959999999999999E-2</v>
      </c>
      <c r="O131" s="8">
        <f t="shared" si="4"/>
        <v>1010.1190251458767</v>
      </c>
      <c r="P131" s="8">
        <f t="shared" si="5"/>
        <v>1720.7124853753819</v>
      </c>
      <c r="Q131" s="8">
        <f t="shared" si="6"/>
        <v>1186.392675294054</v>
      </c>
      <c r="R131">
        <v>2.8364710717932212E-2</v>
      </c>
      <c r="S131">
        <v>5.2158220396909115E-2</v>
      </c>
      <c r="T131">
        <v>-6.7706854617168881E-3</v>
      </c>
    </row>
    <row r="132" spans="1:20" x14ac:dyDescent="0.25">
      <c r="A132">
        <v>129</v>
      </c>
      <c r="B132">
        <v>11</v>
      </c>
      <c r="C132">
        <v>9</v>
      </c>
      <c r="D132">
        <v>7.9050000000000006E-3</v>
      </c>
      <c r="E132">
        <v>1.0522E-2</v>
      </c>
      <c r="F132">
        <v>1.0598E-2</v>
      </c>
      <c r="G132">
        <v>9.7809999999999998E-3</v>
      </c>
      <c r="H132">
        <v>1.3573999999999999E-2</v>
      </c>
      <c r="I132">
        <v>1.5599999999999999E-2</v>
      </c>
      <c r="J132">
        <v>1.7991E-2</v>
      </c>
      <c r="K132">
        <v>1.9834000000000001E-2</v>
      </c>
      <c r="L132">
        <v>2.1857999999999999E-2</v>
      </c>
      <c r="M132">
        <v>2.5958999999999999E-2</v>
      </c>
      <c r="N132">
        <v>2.7871E-2</v>
      </c>
      <c r="O132" s="8">
        <f t="shared" si="4"/>
        <v>1011.3684355179212</v>
      </c>
      <c r="P132" s="8">
        <f t="shared" si="5"/>
        <v>1728.6481956697949</v>
      </c>
      <c r="Q132" s="8">
        <f t="shared" si="6"/>
        <v>1185.578996454168</v>
      </c>
      <c r="R132">
        <v>1.4944121856288229E-2</v>
      </c>
      <c r="S132">
        <v>5.6768081195118648E-2</v>
      </c>
      <c r="T132">
        <v>-8.1991390155718175E-3</v>
      </c>
    </row>
    <row r="133" spans="1:20" x14ac:dyDescent="0.25">
      <c r="A133">
        <v>130</v>
      </c>
      <c r="B133">
        <v>11</v>
      </c>
      <c r="C133">
        <v>10</v>
      </c>
      <c r="D133">
        <v>7.9150000000000002E-3</v>
      </c>
      <c r="E133">
        <v>1.0586999999999999E-2</v>
      </c>
      <c r="F133">
        <v>1.0515E-2</v>
      </c>
      <c r="G133">
        <v>9.6889999999999997E-3</v>
      </c>
      <c r="H133">
        <v>1.3625E-2</v>
      </c>
      <c r="I133">
        <v>1.5519E-2</v>
      </c>
      <c r="J133">
        <v>1.8062000000000002E-2</v>
      </c>
      <c r="K133">
        <v>1.9859999999999999E-2</v>
      </c>
      <c r="L133">
        <v>2.1857999999999999E-2</v>
      </c>
      <c r="M133">
        <v>2.5989000000000002E-2</v>
      </c>
      <c r="N133">
        <v>2.7866999999999999E-2</v>
      </c>
      <c r="O133" s="8">
        <f t="shared" ref="O133:O196" si="7">O132*(1+R133)^(1/12)</f>
        <v>1013.3381315423222</v>
      </c>
      <c r="P133" s="8">
        <f t="shared" ref="P133:P196" si="8">P132*(1+S133)^(1/12)</f>
        <v>1738.4578831668787</v>
      </c>
      <c r="Q133" s="8">
        <f t="shared" ref="Q133:Q196" si="9">Q132*(1+T133)^(1/12)</f>
        <v>1185.0626716364593</v>
      </c>
      <c r="R133">
        <v>2.362263283603833E-2</v>
      </c>
      <c r="S133">
        <v>7.0263409397907678E-2</v>
      </c>
      <c r="T133">
        <v>-5.2135526029255053E-3</v>
      </c>
    </row>
    <row r="134" spans="1:20" x14ac:dyDescent="0.25">
      <c r="A134">
        <v>131</v>
      </c>
      <c r="B134">
        <v>11</v>
      </c>
      <c r="C134">
        <v>11</v>
      </c>
      <c r="D134">
        <v>7.8869999999999999E-3</v>
      </c>
      <c r="E134">
        <v>1.0616E-2</v>
      </c>
      <c r="F134">
        <v>1.0491E-2</v>
      </c>
      <c r="G134">
        <v>9.6310000000000007E-3</v>
      </c>
      <c r="H134">
        <v>1.3557E-2</v>
      </c>
      <c r="I134">
        <v>1.5516E-2</v>
      </c>
      <c r="J134">
        <v>1.8037999999999998E-2</v>
      </c>
      <c r="K134">
        <v>1.9819E-2</v>
      </c>
      <c r="L134">
        <v>2.1821E-2</v>
      </c>
      <c r="M134">
        <v>2.5899999999999999E-2</v>
      </c>
      <c r="N134">
        <v>2.7813999999999998E-2</v>
      </c>
      <c r="O134" s="8">
        <f t="shared" si="7"/>
        <v>1011.1203822054915</v>
      </c>
      <c r="P134" s="8">
        <f t="shared" si="8"/>
        <v>1743.2793250572258</v>
      </c>
      <c r="Q134" s="8">
        <f t="shared" si="9"/>
        <v>1184.3774647990028</v>
      </c>
      <c r="R134">
        <v>-2.5948865719552024E-2</v>
      </c>
      <c r="S134">
        <v>3.3793197764626075E-2</v>
      </c>
      <c r="T134">
        <v>-6.9164138949136455E-3</v>
      </c>
    </row>
    <row r="135" spans="1:20" x14ac:dyDescent="0.25">
      <c r="A135">
        <v>132</v>
      </c>
      <c r="B135">
        <v>11</v>
      </c>
      <c r="C135">
        <v>12</v>
      </c>
      <c r="D135">
        <v>7.979E-3</v>
      </c>
      <c r="E135">
        <v>1.0657E-2</v>
      </c>
      <c r="F135">
        <v>1.042E-2</v>
      </c>
      <c r="G135">
        <v>9.6500000000000006E-3</v>
      </c>
      <c r="H135">
        <v>1.3501000000000001E-2</v>
      </c>
      <c r="I135">
        <v>1.5552E-2</v>
      </c>
      <c r="J135">
        <v>1.8107999999999999E-2</v>
      </c>
      <c r="K135">
        <v>1.9743E-2</v>
      </c>
      <c r="L135">
        <v>2.1854999999999999E-2</v>
      </c>
      <c r="M135">
        <v>2.5987E-2</v>
      </c>
      <c r="N135">
        <v>2.7736E-2</v>
      </c>
      <c r="O135" s="8">
        <f t="shared" si="7"/>
        <v>1011.1140575211498</v>
      </c>
      <c r="P135" s="8">
        <f t="shared" si="8"/>
        <v>1747.9049089342216</v>
      </c>
      <c r="Q135" s="8">
        <f t="shared" si="9"/>
        <v>1183.6006594906883</v>
      </c>
      <c r="R135">
        <v>-7.5058917236122367E-5</v>
      </c>
      <c r="S135">
        <v>3.2309372312499467E-2</v>
      </c>
      <c r="T135">
        <v>-7.8421881146148124E-3</v>
      </c>
    </row>
    <row r="136" spans="1:20" x14ac:dyDescent="0.25">
      <c r="A136">
        <v>133</v>
      </c>
      <c r="B136">
        <v>12</v>
      </c>
      <c r="C136">
        <v>1</v>
      </c>
      <c r="D136">
        <v>7.9050000000000006E-3</v>
      </c>
      <c r="E136">
        <v>1.0701E-2</v>
      </c>
      <c r="F136">
        <v>1.0409E-2</v>
      </c>
      <c r="G136">
        <v>9.5840000000000005E-3</v>
      </c>
      <c r="H136">
        <v>1.3499000000000001E-2</v>
      </c>
      <c r="I136">
        <v>1.5462E-2</v>
      </c>
      <c r="J136">
        <v>1.8048999999999999E-2</v>
      </c>
      <c r="K136">
        <v>1.9751000000000001E-2</v>
      </c>
      <c r="L136">
        <v>2.1859E-2</v>
      </c>
      <c r="M136">
        <v>2.6041999999999999E-2</v>
      </c>
      <c r="N136">
        <v>2.7799000000000001E-2</v>
      </c>
      <c r="O136" s="8">
        <f t="shared" si="7"/>
        <v>1007.5862119277833</v>
      </c>
      <c r="P136" s="8">
        <f t="shared" si="8"/>
        <v>1756.5629161595793</v>
      </c>
      <c r="Q136" s="8">
        <f t="shared" si="9"/>
        <v>1182.6638960377909</v>
      </c>
      <c r="R136">
        <v>-4.1074628891859317E-2</v>
      </c>
      <c r="S136">
        <v>6.1086755127884203E-2</v>
      </c>
      <c r="T136">
        <v>-9.4561941749072478E-3</v>
      </c>
    </row>
    <row r="137" spans="1:20" x14ac:dyDescent="0.25">
      <c r="A137">
        <v>134</v>
      </c>
      <c r="B137">
        <v>12</v>
      </c>
      <c r="C137">
        <v>2</v>
      </c>
      <c r="D137">
        <v>7.8139999999999998E-3</v>
      </c>
      <c r="E137">
        <v>1.0682000000000001E-2</v>
      </c>
      <c r="F137">
        <v>1.0449E-2</v>
      </c>
      <c r="G137">
        <v>9.5949999999999994E-3</v>
      </c>
      <c r="H137">
        <v>1.3421000000000001E-2</v>
      </c>
      <c r="I137">
        <v>1.5413E-2</v>
      </c>
      <c r="J137">
        <v>1.8086999999999999E-2</v>
      </c>
      <c r="K137">
        <v>1.9796999999999999E-2</v>
      </c>
      <c r="L137">
        <v>2.1822000000000001E-2</v>
      </c>
      <c r="M137">
        <v>2.5951999999999999E-2</v>
      </c>
      <c r="N137">
        <v>2.7706000000000001E-2</v>
      </c>
      <c r="O137" s="8">
        <f t="shared" si="7"/>
        <v>1010.5193791943015</v>
      </c>
      <c r="P137" s="8">
        <f t="shared" si="8"/>
        <v>1766.4991037255197</v>
      </c>
      <c r="Q137" s="8">
        <f t="shared" si="9"/>
        <v>1182.0835926965872</v>
      </c>
      <c r="R137">
        <v>3.5497771865782186E-2</v>
      </c>
      <c r="S137">
        <v>7.0031440569062617E-2</v>
      </c>
      <c r="T137">
        <v>-5.8722329878464338E-3</v>
      </c>
    </row>
    <row r="138" spans="1:20" x14ac:dyDescent="0.25">
      <c r="A138">
        <v>135</v>
      </c>
      <c r="B138">
        <v>12</v>
      </c>
      <c r="C138">
        <v>3</v>
      </c>
      <c r="D138">
        <v>7.7809999999999997E-3</v>
      </c>
      <c r="E138">
        <v>1.0668E-2</v>
      </c>
      <c r="F138">
        <v>1.0526000000000001E-2</v>
      </c>
      <c r="G138">
        <v>9.6670000000000002E-3</v>
      </c>
      <c r="H138">
        <v>1.3331000000000001E-2</v>
      </c>
      <c r="I138">
        <v>1.5335E-2</v>
      </c>
      <c r="J138">
        <v>1.8155000000000001E-2</v>
      </c>
      <c r="K138">
        <v>1.9724999999999999E-2</v>
      </c>
      <c r="L138">
        <v>2.1752000000000001E-2</v>
      </c>
      <c r="M138">
        <v>2.6005E-2</v>
      </c>
      <c r="N138">
        <v>2.7765999999999999E-2</v>
      </c>
      <c r="O138" s="8">
        <f t="shared" si="7"/>
        <v>1013.0859360630723</v>
      </c>
      <c r="P138" s="8">
        <f t="shared" si="8"/>
        <v>1776.6040753607233</v>
      </c>
      <c r="Q138" s="8">
        <f t="shared" si="9"/>
        <v>1181.1066052699657</v>
      </c>
      <c r="R138">
        <v>3.0907448914853326E-2</v>
      </c>
      <c r="S138">
        <v>7.0845438371105185E-2</v>
      </c>
      <c r="T138">
        <v>-9.872992323732576E-3</v>
      </c>
    </row>
    <row r="139" spans="1:20" x14ac:dyDescent="0.25">
      <c r="A139">
        <v>136</v>
      </c>
      <c r="B139">
        <v>12</v>
      </c>
      <c r="C139">
        <v>4</v>
      </c>
      <c r="D139">
        <v>7.7939999999999997E-3</v>
      </c>
      <c r="E139">
        <v>1.0599000000000001E-2</v>
      </c>
      <c r="F139">
        <v>1.0459E-2</v>
      </c>
      <c r="G139">
        <v>9.7179999999999992E-3</v>
      </c>
      <c r="H139">
        <v>1.3391E-2</v>
      </c>
      <c r="I139">
        <v>1.5398E-2</v>
      </c>
      <c r="J139">
        <v>1.814E-2</v>
      </c>
      <c r="K139">
        <v>1.9677E-2</v>
      </c>
      <c r="L139">
        <v>2.1669000000000001E-2</v>
      </c>
      <c r="M139">
        <v>2.5916999999999999E-2</v>
      </c>
      <c r="N139">
        <v>2.7793999999999999E-2</v>
      </c>
      <c r="O139" s="8">
        <f t="shared" si="7"/>
        <v>1017.0922243770943</v>
      </c>
      <c r="P139" s="8">
        <f t="shared" si="8"/>
        <v>1784.1962379857875</v>
      </c>
      <c r="Q139" s="8">
        <f t="shared" si="9"/>
        <v>1180.4525952872723</v>
      </c>
      <c r="R139">
        <v>4.8500333995878046E-2</v>
      </c>
      <c r="S139">
        <v>5.2503584869787547E-2</v>
      </c>
      <c r="T139">
        <v>-6.6245184006078111E-3</v>
      </c>
    </row>
    <row r="140" spans="1:20" x14ac:dyDescent="0.25">
      <c r="A140">
        <v>137</v>
      </c>
      <c r="B140">
        <v>12</v>
      </c>
      <c r="C140">
        <v>5</v>
      </c>
      <c r="D140">
        <v>7.894E-3</v>
      </c>
      <c r="E140">
        <v>1.0666E-2</v>
      </c>
      <c r="F140">
        <v>1.0526000000000001E-2</v>
      </c>
      <c r="G140">
        <v>9.7050000000000001E-3</v>
      </c>
      <c r="H140">
        <v>1.3474E-2</v>
      </c>
      <c r="I140">
        <v>1.546E-2</v>
      </c>
      <c r="J140">
        <v>1.8238999999999998E-2</v>
      </c>
      <c r="K140">
        <v>1.9694E-2</v>
      </c>
      <c r="L140">
        <v>2.1669999999999998E-2</v>
      </c>
      <c r="M140">
        <v>2.5835E-2</v>
      </c>
      <c r="N140">
        <v>2.7862999999999999E-2</v>
      </c>
      <c r="O140" s="8">
        <f t="shared" si="7"/>
        <v>1013.9736972263451</v>
      </c>
      <c r="P140" s="8">
        <f t="shared" si="8"/>
        <v>1789.1723494384401</v>
      </c>
      <c r="Q140" s="8">
        <f t="shared" si="9"/>
        <v>1179.9801325515514</v>
      </c>
      <c r="R140">
        <v>-3.6179269751025339E-2</v>
      </c>
      <c r="S140">
        <v>3.3986103000626822E-2</v>
      </c>
      <c r="T140">
        <v>-4.7923051118782976E-3</v>
      </c>
    </row>
    <row r="141" spans="1:20" x14ac:dyDescent="0.25">
      <c r="A141">
        <v>138</v>
      </c>
      <c r="B141">
        <v>12</v>
      </c>
      <c r="C141">
        <v>6</v>
      </c>
      <c r="D141">
        <v>7.8220000000000008E-3</v>
      </c>
      <c r="E141">
        <v>1.0632000000000001E-2</v>
      </c>
      <c r="F141">
        <v>1.0614999999999999E-2</v>
      </c>
      <c r="G141">
        <v>9.7040000000000008E-3</v>
      </c>
      <c r="H141">
        <v>1.3491E-2</v>
      </c>
      <c r="I141">
        <v>1.5438E-2</v>
      </c>
      <c r="J141">
        <v>1.8235000000000001E-2</v>
      </c>
      <c r="K141">
        <v>1.9598999999999998E-2</v>
      </c>
      <c r="L141">
        <v>2.1739000000000001E-2</v>
      </c>
      <c r="M141">
        <v>2.5878999999999999E-2</v>
      </c>
      <c r="N141">
        <v>2.7817000000000001E-2</v>
      </c>
      <c r="O141" s="8">
        <f t="shared" si="7"/>
        <v>1010.9598982889432</v>
      </c>
      <c r="P141" s="8">
        <f t="shared" si="8"/>
        <v>1797.2755882552369</v>
      </c>
      <c r="Q141" s="8">
        <f t="shared" si="9"/>
        <v>1179.7168520987627</v>
      </c>
      <c r="R141">
        <v>-3.5089855266196367E-2</v>
      </c>
      <c r="S141">
        <v>5.5722973369953736E-2</v>
      </c>
      <c r="T141">
        <v>-2.6741901268155501E-3</v>
      </c>
    </row>
    <row r="142" spans="1:20" x14ac:dyDescent="0.25">
      <c r="A142">
        <v>139</v>
      </c>
      <c r="B142">
        <v>12</v>
      </c>
      <c r="C142">
        <v>7</v>
      </c>
      <c r="D142">
        <v>7.9170000000000004E-3</v>
      </c>
      <c r="E142">
        <v>1.0670000000000001E-2</v>
      </c>
      <c r="F142">
        <v>1.0527E-2</v>
      </c>
      <c r="G142">
        <v>9.7459999999999995E-3</v>
      </c>
      <c r="H142">
        <v>1.3539000000000001E-2</v>
      </c>
      <c r="I142">
        <v>1.5405E-2</v>
      </c>
      <c r="J142">
        <v>1.8199E-2</v>
      </c>
      <c r="K142">
        <v>1.9550000000000001E-2</v>
      </c>
      <c r="L142">
        <v>2.1756000000000001E-2</v>
      </c>
      <c r="M142">
        <v>2.5884000000000001E-2</v>
      </c>
      <c r="N142">
        <v>2.7775999999999999E-2</v>
      </c>
      <c r="O142" s="8">
        <f t="shared" si="7"/>
        <v>1007.0881937458325</v>
      </c>
      <c r="P142" s="8">
        <f t="shared" si="8"/>
        <v>1803.9901402618234</v>
      </c>
      <c r="Q142" s="8">
        <f t="shared" si="9"/>
        <v>1179.1601630855801</v>
      </c>
      <c r="R142">
        <v>-4.5001013089255727E-2</v>
      </c>
      <c r="S142">
        <v>4.576429295920946E-2</v>
      </c>
      <c r="T142">
        <v>-5.6479295772616572E-3</v>
      </c>
    </row>
    <row r="143" spans="1:20" x14ac:dyDescent="0.25">
      <c r="A143">
        <v>140</v>
      </c>
      <c r="B143">
        <v>12</v>
      </c>
      <c r="C143">
        <v>8</v>
      </c>
      <c r="D143">
        <v>7.9819999999999995E-3</v>
      </c>
      <c r="E143">
        <v>1.0583E-2</v>
      </c>
      <c r="F143">
        <v>1.0515E-2</v>
      </c>
      <c r="G143">
        <v>9.8370000000000003E-3</v>
      </c>
      <c r="H143">
        <v>1.3573E-2</v>
      </c>
      <c r="I143">
        <v>1.5468000000000001E-2</v>
      </c>
      <c r="J143">
        <v>1.8144E-2</v>
      </c>
      <c r="K143">
        <v>1.9487000000000001E-2</v>
      </c>
      <c r="L143">
        <v>2.1777999999999999E-2</v>
      </c>
      <c r="M143">
        <v>2.5793E-2</v>
      </c>
      <c r="N143">
        <v>2.7876000000000001E-2</v>
      </c>
      <c r="O143" s="8">
        <f t="shared" si="7"/>
        <v>1005.7549835071563</v>
      </c>
      <c r="P143" s="8">
        <f t="shared" si="8"/>
        <v>1810.3645665276035</v>
      </c>
      <c r="Q143" s="8">
        <f t="shared" si="9"/>
        <v>1178.2132360475036</v>
      </c>
      <c r="R143">
        <v>-1.5770763141462016E-2</v>
      </c>
      <c r="S143">
        <v>4.3236022055281202E-2</v>
      </c>
      <c r="T143">
        <v>-9.5941759400806313E-3</v>
      </c>
    </row>
    <row r="144" spans="1:20" x14ac:dyDescent="0.25">
      <c r="A144">
        <v>141</v>
      </c>
      <c r="B144">
        <v>12</v>
      </c>
      <c r="C144">
        <v>9</v>
      </c>
      <c r="D144">
        <v>7.9249999999999998E-3</v>
      </c>
      <c r="E144">
        <v>1.0623E-2</v>
      </c>
      <c r="F144">
        <v>1.0519000000000001E-2</v>
      </c>
      <c r="G144">
        <v>9.8650000000000005E-3</v>
      </c>
      <c r="H144">
        <v>1.3568E-2</v>
      </c>
      <c r="I144">
        <v>1.5440000000000001E-2</v>
      </c>
      <c r="J144">
        <v>1.8047000000000001E-2</v>
      </c>
      <c r="K144">
        <v>1.9429999999999999E-2</v>
      </c>
      <c r="L144">
        <v>2.171E-2</v>
      </c>
      <c r="M144">
        <v>2.5736999999999999E-2</v>
      </c>
      <c r="N144">
        <v>2.7934E-2</v>
      </c>
      <c r="O144" s="8">
        <f t="shared" si="7"/>
        <v>1008.906047764397</v>
      </c>
      <c r="P144" s="8">
        <f t="shared" si="8"/>
        <v>1819.0352109374194</v>
      </c>
      <c r="Q144" s="8">
        <f t="shared" si="9"/>
        <v>1177.0951075330818</v>
      </c>
      <c r="R144">
        <v>3.8251067524810924E-2</v>
      </c>
      <c r="S144">
        <v>5.901175244368443E-2</v>
      </c>
      <c r="T144">
        <v>-1.1328789823246395E-2</v>
      </c>
    </row>
    <row r="145" spans="1:20" x14ac:dyDescent="0.25">
      <c r="A145">
        <v>142</v>
      </c>
      <c r="B145">
        <v>12</v>
      </c>
      <c r="C145">
        <v>10</v>
      </c>
      <c r="D145">
        <v>7.8530000000000006E-3</v>
      </c>
      <c r="E145">
        <v>1.0718E-2</v>
      </c>
      <c r="F145">
        <v>1.0427000000000001E-2</v>
      </c>
      <c r="G145">
        <v>9.9170000000000005E-3</v>
      </c>
      <c r="H145">
        <v>1.3632999999999999E-2</v>
      </c>
      <c r="I145">
        <v>1.5458E-2</v>
      </c>
      <c r="J145">
        <v>1.8117999999999999E-2</v>
      </c>
      <c r="K145">
        <v>1.9344E-2</v>
      </c>
      <c r="L145">
        <v>2.1717E-2</v>
      </c>
      <c r="M145">
        <v>2.5666000000000001E-2</v>
      </c>
      <c r="N145">
        <v>2.7990999999999999E-2</v>
      </c>
      <c r="O145" s="8">
        <f t="shared" si="7"/>
        <v>1009.9138455723939</v>
      </c>
      <c r="P145" s="8">
        <f t="shared" si="8"/>
        <v>1826.5616779709405</v>
      </c>
      <c r="Q145" s="8">
        <f t="shared" si="9"/>
        <v>1176.2783261628988</v>
      </c>
      <c r="R145">
        <v>1.2052893370463287E-2</v>
      </c>
      <c r="S145">
        <v>5.0797018096254219E-2</v>
      </c>
      <c r="T145">
        <v>-8.2950447481329147E-3</v>
      </c>
    </row>
    <row r="146" spans="1:20" x14ac:dyDescent="0.25">
      <c r="A146">
        <v>143</v>
      </c>
      <c r="B146">
        <v>12</v>
      </c>
      <c r="C146">
        <v>11</v>
      </c>
      <c r="D146">
        <v>7.7799999999999996E-3</v>
      </c>
      <c r="E146">
        <v>1.0659999999999999E-2</v>
      </c>
      <c r="F146">
        <v>1.0338E-2</v>
      </c>
      <c r="G146">
        <v>9.8860000000000007E-3</v>
      </c>
      <c r="H146">
        <v>1.3587E-2</v>
      </c>
      <c r="I146">
        <v>1.5488E-2</v>
      </c>
      <c r="J146">
        <v>1.8183999999999999E-2</v>
      </c>
      <c r="K146">
        <v>1.9411000000000001E-2</v>
      </c>
      <c r="L146">
        <v>2.1654E-2</v>
      </c>
      <c r="M146">
        <v>2.5613E-2</v>
      </c>
      <c r="N146">
        <v>2.7965E-2</v>
      </c>
      <c r="O146" s="8">
        <f t="shared" si="7"/>
        <v>1006.2639078788101</v>
      </c>
      <c r="P146" s="8">
        <f t="shared" si="8"/>
        <v>1832.2802983025265</v>
      </c>
      <c r="Q146" s="8">
        <f t="shared" si="9"/>
        <v>1175.8553659533322</v>
      </c>
      <c r="R146">
        <v>-4.2517520072715129E-2</v>
      </c>
      <c r="S146">
        <v>3.8223468082942705E-2</v>
      </c>
      <c r="T146">
        <v>-4.3063760969589441E-3</v>
      </c>
    </row>
    <row r="147" spans="1:20" x14ac:dyDescent="0.25">
      <c r="A147">
        <v>144</v>
      </c>
      <c r="B147">
        <v>12</v>
      </c>
      <c r="C147">
        <v>12</v>
      </c>
      <c r="D147">
        <v>7.8040000000000002E-3</v>
      </c>
      <c r="E147">
        <v>1.0735E-2</v>
      </c>
      <c r="F147">
        <v>1.025E-2</v>
      </c>
      <c r="G147">
        <v>9.8370000000000003E-3</v>
      </c>
      <c r="H147">
        <v>1.3559999999999999E-2</v>
      </c>
      <c r="I147">
        <v>1.5440000000000001E-2</v>
      </c>
      <c r="J147">
        <v>1.8173999999999999E-2</v>
      </c>
      <c r="K147">
        <v>1.9477999999999999E-2</v>
      </c>
      <c r="L147">
        <v>2.1701999999999999E-2</v>
      </c>
      <c r="M147">
        <v>2.5680999999999999E-2</v>
      </c>
      <c r="N147">
        <v>2.8014000000000001E-2</v>
      </c>
      <c r="O147" s="8">
        <f t="shared" si="7"/>
        <v>1009.5469404708199</v>
      </c>
      <c r="P147" s="8">
        <f t="shared" si="8"/>
        <v>1839.0748757394822</v>
      </c>
      <c r="Q147" s="8">
        <f t="shared" si="9"/>
        <v>1175.9098683348143</v>
      </c>
      <c r="R147">
        <v>3.9861387765518216E-2</v>
      </c>
      <c r="S147">
        <v>4.5418050174096967E-2</v>
      </c>
      <c r="T147">
        <v>5.5635697660426364E-4</v>
      </c>
    </row>
    <row r="148" spans="1:20" x14ac:dyDescent="0.25">
      <c r="A148">
        <v>145</v>
      </c>
      <c r="B148">
        <v>13</v>
      </c>
      <c r="C148">
        <v>1</v>
      </c>
      <c r="D148">
        <v>7.7679999999999997E-3</v>
      </c>
      <c r="E148">
        <v>1.0808E-2</v>
      </c>
      <c r="F148">
        <v>1.0337000000000001E-2</v>
      </c>
      <c r="G148">
        <v>9.8689999999999993E-3</v>
      </c>
      <c r="H148">
        <v>1.3568E-2</v>
      </c>
      <c r="I148">
        <v>1.5528999999999999E-2</v>
      </c>
      <c r="J148">
        <v>1.8192E-2</v>
      </c>
      <c r="K148">
        <v>1.9574999999999999E-2</v>
      </c>
      <c r="L148">
        <v>2.162E-2</v>
      </c>
      <c r="M148">
        <v>2.5779E-2</v>
      </c>
      <c r="N148">
        <v>2.8022999999999999E-2</v>
      </c>
      <c r="O148" s="8">
        <f t="shared" si="7"/>
        <v>1012.0879490856847</v>
      </c>
      <c r="P148" s="8">
        <f t="shared" si="8"/>
        <v>1844.6825026608451</v>
      </c>
      <c r="Q148" s="8">
        <f t="shared" si="9"/>
        <v>1176.0797939319293</v>
      </c>
      <c r="R148">
        <v>3.0625400089626054E-2</v>
      </c>
      <c r="S148">
        <v>3.7209781969819375E-2</v>
      </c>
      <c r="T148">
        <v>1.7354464358172936E-3</v>
      </c>
    </row>
    <row r="149" spans="1:20" x14ac:dyDescent="0.25">
      <c r="A149">
        <v>146</v>
      </c>
      <c r="B149">
        <v>13</v>
      </c>
      <c r="C149">
        <v>2</v>
      </c>
      <c r="D149">
        <v>7.6759999999999997E-3</v>
      </c>
      <c r="E149">
        <v>1.0869E-2</v>
      </c>
      <c r="F149">
        <v>1.0423999999999999E-2</v>
      </c>
      <c r="G149">
        <v>9.8700000000000003E-3</v>
      </c>
      <c r="H149">
        <v>1.3479E-2</v>
      </c>
      <c r="I149">
        <v>1.5599E-2</v>
      </c>
      <c r="J149">
        <v>1.8098E-2</v>
      </c>
      <c r="K149">
        <v>1.9543000000000001E-2</v>
      </c>
      <c r="L149">
        <v>2.1708000000000002E-2</v>
      </c>
      <c r="M149">
        <v>2.5832999999999998E-2</v>
      </c>
      <c r="N149">
        <v>2.8077000000000001E-2</v>
      </c>
      <c r="O149" s="8">
        <f t="shared" si="7"/>
        <v>1010.4119694921098</v>
      </c>
      <c r="P149" s="8">
        <f t="shared" si="8"/>
        <v>1854.9817660498666</v>
      </c>
      <c r="Q149" s="8">
        <f t="shared" si="9"/>
        <v>1176.1756787378574</v>
      </c>
      <c r="R149">
        <v>-1.9691558201523848E-2</v>
      </c>
      <c r="S149">
        <v>6.9094755818454159E-2</v>
      </c>
      <c r="T149">
        <v>9.7878882561419026E-4</v>
      </c>
    </row>
    <row r="150" spans="1:20" x14ac:dyDescent="0.25">
      <c r="A150">
        <v>147</v>
      </c>
      <c r="B150">
        <v>13</v>
      </c>
      <c r="C150">
        <v>3</v>
      </c>
      <c r="D150">
        <v>7.6429999999999996E-3</v>
      </c>
      <c r="E150">
        <v>1.0926999999999999E-2</v>
      </c>
      <c r="F150">
        <v>1.0343E-2</v>
      </c>
      <c r="G150">
        <v>9.8930000000000008E-3</v>
      </c>
      <c r="H150">
        <v>1.3519E-2</v>
      </c>
      <c r="I150">
        <v>1.5561E-2</v>
      </c>
      <c r="J150">
        <v>1.8149999999999999E-2</v>
      </c>
      <c r="K150">
        <v>1.9562E-2</v>
      </c>
      <c r="L150">
        <v>2.1628999999999999E-2</v>
      </c>
      <c r="M150">
        <v>2.5849E-2</v>
      </c>
      <c r="N150">
        <v>2.8080000000000001E-2</v>
      </c>
      <c r="O150" s="8">
        <f t="shared" si="7"/>
        <v>1013.9174878529359</v>
      </c>
      <c r="P150" s="8">
        <f t="shared" si="8"/>
        <v>1861.7142689055481</v>
      </c>
      <c r="Q150" s="8">
        <f t="shared" si="9"/>
        <v>1176.0491656231063</v>
      </c>
      <c r="R150">
        <v>4.243642319598976E-2</v>
      </c>
      <c r="S150">
        <v>4.4433007829248826E-2</v>
      </c>
      <c r="T150">
        <v>-1.2899939939843459E-3</v>
      </c>
    </row>
    <row r="151" spans="1:20" x14ac:dyDescent="0.25">
      <c r="A151">
        <v>148</v>
      </c>
      <c r="B151">
        <v>13</v>
      </c>
      <c r="C151">
        <v>4</v>
      </c>
      <c r="D151">
        <v>7.5579999999999996E-3</v>
      </c>
      <c r="E151">
        <v>1.0906000000000001E-2</v>
      </c>
      <c r="F151">
        <v>1.0315E-2</v>
      </c>
      <c r="G151">
        <v>9.9019999999999993E-3</v>
      </c>
      <c r="H151">
        <v>1.3528E-2</v>
      </c>
      <c r="I151">
        <v>1.5633999999999999E-2</v>
      </c>
      <c r="J151">
        <v>1.8169999999999999E-2</v>
      </c>
      <c r="K151">
        <v>1.9497E-2</v>
      </c>
      <c r="L151">
        <v>2.1672E-2</v>
      </c>
      <c r="M151">
        <v>2.5798999999999999E-2</v>
      </c>
      <c r="N151">
        <v>2.8011000000000001E-2</v>
      </c>
      <c r="O151" s="8">
        <f t="shared" si="7"/>
        <v>1011.7066226131883</v>
      </c>
      <c r="P151" s="8">
        <f t="shared" si="8"/>
        <v>1872.148125767038</v>
      </c>
      <c r="Q151" s="8">
        <f t="shared" si="9"/>
        <v>1175.930924018058</v>
      </c>
      <c r="R151">
        <v>-2.5854677172454411E-2</v>
      </c>
      <c r="S151">
        <v>6.9365481529159195E-2</v>
      </c>
      <c r="T151">
        <v>-1.2058296076749471E-3</v>
      </c>
    </row>
    <row r="152" spans="1:20" x14ac:dyDescent="0.25">
      <c r="A152">
        <v>149</v>
      </c>
      <c r="B152">
        <v>13</v>
      </c>
      <c r="C152">
        <v>5</v>
      </c>
      <c r="D152">
        <v>7.5339999999999999E-3</v>
      </c>
      <c r="E152">
        <v>1.0838E-2</v>
      </c>
      <c r="F152">
        <v>1.0359E-2</v>
      </c>
      <c r="G152">
        <v>9.894E-3</v>
      </c>
      <c r="H152">
        <v>1.3585E-2</v>
      </c>
      <c r="I152">
        <v>1.5551000000000001E-2</v>
      </c>
      <c r="J152">
        <v>1.8204000000000001E-2</v>
      </c>
      <c r="K152">
        <v>1.9418000000000001E-2</v>
      </c>
      <c r="L152">
        <v>2.1576999999999999E-2</v>
      </c>
      <c r="M152">
        <v>2.5814E-2</v>
      </c>
      <c r="N152">
        <v>2.8055E-2</v>
      </c>
      <c r="O152" s="8">
        <f t="shared" si="7"/>
        <v>1012.0312770570208</v>
      </c>
      <c r="P152" s="8">
        <f t="shared" si="8"/>
        <v>1879.8313935002602</v>
      </c>
      <c r="Q152" s="8">
        <f t="shared" si="9"/>
        <v>1175.5744919659976</v>
      </c>
      <c r="R152">
        <v>3.8575774226199365E-3</v>
      </c>
      <c r="S152">
        <v>5.0374785329722664E-2</v>
      </c>
      <c r="T152">
        <v>-3.6312178788841707E-3</v>
      </c>
    </row>
    <row r="153" spans="1:20" x14ac:dyDescent="0.25">
      <c r="A153">
        <v>150</v>
      </c>
      <c r="B153">
        <v>13</v>
      </c>
      <c r="C153">
        <v>6</v>
      </c>
      <c r="D153">
        <v>7.5500000000000003E-3</v>
      </c>
      <c r="E153">
        <v>1.0779E-2</v>
      </c>
      <c r="F153">
        <v>1.0302E-2</v>
      </c>
      <c r="G153">
        <v>9.9129999999999999E-3</v>
      </c>
      <c r="H153">
        <v>1.3636000000000001E-2</v>
      </c>
      <c r="I153">
        <v>1.5633000000000001E-2</v>
      </c>
      <c r="J153">
        <v>1.8196E-2</v>
      </c>
      <c r="K153">
        <v>1.9486E-2</v>
      </c>
      <c r="L153">
        <v>2.1666000000000001E-2</v>
      </c>
      <c r="M153">
        <v>2.5869E-2</v>
      </c>
      <c r="N153">
        <v>2.8039000000000001E-2</v>
      </c>
      <c r="O153" s="8">
        <f t="shared" si="7"/>
        <v>1016.1528002389707</v>
      </c>
      <c r="P153" s="8">
        <f t="shared" si="8"/>
        <v>1885.0113375260676</v>
      </c>
      <c r="Q153" s="8">
        <f t="shared" si="9"/>
        <v>1175.0699151958988</v>
      </c>
      <c r="R153">
        <v>4.9979943506729498E-2</v>
      </c>
      <c r="S153">
        <v>3.357220648664553E-2</v>
      </c>
      <c r="T153">
        <v>-5.1384645498677361E-3</v>
      </c>
    </row>
    <row r="154" spans="1:20" x14ac:dyDescent="0.25">
      <c r="A154">
        <v>151</v>
      </c>
      <c r="B154">
        <v>13</v>
      </c>
      <c r="C154">
        <v>7</v>
      </c>
      <c r="D154">
        <v>7.4679999999999998E-3</v>
      </c>
      <c r="E154">
        <v>1.0834999999999999E-2</v>
      </c>
      <c r="F154">
        <v>1.0355E-2</v>
      </c>
      <c r="G154">
        <v>1.0012E-2</v>
      </c>
      <c r="H154">
        <v>1.3665E-2</v>
      </c>
      <c r="I154">
        <v>1.5654999999999999E-2</v>
      </c>
      <c r="J154">
        <v>1.821E-2</v>
      </c>
      <c r="K154">
        <v>1.9431E-2</v>
      </c>
      <c r="L154">
        <v>2.1590000000000002E-2</v>
      </c>
      <c r="M154">
        <v>2.5867000000000001E-2</v>
      </c>
      <c r="N154">
        <v>2.8001999999999999E-2</v>
      </c>
      <c r="O154" s="8">
        <f t="shared" si="7"/>
        <v>1013.8897194393769</v>
      </c>
      <c r="P154" s="8">
        <f t="shared" si="8"/>
        <v>1892.0557003338577</v>
      </c>
      <c r="Q154" s="8">
        <f t="shared" si="9"/>
        <v>1174.3361092071691</v>
      </c>
      <c r="R154">
        <v>-2.6400339242270539E-2</v>
      </c>
      <c r="S154">
        <v>4.5777779958627057E-2</v>
      </c>
      <c r="T154">
        <v>-7.468058177026277E-3</v>
      </c>
    </row>
    <row r="155" spans="1:20" x14ac:dyDescent="0.25">
      <c r="A155">
        <v>152</v>
      </c>
      <c r="B155">
        <v>13</v>
      </c>
      <c r="C155">
        <v>8</v>
      </c>
      <c r="D155">
        <v>7.4209999999999996E-3</v>
      </c>
      <c r="E155">
        <v>1.0921999999999999E-2</v>
      </c>
      <c r="F155">
        <v>1.0362E-2</v>
      </c>
      <c r="G155">
        <v>1.0109E-2</v>
      </c>
      <c r="H155">
        <v>1.3594999999999999E-2</v>
      </c>
      <c r="I155">
        <v>1.5599E-2</v>
      </c>
      <c r="J155">
        <v>1.8175E-2</v>
      </c>
      <c r="K155">
        <v>1.9508000000000001E-2</v>
      </c>
      <c r="L155">
        <v>2.1662000000000001E-2</v>
      </c>
      <c r="M155">
        <v>2.5883E-2</v>
      </c>
      <c r="N155">
        <v>2.7949000000000002E-2</v>
      </c>
      <c r="O155" s="8">
        <f t="shared" si="7"/>
        <v>1017.5358913729493</v>
      </c>
      <c r="P155" s="8">
        <f t="shared" si="8"/>
        <v>1900.0654912271348</v>
      </c>
      <c r="Q155" s="8">
        <f t="shared" si="9"/>
        <v>1174.0037675080987</v>
      </c>
      <c r="R155">
        <v>4.4018537791699175E-2</v>
      </c>
      <c r="S155">
        <v>5.2000231438407506E-2</v>
      </c>
      <c r="T155">
        <v>-3.3907657662722293E-3</v>
      </c>
    </row>
    <row r="156" spans="1:20" x14ac:dyDescent="0.25">
      <c r="A156">
        <v>153</v>
      </c>
      <c r="B156">
        <v>13</v>
      </c>
      <c r="C156">
        <v>9</v>
      </c>
      <c r="D156">
        <v>7.522E-3</v>
      </c>
      <c r="E156">
        <v>1.0994E-2</v>
      </c>
      <c r="F156">
        <v>1.0342E-2</v>
      </c>
      <c r="G156">
        <v>1.0187999999999999E-2</v>
      </c>
      <c r="H156">
        <v>1.3623E-2</v>
      </c>
      <c r="I156">
        <v>1.5663E-2</v>
      </c>
      <c r="J156">
        <v>1.8245000000000001E-2</v>
      </c>
      <c r="K156">
        <v>1.9519999999999999E-2</v>
      </c>
      <c r="L156">
        <v>2.1635000000000001E-2</v>
      </c>
      <c r="M156">
        <v>2.5974000000000001E-2</v>
      </c>
      <c r="N156">
        <v>2.7886999999999999E-2</v>
      </c>
      <c r="O156" s="8">
        <f t="shared" si="7"/>
        <v>1017.8571661826476</v>
      </c>
      <c r="P156" s="8">
        <f t="shared" si="8"/>
        <v>1906.0149124514351</v>
      </c>
      <c r="Q156" s="8">
        <f t="shared" si="9"/>
        <v>1174.0510221734253</v>
      </c>
      <c r="R156">
        <v>3.7954432404298218E-3</v>
      </c>
      <c r="S156">
        <v>3.822787571190997E-2</v>
      </c>
      <c r="T156">
        <v>4.8311730436763171E-4</v>
      </c>
    </row>
    <row r="157" spans="1:20" x14ac:dyDescent="0.25">
      <c r="A157">
        <v>154</v>
      </c>
      <c r="B157">
        <v>13</v>
      </c>
      <c r="C157">
        <v>10</v>
      </c>
      <c r="D157">
        <v>7.607E-3</v>
      </c>
      <c r="E157">
        <v>1.1035E-2</v>
      </c>
      <c r="F157">
        <v>1.0260999999999999E-2</v>
      </c>
      <c r="G157">
        <v>1.0118E-2</v>
      </c>
      <c r="H157">
        <v>1.354E-2</v>
      </c>
      <c r="I157">
        <v>1.5617000000000001E-2</v>
      </c>
      <c r="J157">
        <v>1.8197999999999999E-2</v>
      </c>
      <c r="K157">
        <v>1.95E-2</v>
      </c>
      <c r="L157">
        <v>2.1652999999999999E-2</v>
      </c>
      <c r="M157">
        <v>2.6017999999999999E-2</v>
      </c>
      <c r="N157">
        <v>2.7806000000000001E-2</v>
      </c>
      <c r="O157" s="8">
        <f t="shared" si="7"/>
        <v>1015.7553302635547</v>
      </c>
      <c r="P157" s="8">
        <f t="shared" si="8"/>
        <v>1914.0119655742917</v>
      </c>
      <c r="Q157" s="8">
        <f t="shared" si="9"/>
        <v>1173.740904463428</v>
      </c>
      <c r="R157">
        <v>-2.4500038476077547E-2</v>
      </c>
      <c r="S157">
        <v>5.1526571125097141E-2</v>
      </c>
      <c r="T157">
        <v>-3.1651187071143885E-3</v>
      </c>
    </row>
    <row r="158" spans="1:20" x14ac:dyDescent="0.25">
      <c r="A158">
        <v>155</v>
      </c>
      <c r="B158">
        <v>13</v>
      </c>
      <c r="C158">
        <v>11</v>
      </c>
      <c r="D158">
        <v>7.6290000000000004E-3</v>
      </c>
      <c r="E158">
        <v>1.1126E-2</v>
      </c>
      <c r="F158">
        <v>1.0237E-2</v>
      </c>
      <c r="G158">
        <v>1.0177E-2</v>
      </c>
      <c r="H158">
        <v>1.3474E-2</v>
      </c>
      <c r="I158">
        <v>1.5523E-2</v>
      </c>
      <c r="J158">
        <v>1.8187999999999999E-2</v>
      </c>
      <c r="K158">
        <v>1.9472E-2</v>
      </c>
      <c r="L158">
        <v>2.1579000000000001E-2</v>
      </c>
      <c r="M158">
        <v>2.6055999999999999E-2</v>
      </c>
      <c r="N158">
        <v>2.7816E-2</v>
      </c>
      <c r="O158" s="8">
        <f t="shared" si="7"/>
        <v>1019.4863897401546</v>
      </c>
      <c r="P158" s="8">
        <f t="shared" si="8"/>
        <v>1922.7921314590565</v>
      </c>
      <c r="Q158" s="8">
        <f t="shared" si="9"/>
        <v>1173.2941492652533</v>
      </c>
      <c r="R158">
        <v>4.4979732256880581E-2</v>
      </c>
      <c r="S158">
        <v>5.6458040986455786E-2</v>
      </c>
      <c r="T158">
        <v>-4.5579510214930957E-3</v>
      </c>
    </row>
    <row r="159" spans="1:20" x14ac:dyDescent="0.25">
      <c r="A159">
        <v>156</v>
      </c>
      <c r="B159">
        <v>13</v>
      </c>
      <c r="C159">
        <v>12</v>
      </c>
      <c r="D159">
        <v>7.6229999999999996E-3</v>
      </c>
      <c r="E159">
        <v>1.1076000000000001E-2</v>
      </c>
      <c r="F159">
        <v>1.0155000000000001E-2</v>
      </c>
      <c r="G159">
        <v>1.0276E-2</v>
      </c>
      <c r="H159">
        <v>1.3391999999999999E-2</v>
      </c>
      <c r="I159">
        <v>1.5504E-2</v>
      </c>
      <c r="J159">
        <v>1.822E-2</v>
      </c>
      <c r="K159">
        <v>1.9417E-2</v>
      </c>
      <c r="L159">
        <v>2.1526E-2</v>
      </c>
      <c r="M159">
        <v>2.6041999999999999E-2</v>
      </c>
      <c r="N159">
        <v>2.7834000000000001E-2</v>
      </c>
      <c r="O159" s="8">
        <f t="shared" si="7"/>
        <v>1016.2050143393269</v>
      </c>
      <c r="P159" s="8">
        <f t="shared" si="8"/>
        <v>1931.5295652789441</v>
      </c>
      <c r="Q159" s="8">
        <f t="shared" si="9"/>
        <v>1172.4678411642903</v>
      </c>
      <c r="R159">
        <v>-3.7947405023354593E-2</v>
      </c>
      <c r="S159">
        <v>5.5913365117171404E-2</v>
      </c>
      <c r="T159">
        <v>-8.4185021259261979E-3</v>
      </c>
    </row>
    <row r="160" spans="1:20" x14ac:dyDescent="0.25">
      <c r="A160">
        <v>157</v>
      </c>
      <c r="B160">
        <v>14</v>
      </c>
      <c r="C160">
        <v>1</v>
      </c>
      <c r="D160">
        <v>7.7210000000000004E-3</v>
      </c>
      <c r="E160">
        <v>1.1105E-2</v>
      </c>
      <c r="F160">
        <v>1.0134000000000001E-2</v>
      </c>
      <c r="G160">
        <v>1.0251E-2</v>
      </c>
      <c r="H160">
        <v>1.3487000000000001E-2</v>
      </c>
      <c r="I160">
        <v>1.5429999999999999E-2</v>
      </c>
      <c r="J160">
        <v>1.8249999999999999E-2</v>
      </c>
      <c r="K160">
        <v>1.9503E-2</v>
      </c>
      <c r="L160">
        <v>2.1579999999999998E-2</v>
      </c>
      <c r="M160">
        <v>2.6067E-2</v>
      </c>
      <c r="N160">
        <v>2.7767E-2</v>
      </c>
      <c r="O160" s="8">
        <f t="shared" si="7"/>
        <v>1013.5427453138153</v>
      </c>
      <c r="P160" s="8">
        <f t="shared" si="8"/>
        <v>1937.9530852427411</v>
      </c>
      <c r="Q160" s="8">
        <f t="shared" si="9"/>
        <v>1171.4101983388903</v>
      </c>
      <c r="R160">
        <v>-3.0988724850468569E-2</v>
      </c>
      <c r="S160">
        <v>4.0645449702373618E-2</v>
      </c>
      <c r="T160">
        <v>-1.0771241861569469E-2</v>
      </c>
    </row>
    <row r="161" spans="1:20" x14ac:dyDescent="0.25">
      <c r="A161">
        <v>158</v>
      </c>
      <c r="B161">
        <v>14</v>
      </c>
      <c r="C161">
        <v>2</v>
      </c>
      <c r="D161">
        <v>7.7210000000000004E-3</v>
      </c>
      <c r="E161">
        <v>1.1131E-2</v>
      </c>
      <c r="F161">
        <v>1.0101000000000001E-2</v>
      </c>
      <c r="G161">
        <v>1.0184E-2</v>
      </c>
      <c r="H161">
        <v>1.3504E-2</v>
      </c>
      <c r="I161">
        <v>1.5339E-2</v>
      </c>
      <c r="J161">
        <v>1.8339999999999999E-2</v>
      </c>
      <c r="K161">
        <v>1.9451E-2</v>
      </c>
      <c r="L161">
        <v>2.1562999999999999E-2</v>
      </c>
      <c r="M161">
        <v>2.6039E-2</v>
      </c>
      <c r="N161">
        <v>2.7779999999999999E-2</v>
      </c>
      <c r="O161" s="8">
        <f t="shared" si="7"/>
        <v>1011.6919475409221</v>
      </c>
      <c r="P161" s="8">
        <f t="shared" si="8"/>
        <v>1946.8645822080478</v>
      </c>
      <c r="Q161" s="8">
        <f t="shared" si="9"/>
        <v>1169.8906925165084</v>
      </c>
      <c r="R161">
        <v>-2.169406916873896E-2</v>
      </c>
      <c r="S161">
        <v>5.6598091102886723E-2</v>
      </c>
      <c r="T161">
        <v>-1.5455339225029341E-2</v>
      </c>
    </row>
    <row r="162" spans="1:20" x14ac:dyDescent="0.25">
      <c r="A162">
        <v>159</v>
      </c>
      <c r="B162">
        <v>14</v>
      </c>
      <c r="C162">
        <v>3</v>
      </c>
      <c r="D162">
        <v>7.626E-3</v>
      </c>
      <c r="E162">
        <v>1.1117999999999999E-2</v>
      </c>
      <c r="F162">
        <v>1.0104E-2</v>
      </c>
      <c r="G162">
        <v>1.0097E-2</v>
      </c>
      <c r="H162">
        <v>1.3535E-2</v>
      </c>
      <c r="I162">
        <v>1.5403999999999999E-2</v>
      </c>
      <c r="J162">
        <v>1.8335000000000001E-2</v>
      </c>
      <c r="K162">
        <v>1.9368E-2</v>
      </c>
      <c r="L162">
        <v>2.1482000000000001E-2</v>
      </c>
      <c r="M162">
        <v>2.6030999999999999E-2</v>
      </c>
      <c r="N162">
        <v>2.7833E-2</v>
      </c>
      <c r="O162" s="8">
        <f t="shared" si="7"/>
        <v>1009.1212666361064</v>
      </c>
      <c r="P162" s="8">
        <f t="shared" si="8"/>
        <v>1952.8066277637092</v>
      </c>
      <c r="Q162" s="8">
        <f t="shared" si="9"/>
        <v>1168.3662241786451</v>
      </c>
      <c r="R162">
        <v>-3.006912111351269E-2</v>
      </c>
      <c r="S162">
        <v>3.7246437319747895E-2</v>
      </c>
      <c r="T162">
        <v>-1.5525448746276434E-2</v>
      </c>
    </row>
    <row r="163" spans="1:20" x14ac:dyDescent="0.25">
      <c r="A163">
        <v>160</v>
      </c>
      <c r="B163">
        <v>14</v>
      </c>
      <c r="C163">
        <v>4</v>
      </c>
      <c r="D163">
        <v>7.5929999999999999E-3</v>
      </c>
      <c r="E163">
        <v>1.1057000000000001E-2</v>
      </c>
      <c r="F163">
        <v>1.0123E-2</v>
      </c>
      <c r="G163">
        <v>1.013E-2</v>
      </c>
      <c r="H163">
        <v>1.3611E-2</v>
      </c>
      <c r="I163">
        <v>1.5384999999999999E-2</v>
      </c>
      <c r="J163">
        <v>1.8384000000000001E-2</v>
      </c>
      <c r="K163">
        <v>1.9424E-2</v>
      </c>
      <c r="L163">
        <v>2.1399999999999999E-2</v>
      </c>
      <c r="M163">
        <v>2.6082000000000001E-2</v>
      </c>
      <c r="N163">
        <v>2.785E-2</v>
      </c>
      <c r="O163" s="8">
        <f t="shared" si="7"/>
        <v>1011.3713207014213</v>
      </c>
      <c r="P163" s="8">
        <f t="shared" si="8"/>
        <v>1960.2278318754115</v>
      </c>
      <c r="Q163" s="8">
        <f t="shared" si="9"/>
        <v>1166.6513443370225</v>
      </c>
      <c r="R163">
        <v>2.7087173675546035E-2</v>
      </c>
      <c r="S163">
        <v>4.6568668481716431E-2</v>
      </c>
      <c r="T163">
        <v>-1.7471614450804147E-2</v>
      </c>
    </row>
    <row r="164" spans="1:20" x14ac:dyDescent="0.25">
      <c r="A164">
        <v>161</v>
      </c>
      <c r="B164">
        <v>14</v>
      </c>
      <c r="C164">
        <v>5</v>
      </c>
      <c r="D164">
        <v>7.5119999999999996E-3</v>
      </c>
      <c r="E164">
        <v>1.1157E-2</v>
      </c>
      <c r="F164">
        <v>1.0115000000000001E-2</v>
      </c>
      <c r="G164">
        <v>1.0142999999999999E-2</v>
      </c>
      <c r="H164">
        <v>1.3558000000000001E-2</v>
      </c>
      <c r="I164">
        <v>1.5435000000000001E-2</v>
      </c>
      <c r="J164">
        <v>1.8415999999999998E-2</v>
      </c>
      <c r="K164">
        <v>1.9479E-2</v>
      </c>
      <c r="L164">
        <v>2.1471000000000001E-2</v>
      </c>
      <c r="M164">
        <v>2.6093000000000002E-2</v>
      </c>
      <c r="N164">
        <v>2.776E-2</v>
      </c>
      <c r="O164" s="8">
        <f t="shared" si="7"/>
        <v>1008.541155727436</v>
      </c>
      <c r="P164" s="8">
        <f t="shared" si="8"/>
        <v>1969.3930980463081</v>
      </c>
      <c r="Q164" s="8">
        <f t="shared" si="9"/>
        <v>1165.254223322082</v>
      </c>
      <c r="R164">
        <v>-3.3068091764971386E-2</v>
      </c>
      <c r="S164">
        <v>5.7572927633660342E-2</v>
      </c>
      <c r="T164">
        <v>-1.4276301131229751E-2</v>
      </c>
    </row>
    <row r="165" spans="1:20" x14ac:dyDescent="0.25">
      <c r="A165">
        <v>162</v>
      </c>
      <c r="B165">
        <v>14</v>
      </c>
      <c r="C165">
        <v>6</v>
      </c>
      <c r="D165">
        <v>7.4840000000000002E-3</v>
      </c>
      <c r="E165">
        <v>1.1198E-2</v>
      </c>
      <c r="F165">
        <v>1.0029E-2</v>
      </c>
      <c r="G165">
        <v>1.0156E-2</v>
      </c>
      <c r="H165">
        <v>1.3478E-2</v>
      </c>
      <c r="I165">
        <v>1.5424E-2</v>
      </c>
      <c r="J165">
        <v>1.8489999999999999E-2</v>
      </c>
      <c r="K165">
        <v>1.9503E-2</v>
      </c>
      <c r="L165">
        <v>2.1562999999999999E-2</v>
      </c>
      <c r="M165">
        <v>2.6030999999999999E-2</v>
      </c>
      <c r="N165">
        <v>2.7675000000000002E-2</v>
      </c>
      <c r="O165" s="8">
        <f t="shared" si="7"/>
        <v>1005.283251760246</v>
      </c>
      <c r="P165" s="8">
        <f t="shared" si="8"/>
        <v>1978.0895587278619</v>
      </c>
      <c r="Q165" s="8">
        <f t="shared" si="9"/>
        <v>1163.7296287617594</v>
      </c>
      <c r="R165">
        <v>-3.808241743813242E-2</v>
      </c>
      <c r="S165">
        <v>5.4295779384833216E-2</v>
      </c>
      <c r="T165">
        <v>-1.5588060938434277E-2</v>
      </c>
    </row>
    <row r="166" spans="1:20" x14ac:dyDescent="0.25">
      <c r="A166">
        <v>163</v>
      </c>
      <c r="B166">
        <v>14</v>
      </c>
      <c r="C166">
        <v>7</v>
      </c>
      <c r="D166">
        <v>7.5129999999999997E-3</v>
      </c>
      <c r="E166">
        <v>1.1277000000000001E-2</v>
      </c>
      <c r="F166">
        <v>1.0120000000000001E-2</v>
      </c>
      <c r="G166">
        <v>1.0201999999999999E-2</v>
      </c>
      <c r="H166">
        <v>1.3443E-2</v>
      </c>
      <c r="I166">
        <v>1.5398E-2</v>
      </c>
      <c r="J166">
        <v>1.8511E-2</v>
      </c>
      <c r="K166">
        <v>1.9408999999999999E-2</v>
      </c>
      <c r="L166">
        <v>2.1505E-2</v>
      </c>
      <c r="M166">
        <v>2.6082000000000001E-2</v>
      </c>
      <c r="N166">
        <v>2.7598000000000001E-2</v>
      </c>
      <c r="O166" s="8">
        <f t="shared" si="7"/>
        <v>1008.2407905307826</v>
      </c>
      <c r="P166" s="8">
        <f t="shared" si="8"/>
        <v>1986.6764979181344</v>
      </c>
      <c r="Q166" s="8">
        <f t="shared" si="9"/>
        <v>1162.6006762737106</v>
      </c>
      <c r="R166">
        <v>3.5880837207502354E-2</v>
      </c>
      <c r="S166">
        <v>5.3354229712527033E-2</v>
      </c>
      <c r="T166">
        <v>-1.1579475674526898E-2</v>
      </c>
    </row>
    <row r="167" spans="1:20" x14ac:dyDescent="0.25">
      <c r="A167">
        <v>164</v>
      </c>
      <c r="B167">
        <v>14</v>
      </c>
      <c r="C167">
        <v>8</v>
      </c>
      <c r="D167">
        <v>7.5249999999999996E-3</v>
      </c>
      <c r="E167">
        <v>1.1247E-2</v>
      </c>
      <c r="F167">
        <v>1.0064E-2</v>
      </c>
      <c r="G167">
        <v>1.0208999999999999E-2</v>
      </c>
      <c r="H167">
        <v>1.3504E-2</v>
      </c>
      <c r="I167">
        <v>1.5472E-2</v>
      </c>
      <c r="J167">
        <v>1.8512000000000001E-2</v>
      </c>
      <c r="K167">
        <v>1.9487000000000001E-2</v>
      </c>
      <c r="L167">
        <v>2.1481E-2</v>
      </c>
      <c r="M167">
        <v>2.5985999999999999E-2</v>
      </c>
      <c r="N167">
        <v>2.7566E-2</v>
      </c>
      <c r="O167" s="8">
        <f t="shared" si="7"/>
        <v>1007.6276000586837</v>
      </c>
      <c r="P167" s="8">
        <f t="shared" si="8"/>
        <v>1995.5017961463097</v>
      </c>
      <c r="Q167" s="8">
        <f t="shared" si="9"/>
        <v>1161.5799061966547</v>
      </c>
      <c r="R167">
        <v>-7.2737804582354371E-3</v>
      </c>
      <c r="S167">
        <v>5.4628798334578559E-2</v>
      </c>
      <c r="T167">
        <v>-1.0485338585685167E-2</v>
      </c>
    </row>
    <row r="168" spans="1:20" x14ac:dyDescent="0.25">
      <c r="A168">
        <v>165</v>
      </c>
      <c r="B168">
        <v>14</v>
      </c>
      <c r="C168">
        <v>9</v>
      </c>
      <c r="D168">
        <v>7.4359999999999999E-3</v>
      </c>
      <c r="E168">
        <v>1.1313999999999999E-2</v>
      </c>
      <c r="F168">
        <v>1.0052E-2</v>
      </c>
      <c r="G168">
        <v>1.0279999999999999E-2</v>
      </c>
      <c r="H168">
        <v>1.3603000000000001E-2</v>
      </c>
      <c r="I168">
        <v>1.5533999999999999E-2</v>
      </c>
      <c r="J168">
        <v>1.8606000000000001E-2</v>
      </c>
      <c r="K168">
        <v>1.9439999999999999E-2</v>
      </c>
      <c r="L168">
        <v>2.1479999999999999E-2</v>
      </c>
      <c r="M168">
        <v>2.6022E-2</v>
      </c>
      <c r="N168">
        <v>2.7646E-2</v>
      </c>
      <c r="O168" s="8">
        <f t="shared" si="7"/>
        <v>1005.0321310496091</v>
      </c>
      <c r="P168" s="8">
        <f t="shared" si="8"/>
        <v>2002.4133000647194</v>
      </c>
      <c r="Q168" s="8">
        <f t="shared" si="9"/>
        <v>1160.4135404569645</v>
      </c>
      <c r="R168">
        <v>-3.0475697622779227E-2</v>
      </c>
      <c r="S168">
        <v>4.2363458285999592E-2</v>
      </c>
      <c r="T168">
        <v>-1.1983118537504688E-2</v>
      </c>
    </row>
    <row r="169" spans="1:20" x14ac:dyDescent="0.25">
      <c r="A169">
        <v>166</v>
      </c>
      <c r="B169">
        <v>14</v>
      </c>
      <c r="C169">
        <v>10</v>
      </c>
      <c r="D169">
        <v>7.3419999999999996E-3</v>
      </c>
      <c r="E169">
        <v>1.1272000000000001E-2</v>
      </c>
      <c r="F169">
        <v>1.0059999999999999E-2</v>
      </c>
      <c r="G169">
        <v>1.0345999999999999E-2</v>
      </c>
      <c r="H169">
        <v>1.3566999999999999E-2</v>
      </c>
      <c r="I169">
        <v>1.5611E-2</v>
      </c>
      <c r="J169">
        <v>1.8544999999999999E-2</v>
      </c>
      <c r="K169">
        <v>1.9525000000000001E-2</v>
      </c>
      <c r="L169">
        <v>2.1575E-2</v>
      </c>
      <c r="M169">
        <v>2.5965999999999999E-2</v>
      </c>
      <c r="N169">
        <v>2.7581999999999999E-2</v>
      </c>
      <c r="O169" s="8">
        <f t="shared" si="7"/>
        <v>1004.1134069307822</v>
      </c>
      <c r="P169" s="8">
        <f t="shared" si="8"/>
        <v>2008.3318689484599</v>
      </c>
      <c r="Q169" s="8">
        <f t="shared" si="9"/>
        <v>1159.213487167189</v>
      </c>
      <c r="R169">
        <v>-1.0914506109243808E-2</v>
      </c>
      <c r="S169">
        <v>3.6050927601452121E-2</v>
      </c>
      <c r="T169">
        <v>-1.2339576856381314E-2</v>
      </c>
    </row>
    <row r="170" spans="1:20" x14ac:dyDescent="0.25">
      <c r="A170">
        <v>167</v>
      </c>
      <c r="B170">
        <v>14</v>
      </c>
      <c r="C170">
        <v>11</v>
      </c>
      <c r="D170">
        <v>7.2509999999999996E-3</v>
      </c>
      <c r="E170">
        <v>1.1254999999999999E-2</v>
      </c>
      <c r="F170">
        <v>1.0002E-2</v>
      </c>
      <c r="G170">
        <v>1.035E-2</v>
      </c>
      <c r="H170">
        <v>1.3661E-2</v>
      </c>
      <c r="I170">
        <v>1.5585999999999999E-2</v>
      </c>
      <c r="J170">
        <v>1.8492999999999999E-2</v>
      </c>
      <c r="K170">
        <v>1.9480999999999998E-2</v>
      </c>
      <c r="L170">
        <v>2.1477E-2</v>
      </c>
      <c r="M170">
        <v>2.5916999999999999E-2</v>
      </c>
      <c r="N170">
        <v>2.7667000000000001E-2</v>
      </c>
      <c r="O170" s="8">
        <f t="shared" si="7"/>
        <v>1003.7554347060257</v>
      </c>
      <c r="P170" s="8">
        <f t="shared" si="8"/>
        <v>2016.8584051568225</v>
      </c>
      <c r="Q170" s="8">
        <f t="shared" si="9"/>
        <v>1157.814992426838</v>
      </c>
      <c r="R170">
        <v>-4.2696908575874104E-3</v>
      </c>
      <c r="S170">
        <v>5.2153620620092808E-2</v>
      </c>
      <c r="T170">
        <v>-1.4381328877104716E-2</v>
      </c>
    </row>
    <row r="171" spans="1:20" x14ac:dyDescent="0.25">
      <c r="A171">
        <v>168</v>
      </c>
      <c r="B171">
        <v>14</v>
      </c>
      <c r="C171">
        <v>12</v>
      </c>
      <c r="D171">
        <v>7.2859999999999999E-3</v>
      </c>
      <c r="E171">
        <v>1.1202999999999999E-2</v>
      </c>
      <c r="F171">
        <v>9.9369999999999997E-3</v>
      </c>
      <c r="G171">
        <v>1.0278000000000001E-2</v>
      </c>
      <c r="H171">
        <v>1.3618E-2</v>
      </c>
      <c r="I171">
        <v>1.553E-2</v>
      </c>
      <c r="J171">
        <v>1.8402999999999999E-2</v>
      </c>
      <c r="K171">
        <v>1.9574000000000001E-2</v>
      </c>
      <c r="L171">
        <v>2.1455999999999999E-2</v>
      </c>
      <c r="M171">
        <v>2.5981000000000001E-2</v>
      </c>
      <c r="N171">
        <v>2.7616000000000002E-2</v>
      </c>
      <c r="O171" s="8">
        <f t="shared" si="7"/>
        <v>1000.884105290869</v>
      </c>
      <c r="P171" s="8">
        <f t="shared" si="8"/>
        <v>2022.5955281036149</v>
      </c>
      <c r="Q171" s="8">
        <f t="shared" si="9"/>
        <v>1156.0900350628729</v>
      </c>
      <c r="R171">
        <v>-3.379208170027348E-2</v>
      </c>
      <c r="S171">
        <v>3.4674152578332965E-2</v>
      </c>
      <c r="T171">
        <v>-1.7732292367473305E-2</v>
      </c>
    </row>
    <row r="172" spans="1:20" x14ac:dyDescent="0.25">
      <c r="A172">
        <v>169</v>
      </c>
      <c r="B172">
        <v>15</v>
      </c>
      <c r="C172">
        <v>1</v>
      </c>
      <c r="D172">
        <v>7.2700000000000004E-3</v>
      </c>
      <c r="E172">
        <v>1.1180000000000001E-2</v>
      </c>
      <c r="F172">
        <v>1.0026E-2</v>
      </c>
      <c r="G172">
        <v>1.0326E-2</v>
      </c>
      <c r="H172">
        <v>1.3542999999999999E-2</v>
      </c>
      <c r="I172">
        <v>1.5573E-2</v>
      </c>
      <c r="J172">
        <v>1.8499000000000002E-2</v>
      </c>
      <c r="K172">
        <v>1.9567000000000001E-2</v>
      </c>
      <c r="L172">
        <v>2.1394E-2</v>
      </c>
      <c r="M172">
        <v>2.5923000000000002E-2</v>
      </c>
      <c r="N172">
        <v>2.7681000000000001E-2</v>
      </c>
      <c r="O172" s="8">
        <f t="shared" si="7"/>
        <v>999.51041699291159</v>
      </c>
      <c r="P172" s="8">
        <f t="shared" si="8"/>
        <v>2032.1651754920001</v>
      </c>
      <c r="Q172" s="8">
        <f t="shared" si="9"/>
        <v>1154.2895486587092</v>
      </c>
      <c r="R172">
        <v>-1.6345942281646868E-2</v>
      </c>
      <c r="S172">
        <v>5.8277455722263727E-2</v>
      </c>
      <c r="T172">
        <v>-1.8529461647975799E-2</v>
      </c>
    </row>
    <row r="173" spans="1:20" x14ac:dyDescent="0.25">
      <c r="A173">
        <v>170</v>
      </c>
      <c r="B173">
        <v>15</v>
      </c>
      <c r="C173">
        <v>2</v>
      </c>
      <c r="D173">
        <v>7.3530000000000002E-3</v>
      </c>
      <c r="E173">
        <v>1.1136E-2</v>
      </c>
      <c r="F173">
        <v>9.9780000000000008E-3</v>
      </c>
      <c r="G173">
        <v>1.0378E-2</v>
      </c>
      <c r="H173">
        <v>1.3639E-2</v>
      </c>
      <c r="I173">
        <v>1.5476999999999999E-2</v>
      </c>
      <c r="J173">
        <v>1.8457000000000001E-2</v>
      </c>
      <c r="K173">
        <v>1.9587E-2</v>
      </c>
      <c r="L173">
        <v>2.1371999999999999E-2</v>
      </c>
      <c r="M173">
        <v>2.5918E-2</v>
      </c>
      <c r="N173">
        <v>2.7725E-2</v>
      </c>
      <c r="O173" s="8">
        <f t="shared" si="7"/>
        <v>996.66848983426689</v>
      </c>
      <c r="P173" s="8">
        <f t="shared" si="8"/>
        <v>2040.2685452666221</v>
      </c>
      <c r="Q173" s="8">
        <f t="shared" si="9"/>
        <v>1152.6769031662261</v>
      </c>
      <c r="R173">
        <v>-3.3591280635127327E-2</v>
      </c>
      <c r="S173">
        <v>4.8914170306358577E-2</v>
      </c>
      <c r="T173">
        <v>-1.6636846108433526E-2</v>
      </c>
    </row>
    <row r="174" spans="1:20" x14ac:dyDescent="0.25">
      <c r="A174">
        <v>171</v>
      </c>
      <c r="B174">
        <v>15</v>
      </c>
      <c r="C174">
        <v>3</v>
      </c>
      <c r="D174">
        <v>7.358E-3</v>
      </c>
      <c r="E174">
        <v>1.1046E-2</v>
      </c>
      <c r="F174">
        <v>1.0055E-2</v>
      </c>
      <c r="G174">
        <v>1.0356000000000001E-2</v>
      </c>
      <c r="H174">
        <v>1.3668E-2</v>
      </c>
      <c r="I174">
        <v>1.5441E-2</v>
      </c>
      <c r="J174">
        <v>1.8377000000000001E-2</v>
      </c>
      <c r="K174">
        <v>1.9615E-2</v>
      </c>
      <c r="L174">
        <v>2.1366E-2</v>
      </c>
      <c r="M174">
        <v>2.5951999999999999E-2</v>
      </c>
      <c r="N174">
        <v>2.7633000000000001E-2</v>
      </c>
      <c r="O174" s="8">
        <f t="shared" si="7"/>
        <v>998.39583225878437</v>
      </c>
      <c r="P174" s="8">
        <f t="shared" si="8"/>
        <v>2050.5387948256043</v>
      </c>
      <c r="Q174" s="8">
        <f t="shared" si="9"/>
        <v>1151.0001029298799</v>
      </c>
      <c r="R174">
        <v>2.0996789256361288E-2</v>
      </c>
      <c r="S174">
        <v>6.2106028121505265E-2</v>
      </c>
      <c r="T174">
        <v>-1.7317420725068096E-2</v>
      </c>
    </row>
    <row r="175" spans="1:20" x14ac:dyDescent="0.25">
      <c r="A175">
        <v>172</v>
      </c>
      <c r="B175">
        <v>15</v>
      </c>
      <c r="C175">
        <v>4</v>
      </c>
      <c r="D175">
        <v>7.2690000000000003E-3</v>
      </c>
      <c r="E175">
        <v>1.1136999999999999E-2</v>
      </c>
      <c r="F175">
        <v>1.0038999999999999E-2</v>
      </c>
      <c r="G175">
        <v>1.0345999999999999E-2</v>
      </c>
      <c r="H175">
        <v>1.3639999999999999E-2</v>
      </c>
      <c r="I175">
        <v>1.5441E-2</v>
      </c>
      <c r="J175">
        <v>1.8343000000000002E-2</v>
      </c>
      <c r="K175">
        <v>1.9581000000000001E-2</v>
      </c>
      <c r="L175">
        <v>2.1385999999999999E-2</v>
      </c>
      <c r="M175">
        <v>2.6016999999999998E-2</v>
      </c>
      <c r="N175">
        <v>2.7646E-2</v>
      </c>
      <c r="O175" s="8">
        <f t="shared" si="7"/>
        <v>997.75395582343458</v>
      </c>
      <c r="P175" s="8">
        <f t="shared" si="8"/>
        <v>2055.8648622650167</v>
      </c>
      <c r="Q175" s="8">
        <f t="shared" si="9"/>
        <v>1149.4993015837006</v>
      </c>
      <c r="R175">
        <v>-7.6876717776437984E-3</v>
      </c>
      <c r="S175">
        <v>3.1617933680282942E-2</v>
      </c>
      <c r="T175">
        <v>-1.5535202563400845E-2</v>
      </c>
    </row>
    <row r="176" spans="1:20" x14ac:dyDescent="0.25">
      <c r="A176">
        <v>173</v>
      </c>
      <c r="B176">
        <v>15</v>
      </c>
      <c r="C176">
        <v>5</v>
      </c>
      <c r="D176">
        <v>7.2420000000000002E-3</v>
      </c>
      <c r="E176">
        <v>1.1153E-2</v>
      </c>
      <c r="F176">
        <v>1.0093E-2</v>
      </c>
      <c r="G176">
        <v>1.0418E-2</v>
      </c>
      <c r="H176">
        <v>1.3547999999999999E-2</v>
      </c>
      <c r="I176">
        <v>1.5485000000000001E-2</v>
      </c>
      <c r="J176">
        <v>1.8442E-2</v>
      </c>
      <c r="K176">
        <v>1.9639E-2</v>
      </c>
      <c r="L176">
        <v>2.1318E-2</v>
      </c>
      <c r="M176">
        <v>2.598E-2</v>
      </c>
      <c r="N176">
        <v>2.7712000000000001E-2</v>
      </c>
      <c r="O176" s="8">
        <f t="shared" si="7"/>
        <v>1000.0269864727004</v>
      </c>
      <c r="P176" s="8">
        <f t="shared" si="8"/>
        <v>2066.8801796277176</v>
      </c>
      <c r="Q176" s="8">
        <f t="shared" si="9"/>
        <v>1147.5571430413788</v>
      </c>
      <c r="R176">
        <v>2.768292126682181E-2</v>
      </c>
      <c r="S176">
        <v>6.6224949670932662E-2</v>
      </c>
      <c r="T176">
        <v>-2.0087480205268068E-2</v>
      </c>
    </row>
    <row r="177" spans="1:20" x14ac:dyDescent="0.25">
      <c r="A177">
        <v>174</v>
      </c>
      <c r="B177">
        <v>15</v>
      </c>
      <c r="C177">
        <v>6</v>
      </c>
      <c r="D177">
        <v>7.2139999999999999E-3</v>
      </c>
      <c r="E177">
        <v>1.1200999999999999E-2</v>
      </c>
      <c r="F177">
        <v>1.0066E-2</v>
      </c>
      <c r="G177">
        <v>1.0466E-2</v>
      </c>
      <c r="H177">
        <v>1.3559999999999999E-2</v>
      </c>
      <c r="I177">
        <v>1.5421000000000001E-2</v>
      </c>
      <c r="J177">
        <v>1.8461999999999999E-2</v>
      </c>
      <c r="K177">
        <v>1.9649E-2</v>
      </c>
      <c r="L177">
        <v>2.1221E-2</v>
      </c>
      <c r="M177">
        <v>2.5888000000000001E-2</v>
      </c>
      <c r="N177">
        <v>2.7656E-2</v>
      </c>
      <c r="O177" s="8">
        <f t="shared" si="7"/>
        <v>999.84098033703856</v>
      </c>
      <c r="P177" s="8">
        <f t="shared" si="8"/>
        <v>2073.45511520228</v>
      </c>
      <c r="Q177" s="8">
        <f t="shared" si="9"/>
        <v>1145.5703730296507</v>
      </c>
      <c r="R177">
        <v>-2.2297314454701972E-3</v>
      </c>
      <c r="S177">
        <v>3.8848111145772406E-2</v>
      </c>
      <c r="T177">
        <v>-2.0578953276767391E-2</v>
      </c>
    </row>
    <row r="178" spans="1:20" x14ac:dyDescent="0.25">
      <c r="A178">
        <v>175</v>
      </c>
      <c r="B178">
        <v>15</v>
      </c>
      <c r="C178">
        <v>7</v>
      </c>
      <c r="D178">
        <v>7.1859999999999997E-3</v>
      </c>
      <c r="E178">
        <v>1.1155E-2</v>
      </c>
      <c r="F178">
        <v>1.0055E-2</v>
      </c>
      <c r="G178">
        <v>1.038E-2</v>
      </c>
      <c r="H178">
        <v>1.3488999999999999E-2</v>
      </c>
      <c r="I178">
        <v>1.5447000000000001E-2</v>
      </c>
      <c r="J178">
        <v>1.8450000000000001E-2</v>
      </c>
      <c r="K178">
        <v>1.9747000000000001E-2</v>
      </c>
      <c r="L178">
        <v>2.1145000000000001E-2</v>
      </c>
      <c r="M178">
        <v>2.5967E-2</v>
      </c>
      <c r="N178">
        <v>2.7626999999999999E-2</v>
      </c>
      <c r="O178" s="8">
        <f t="shared" si="7"/>
        <v>999.60445653932049</v>
      </c>
      <c r="P178" s="8">
        <f t="shared" si="8"/>
        <v>2084.0492978915086</v>
      </c>
      <c r="Q178" s="8">
        <f t="shared" si="9"/>
        <v>1143.3499674508917</v>
      </c>
      <c r="R178">
        <v>-2.8350464524670351E-3</v>
      </c>
      <c r="S178">
        <v>6.306591428163183E-2</v>
      </c>
      <c r="T178">
        <v>-2.3012684332835633E-2</v>
      </c>
    </row>
    <row r="179" spans="1:20" x14ac:dyDescent="0.25">
      <c r="A179">
        <v>176</v>
      </c>
      <c r="B179">
        <v>15</v>
      </c>
      <c r="C179">
        <v>8</v>
      </c>
      <c r="D179">
        <v>7.2709999999999997E-3</v>
      </c>
      <c r="E179">
        <v>1.1181999999999999E-2</v>
      </c>
      <c r="F179">
        <v>9.9620000000000004E-3</v>
      </c>
      <c r="G179">
        <v>1.0410000000000001E-2</v>
      </c>
      <c r="H179">
        <v>1.3521999999999999E-2</v>
      </c>
      <c r="I179">
        <v>1.5424E-2</v>
      </c>
      <c r="J179">
        <v>1.8388000000000002E-2</v>
      </c>
      <c r="K179">
        <v>1.9748999999999999E-2</v>
      </c>
      <c r="L179">
        <v>2.121E-2</v>
      </c>
      <c r="M179">
        <v>2.5912999999999999E-2</v>
      </c>
      <c r="N179">
        <v>2.7723999999999999E-2</v>
      </c>
      <c r="O179" s="8">
        <f t="shared" si="7"/>
        <v>999.15639905737419</v>
      </c>
      <c r="P179" s="8">
        <f t="shared" si="8"/>
        <v>2090.9486355048689</v>
      </c>
      <c r="Q179" s="8">
        <f t="shared" si="9"/>
        <v>1140.8346716987676</v>
      </c>
      <c r="R179">
        <v>-5.3655767804292147E-3</v>
      </c>
      <c r="S179">
        <v>4.0457914510023937E-2</v>
      </c>
      <c r="T179">
        <v>-2.6082131123855219E-2</v>
      </c>
    </row>
    <row r="180" spans="1:20" x14ac:dyDescent="0.25">
      <c r="A180">
        <v>177</v>
      </c>
      <c r="B180">
        <v>15</v>
      </c>
      <c r="C180">
        <v>9</v>
      </c>
      <c r="D180">
        <v>7.3119999999999999E-3</v>
      </c>
      <c r="E180">
        <v>1.1212E-2</v>
      </c>
      <c r="F180">
        <v>1.0005E-2</v>
      </c>
      <c r="G180">
        <v>1.0489999999999999E-2</v>
      </c>
      <c r="H180">
        <v>1.3610000000000001E-2</v>
      </c>
      <c r="I180">
        <v>1.5434E-2</v>
      </c>
      <c r="J180">
        <v>1.8294999999999999E-2</v>
      </c>
      <c r="K180">
        <v>1.9747000000000001E-2</v>
      </c>
      <c r="L180">
        <v>2.1309000000000002E-2</v>
      </c>
      <c r="M180">
        <v>2.5859E-2</v>
      </c>
      <c r="N180">
        <v>2.7625E-2</v>
      </c>
      <c r="O180" s="8">
        <f t="shared" si="7"/>
        <v>1000.8085168596244</v>
      </c>
      <c r="P180" s="8">
        <f t="shared" si="8"/>
        <v>2096.3464954306387</v>
      </c>
      <c r="Q180" s="8">
        <f t="shared" si="9"/>
        <v>1138.7338690350289</v>
      </c>
      <c r="R180">
        <v>2.0023601670387609E-2</v>
      </c>
      <c r="S180">
        <v>3.1422089078727254E-2</v>
      </c>
      <c r="T180">
        <v>-2.1875096611269133E-2</v>
      </c>
    </row>
    <row r="181" spans="1:20" x14ac:dyDescent="0.25">
      <c r="A181">
        <v>178</v>
      </c>
      <c r="B181">
        <v>15</v>
      </c>
      <c r="C181">
        <v>10</v>
      </c>
      <c r="D181">
        <v>7.2630000000000004E-3</v>
      </c>
      <c r="E181">
        <v>1.1309E-2</v>
      </c>
      <c r="F181">
        <v>9.9570000000000006E-3</v>
      </c>
      <c r="G181">
        <v>1.0545000000000001E-2</v>
      </c>
      <c r="H181">
        <v>1.3641E-2</v>
      </c>
      <c r="I181">
        <v>1.5387E-2</v>
      </c>
      <c r="J181">
        <v>1.8364999999999999E-2</v>
      </c>
      <c r="K181">
        <v>1.9671000000000001E-2</v>
      </c>
      <c r="L181">
        <v>2.1257000000000002E-2</v>
      </c>
      <c r="M181">
        <v>2.5843000000000001E-2</v>
      </c>
      <c r="N181">
        <v>2.7702999999999998E-2</v>
      </c>
      <c r="O181" s="8">
        <f t="shared" si="7"/>
        <v>998.06665763513797</v>
      </c>
      <c r="P181" s="8">
        <f t="shared" si="8"/>
        <v>2106.6361045519629</v>
      </c>
      <c r="Q181" s="8">
        <f t="shared" si="9"/>
        <v>1137.0213326290257</v>
      </c>
      <c r="R181">
        <v>-3.2384853252366237E-2</v>
      </c>
      <c r="S181">
        <v>6.0516611365146314E-2</v>
      </c>
      <c r="T181">
        <v>-1.7898215987562693E-2</v>
      </c>
    </row>
    <row r="182" spans="1:20" x14ac:dyDescent="0.25">
      <c r="A182">
        <v>179</v>
      </c>
      <c r="B182">
        <v>15</v>
      </c>
      <c r="C182">
        <v>11</v>
      </c>
      <c r="D182">
        <v>7.3600000000000002E-3</v>
      </c>
      <c r="E182">
        <v>1.1320999999999999E-2</v>
      </c>
      <c r="F182">
        <v>9.9649999999999999E-3</v>
      </c>
      <c r="G182">
        <v>1.0534E-2</v>
      </c>
      <c r="H182">
        <v>1.3705999999999999E-2</v>
      </c>
      <c r="I182">
        <v>1.5318E-2</v>
      </c>
      <c r="J182">
        <v>1.8453000000000001E-2</v>
      </c>
      <c r="K182">
        <v>1.9621E-2</v>
      </c>
      <c r="L182">
        <v>2.1207E-2</v>
      </c>
      <c r="M182">
        <v>2.5777999999999999E-2</v>
      </c>
      <c r="N182">
        <v>2.7744000000000001E-2</v>
      </c>
      <c r="O182" s="8">
        <f t="shared" si="7"/>
        <v>995.81744802647597</v>
      </c>
      <c r="P182" s="8">
        <f t="shared" si="8"/>
        <v>2115.7261194761713</v>
      </c>
      <c r="Q182" s="8">
        <f t="shared" si="9"/>
        <v>1135.034043742789</v>
      </c>
      <c r="R182">
        <v>-2.6710118346327208E-2</v>
      </c>
      <c r="S182">
        <v>5.3026000962139809E-2</v>
      </c>
      <c r="T182">
        <v>-2.0773183964830938E-2</v>
      </c>
    </row>
    <row r="183" spans="1:20" x14ac:dyDescent="0.25">
      <c r="A183">
        <v>180</v>
      </c>
      <c r="B183">
        <v>15</v>
      </c>
      <c r="C183">
        <v>12</v>
      </c>
      <c r="D183">
        <v>7.3569999999999998E-3</v>
      </c>
      <c r="E183">
        <v>1.1252E-2</v>
      </c>
      <c r="F183">
        <v>9.8720000000000006E-3</v>
      </c>
      <c r="G183">
        <v>1.0468999999999999E-2</v>
      </c>
      <c r="H183">
        <v>1.3702000000000001E-2</v>
      </c>
      <c r="I183">
        <v>1.5349E-2</v>
      </c>
      <c r="J183">
        <v>1.8450999999999999E-2</v>
      </c>
      <c r="K183">
        <v>1.9692000000000001E-2</v>
      </c>
      <c r="L183">
        <v>2.1288999999999999E-2</v>
      </c>
      <c r="M183">
        <v>2.5755E-2</v>
      </c>
      <c r="N183">
        <v>2.7743E-2</v>
      </c>
      <c r="O183" s="8">
        <f t="shared" si="7"/>
        <v>992.23258527112614</v>
      </c>
      <c r="P183" s="8">
        <f t="shared" si="8"/>
        <v>2122.9100226380065</v>
      </c>
      <c r="Q183" s="8">
        <f t="shared" si="9"/>
        <v>1133.1732500510122</v>
      </c>
      <c r="R183">
        <v>-4.2353894452772378E-2</v>
      </c>
      <c r="S183">
        <v>4.1515356283760775E-2</v>
      </c>
      <c r="T183">
        <v>-1.9496578081957195E-2</v>
      </c>
    </row>
    <row r="184" spans="1:20" x14ac:dyDescent="0.25">
      <c r="A184">
        <v>181</v>
      </c>
      <c r="B184">
        <v>16</v>
      </c>
      <c r="C184">
        <v>1</v>
      </c>
      <c r="D184">
        <v>7.4310000000000001E-3</v>
      </c>
      <c r="E184">
        <v>1.1209E-2</v>
      </c>
      <c r="F184">
        <v>9.8849999999999997E-3</v>
      </c>
      <c r="G184">
        <v>1.0390999999999999E-2</v>
      </c>
      <c r="H184">
        <v>1.3627E-2</v>
      </c>
      <c r="I184">
        <v>1.5337E-2</v>
      </c>
      <c r="J184">
        <v>1.8450000000000001E-2</v>
      </c>
      <c r="K184">
        <v>1.9764E-2</v>
      </c>
      <c r="L184">
        <v>2.1270000000000001E-2</v>
      </c>
      <c r="M184">
        <v>2.5784999999999999E-2</v>
      </c>
      <c r="N184">
        <v>2.7661999999999999E-2</v>
      </c>
      <c r="O184" s="8">
        <f t="shared" si="7"/>
        <v>990.70720712894388</v>
      </c>
      <c r="P184" s="8">
        <f t="shared" si="8"/>
        <v>2131.5483463001929</v>
      </c>
      <c r="Q184" s="8">
        <f t="shared" si="9"/>
        <v>1131.0358693954283</v>
      </c>
      <c r="R184">
        <v>-1.8292645092459932E-2</v>
      </c>
      <c r="S184">
        <v>4.9936902687556788E-2</v>
      </c>
      <c r="T184">
        <v>-2.2400947284193416E-2</v>
      </c>
    </row>
    <row r="185" spans="1:20" x14ac:dyDescent="0.25">
      <c r="A185">
        <v>182</v>
      </c>
      <c r="B185">
        <v>16</v>
      </c>
      <c r="C185">
        <v>2</v>
      </c>
      <c r="D185">
        <v>7.5119999999999996E-3</v>
      </c>
      <c r="E185">
        <v>1.1193E-2</v>
      </c>
      <c r="F185">
        <v>9.8639999999999995E-3</v>
      </c>
      <c r="G185">
        <v>1.0326999999999999E-2</v>
      </c>
      <c r="H185">
        <v>1.3617000000000001E-2</v>
      </c>
      <c r="I185">
        <v>1.5341E-2</v>
      </c>
      <c r="J185">
        <v>1.8481000000000001E-2</v>
      </c>
      <c r="K185">
        <v>1.9699999999999999E-2</v>
      </c>
      <c r="L185">
        <v>2.1350999999999998E-2</v>
      </c>
      <c r="M185">
        <v>2.5729999999999999E-2</v>
      </c>
      <c r="N185">
        <v>2.7671999999999999E-2</v>
      </c>
      <c r="O185" s="8">
        <f t="shared" si="7"/>
        <v>991.29720151852075</v>
      </c>
      <c r="P185" s="8">
        <f t="shared" si="8"/>
        <v>2142.5099079147635</v>
      </c>
      <c r="Q185" s="8">
        <f t="shared" si="9"/>
        <v>1129.1694993089316</v>
      </c>
      <c r="R185">
        <v>7.16979585794544E-3</v>
      </c>
      <c r="S185">
        <v>6.3486100387308439E-2</v>
      </c>
      <c r="T185">
        <v>-1.9622976005705377E-2</v>
      </c>
    </row>
    <row r="186" spans="1:20" x14ac:dyDescent="0.25">
      <c r="A186">
        <v>183</v>
      </c>
      <c r="B186">
        <v>16</v>
      </c>
      <c r="C186">
        <v>3</v>
      </c>
      <c r="D186">
        <v>7.5979999999999997E-3</v>
      </c>
      <c r="E186">
        <v>1.1129999999999999E-2</v>
      </c>
      <c r="F186">
        <v>9.8069999999999997E-3</v>
      </c>
      <c r="G186">
        <v>1.0330000000000001E-2</v>
      </c>
      <c r="H186">
        <v>1.3592E-2</v>
      </c>
      <c r="I186">
        <v>1.5419E-2</v>
      </c>
      <c r="J186">
        <v>1.8450000000000001E-2</v>
      </c>
      <c r="K186">
        <v>1.9785000000000001E-2</v>
      </c>
      <c r="L186">
        <v>2.1410999999999999E-2</v>
      </c>
      <c r="M186">
        <v>2.5687000000000001E-2</v>
      </c>
      <c r="N186">
        <v>2.7584999999999998E-2</v>
      </c>
      <c r="O186" s="8">
        <f t="shared" si="7"/>
        <v>990.05576395241258</v>
      </c>
      <c r="P186" s="8">
        <f t="shared" si="8"/>
        <v>2152.0165624294555</v>
      </c>
      <c r="Q186" s="8">
        <f t="shared" si="9"/>
        <v>1127.6388370781278</v>
      </c>
      <c r="R186">
        <v>-1.492495678931649E-2</v>
      </c>
      <c r="S186">
        <v>5.4564738307443676E-2</v>
      </c>
      <c r="T186">
        <v>-1.6146043195879683E-2</v>
      </c>
    </row>
    <row r="187" spans="1:20" x14ac:dyDescent="0.25">
      <c r="A187">
        <v>184</v>
      </c>
      <c r="B187">
        <v>16</v>
      </c>
      <c r="C187">
        <v>4</v>
      </c>
      <c r="D187">
        <v>7.5059999999999997E-3</v>
      </c>
      <c r="E187">
        <v>1.1216E-2</v>
      </c>
      <c r="F187">
        <v>9.8709999999999996E-3</v>
      </c>
      <c r="G187">
        <v>1.0370000000000001E-2</v>
      </c>
      <c r="H187">
        <v>1.3580999999999999E-2</v>
      </c>
      <c r="I187">
        <v>1.532E-2</v>
      </c>
      <c r="J187">
        <v>1.8506999999999999E-2</v>
      </c>
      <c r="K187">
        <v>1.9782999999999999E-2</v>
      </c>
      <c r="L187">
        <v>2.1392000000000001E-2</v>
      </c>
      <c r="M187">
        <v>2.5704999999999999E-2</v>
      </c>
      <c r="N187">
        <v>2.7640000000000001E-2</v>
      </c>
      <c r="O187" s="8">
        <f t="shared" si="7"/>
        <v>991.3149807264881</v>
      </c>
      <c r="P187" s="8">
        <f t="shared" si="8"/>
        <v>2157.7273647690972</v>
      </c>
      <c r="Q187" s="8">
        <f t="shared" si="9"/>
        <v>1126.5206324161654</v>
      </c>
      <c r="R187">
        <v>1.5369592061233154E-2</v>
      </c>
      <c r="S187">
        <v>3.2313293072491769E-2</v>
      </c>
      <c r="T187">
        <v>-1.1834918069801425E-2</v>
      </c>
    </row>
    <row r="188" spans="1:20" x14ac:dyDescent="0.25">
      <c r="A188">
        <v>185</v>
      </c>
      <c r="B188">
        <v>16</v>
      </c>
      <c r="C188">
        <v>5</v>
      </c>
      <c r="D188">
        <v>7.4840000000000002E-3</v>
      </c>
      <c r="E188">
        <v>1.1259999999999999E-2</v>
      </c>
      <c r="F188">
        <v>9.7979999999999994E-3</v>
      </c>
      <c r="G188">
        <v>1.0338E-2</v>
      </c>
      <c r="H188">
        <v>1.3539000000000001E-2</v>
      </c>
      <c r="I188">
        <v>1.5357000000000001E-2</v>
      </c>
      <c r="J188">
        <v>1.8506999999999999E-2</v>
      </c>
      <c r="K188">
        <v>1.9689999999999999E-2</v>
      </c>
      <c r="L188">
        <v>2.1361999999999999E-2</v>
      </c>
      <c r="M188">
        <v>2.5700000000000001E-2</v>
      </c>
      <c r="N188">
        <v>2.7560000000000001E-2</v>
      </c>
      <c r="O188" s="8">
        <f t="shared" si="7"/>
        <v>991.36821788524855</v>
      </c>
      <c r="P188" s="8">
        <f t="shared" si="8"/>
        <v>2164.4040773595761</v>
      </c>
      <c r="Q188" s="8">
        <f t="shared" si="9"/>
        <v>1125.0878642240493</v>
      </c>
      <c r="R188">
        <v>6.4463328713180806E-4</v>
      </c>
      <c r="S188">
        <v>3.7770420082911503E-2</v>
      </c>
      <c r="T188">
        <v>-1.5155920296895739E-2</v>
      </c>
    </row>
    <row r="189" spans="1:20" x14ac:dyDescent="0.25">
      <c r="A189">
        <v>186</v>
      </c>
      <c r="B189">
        <v>16</v>
      </c>
      <c r="C189">
        <v>6</v>
      </c>
      <c r="D189">
        <v>7.3879999999999996E-3</v>
      </c>
      <c r="E189">
        <v>1.1308E-2</v>
      </c>
      <c r="F189">
        <v>9.8980000000000005E-3</v>
      </c>
      <c r="G189">
        <v>1.0241999999999999E-2</v>
      </c>
      <c r="H189">
        <v>1.3594E-2</v>
      </c>
      <c r="I189">
        <v>1.5327E-2</v>
      </c>
      <c r="J189">
        <v>1.8530999999999999E-2</v>
      </c>
      <c r="K189">
        <v>1.9713999999999999E-2</v>
      </c>
      <c r="L189">
        <v>2.1436E-2</v>
      </c>
      <c r="M189">
        <v>2.5774999999999999E-2</v>
      </c>
      <c r="N189">
        <v>2.7567000000000001E-2</v>
      </c>
      <c r="O189" s="8">
        <f t="shared" si="7"/>
        <v>994.91035901506848</v>
      </c>
      <c r="P189" s="8">
        <f t="shared" si="8"/>
        <v>2174.0653612478004</v>
      </c>
      <c r="Q189" s="8">
        <f t="shared" si="9"/>
        <v>1123.7651280913155</v>
      </c>
      <c r="R189">
        <v>4.3728473488436753E-2</v>
      </c>
      <c r="S189">
        <v>5.4899383465391277E-2</v>
      </c>
      <c r="T189">
        <v>-1.4017214354823091E-2</v>
      </c>
    </row>
    <row r="190" spans="1:20" x14ac:dyDescent="0.25">
      <c r="A190">
        <v>187</v>
      </c>
      <c r="B190">
        <v>16</v>
      </c>
      <c r="C190">
        <v>7</v>
      </c>
      <c r="D190">
        <v>7.391E-3</v>
      </c>
      <c r="E190">
        <v>1.1310000000000001E-2</v>
      </c>
      <c r="F190">
        <v>9.8560000000000002E-3</v>
      </c>
      <c r="G190">
        <v>1.0187E-2</v>
      </c>
      <c r="H190">
        <v>1.3612000000000001E-2</v>
      </c>
      <c r="I190">
        <v>1.5276E-2</v>
      </c>
      <c r="J190">
        <v>1.8563E-2</v>
      </c>
      <c r="K190">
        <v>1.9694E-2</v>
      </c>
      <c r="L190">
        <v>2.1426000000000001E-2</v>
      </c>
      <c r="M190">
        <v>2.5729999999999999E-2</v>
      </c>
      <c r="N190">
        <v>2.7663E-2</v>
      </c>
      <c r="O190" s="8">
        <f t="shared" si="7"/>
        <v>994.72196915402833</v>
      </c>
      <c r="P190" s="8">
        <f t="shared" si="8"/>
        <v>2186.2483351247747</v>
      </c>
      <c r="Q190" s="8">
        <f t="shared" si="9"/>
        <v>1122.7716815558474</v>
      </c>
      <c r="R190">
        <v>-2.2698783118344432E-3</v>
      </c>
      <c r="S190">
        <v>6.9357062098152539E-2</v>
      </c>
      <c r="T190">
        <v>-1.0556979145616919E-2</v>
      </c>
    </row>
    <row r="191" spans="1:20" x14ac:dyDescent="0.25">
      <c r="A191">
        <v>188</v>
      </c>
      <c r="B191">
        <v>16</v>
      </c>
      <c r="C191">
        <v>8</v>
      </c>
      <c r="D191">
        <v>7.4469999999999996E-3</v>
      </c>
      <c r="E191">
        <v>1.1383000000000001E-2</v>
      </c>
      <c r="F191">
        <v>9.868E-3</v>
      </c>
      <c r="G191">
        <v>1.0239E-2</v>
      </c>
      <c r="H191">
        <v>1.3537E-2</v>
      </c>
      <c r="I191">
        <v>1.5207999999999999E-2</v>
      </c>
      <c r="J191">
        <v>1.8623000000000001E-2</v>
      </c>
      <c r="K191">
        <v>1.9668999999999999E-2</v>
      </c>
      <c r="L191">
        <v>2.1478000000000001E-2</v>
      </c>
      <c r="M191">
        <v>2.5659999999999999E-2</v>
      </c>
      <c r="N191">
        <v>2.7569E-2</v>
      </c>
      <c r="O191" s="8">
        <f t="shared" si="7"/>
        <v>992.14347804690442</v>
      </c>
      <c r="P191" s="8">
        <f t="shared" si="8"/>
        <v>2196.9328012626565</v>
      </c>
      <c r="Q191" s="8">
        <f t="shared" si="9"/>
        <v>1121.3599685134391</v>
      </c>
      <c r="R191">
        <v>-3.06664040338963E-2</v>
      </c>
      <c r="S191">
        <v>6.0247791306095193E-2</v>
      </c>
      <c r="T191">
        <v>-1.4984253321062378E-2</v>
      </c>
    </row>
    <row r="192" spans="1:20" x14ac:dyDescent="0.25">
      <c r="A192">
        <v>189</v>
      </c>
      <c r="B192">
        <v>16</v>
      </c>
      <c r="C192">
        <v>9</v>
      </c>
      <c r="D192">
        <v>7.5399999999999998E-3</v>
      </c>
      <c r="E192">
        <v>1.1351E-2</v>
      </c>
      <c r="F192">
        <v>9.9240000000000005E-3</v>
      </c>
      <c r="G192">
        <v>1.0189999999999999E-2</v>
      </c>
      <c r="H192">
        <v>1.3495999999999999E-2</v>
      </c>
      <c r="I192">
        <v>1.5251000000000001E-2</v>
      </c>
      <c r="J192">
        <v>1.8620999999999999E-2</v>
      </c>
      <c r="K192">
        <v>1.9734000000000002E-2</v>
      </c>
      <c r="L192">
        <v>2.1548000000000001E-2</v>
      </c>
      <c r="M192">
        <v>2.5600999999999999E-2</v>
      </c>
      <c r="N192">
        <v>2.7601000000000001E-2</v>
      </c>
      <c r="O192" s="8">
        <f t="shared" si="7"/>
        <v>991.33226386632919</v>
      </c>
      <c r="P192" s="8">
        <f t="shared" si="8"/>
        <v>2202.7089458398077</v>
      </c>
      <c r="Q192" s="8">
        <f t="shared" si="9"/>
        <v>1120.143724085618</v>
      </c>
      <c r="R192">
        <v>-9.7676525875215747E-3</v>
      </c>
      <c r="S192">
        <v>3.2010484836914627E-2</v>
      </c>
      <c r="T192">
        <v>-1.2938024492673689E-2</v>
      </c>
    </row>
    <row r="193" spans="1:20" x14ac:dyDescent="0.25">
      <c r="A193">
        <v>190</v>
      </c>
      <c r="B193">
        <v>16</v>
      </c>
      <c r="C193">
        <v>10</v>
      </c>
      <c r="D193">
        <v>7.4580000000000002E-3</v>
      </c>
      <c r="E193">
        <v>1.1287999999999999E-2</v>
      </c>
      <c r="F193">
        <v>9.8670000000000008E-3</v>
      </c>
      <c r="G193">
        <v>1.0207000000000001E-2</v>
      </c>
      <c r="H193">
        <v>1.3502E-2</v>
      </c>
      <c r="I193">
        <v>1.5271E-2</v>
      </c>
      <c r="J193">
        <v>1.8603999999999999E-2</v>
      </c>
      <c r="K193">
        <v>1.9809E-2</v>
      </c>
      <c r="L193">
        <v>2.1544000000000001E-2</v>
      </c>
      <c r="M193">
        <v>2.5604999999999999E-2</v>
      </c>
      <c r="N193">
        <v>2.7546000000000001E-2</v>
      </c>
      <c r="O193" s="8">
        <f t="shared" si="7"/>
        <v>992.75868869348608</v>
      </c>
      <c r="P193" s="8">
        <f t="shared" si="8"/>
        <v>2212.7957432917397</v>
      </c>
      <c r="Q193" s="8">
        <f t="shared" si="9"/>
        <v>1118.6199906665213</v>
      </c>
      <c r="R193">
        <v>1.7404067179468789E-2</v>
      </c>
      <c r="S193">
        <v>5.6356577255036802E-2</v>
      </c>
      <c r="T193">
        <v>-1.620204478393223E-2</v>
      </c>
    </row>
    <row r="194" spans="1:20" x14ac:dyDescent="0.25">
      <c r="A194">
        <v>191</v>
      </c>
      <c r="B194">
        <v>16</v>
      </c>
      <c r="C194">
        <v>11</v>
      </c>
      <c r="D194">
        <v>7.463E-3</v>
      </c>
      <c r="E194">
        <v>1.1350000000000001E-2</v>
      </c>
      <c r="F194">
        <v>9.8530000000000006E-3</v>
      </c>
      <c r="G194">
        <v>1.0156E-2</v>
      </c>
      <c r="H194">
        <v>1.3469999999999999E-2</v>
      </c>
      <c r="I194">
        <v>1.5193E-2</v>
      </c>
      <c r="J194">
        <v>1.8577E-2</v>
      </c>
      <c r="K194">
        <v>1.9717999999999999E-2</v>
      </c>
      <c r="L194">
        <v>2.1575E-2</v>
      </c>
      <c r="M194">
        <v>2.5697000000000001E-2</v>
      </c>
      <c r="N194">
        <v>2.7504000000000001E-2</v>
      </c>
      <c r="O194" s="8">
        <f t="shared" si="7"/>
        <v>996.45436015529185</v>
      </c>
      <c r="P194" s="8">
        <f t="shared" si="8"/>
        <v>2219.0602162427617</v>
      </c>
      <c r="Q194" s="8">
        <f t="shared" si="9"/>
        <v>1116.921238244277</v>
      </c>
      <c r="R194">
        <v>4.5597608445876861E-2</v>
      </c>
      <c r="S194">
        <v>3.4506254249604865E-2</v>
      </c>
      <c r="T194">
        <v>-1.8071932101490423E-2</v>
      </c>
    </row>
    <row r="195" spans="1:20" x14ac:dyDescent="0.25">
      <c r="A195">
        <v>192</v>
      </c>
      <c r="B195">
        <v>16</v>
      </c>
      <c r="C195">
        <v>12</v>
      </c>
      <c r="D195">
        <v>7.4359999999999999E-3</v>
      </c>
      <c r="E195">
        <v>1.1296E-2</v>
      </c>
      <c r="F195">
        <v>9.9380000000000007E-3</v>
      </c>
      <c r="G195">
        <v>1.0149999999999999E-2</v>
      </c>
      <c r="H195">
        <v>1.3442000000000001E-2</v>
      </c>
      <c r="I195">
        <v>1.5108999999999999E-2</v>
      </c>
      <c r="J195">
        <v>1.8502999999999999E-2</v>
      </c>
      <c r="K195">
        <v>1.9761000000000001E-2</v>
      </c>
      <c r="L195">
        <v>2.1500999999999999E-2</v>
      </c>
      <c r="M195">
        <v>2.5680000000000001E-2</v>
      </c>
      <c r="N195">
        <v>2.7480999999999998E-2</v>
      </c>
      <c r="O195" s="8">
        <f t="shared" si="7"/>
        <v>993.854011424296</v>
      </c>
      <c r="P195" s="8">
        <f t="shared" si="8"/>
        <v>2225.9185080401062</v>
      </c>
      <c r="Q195" s="8">
        <f t="shared" si="9"/>
        <v>1114.9654099452864</v>
      </c>
      <c r="R195">
        <v>-3.0869642811565873E-2</v>
      </c>
      <c r="S195">
        <v>3.7724518999686249E-2</v>
      </c>
      <c r="T195">
        <v>-2.0811865929844846E-2</v>
      </c>
    </row>
    <row r="196" spans="1:20" x14ac:dyDescent="0.25">
      <c r="A196">
        <v>193</v>
      </c>
      <c r="B196">
        <v>17</v>
      </c>
      <c r="C196">
        <v>1</v>
      </c>
      <c r="D196">
        <v>7.4419999999999998E-3</v>
      </c>
      <c r="E196">
        <v>1.1328E-2</v>
      </c>
      <c r="F196">
        <v>1.0009000000000001E-2</v>
      </c>
      <c r="G196">
        <v>1.0126E-2</v>
      </c>
      <c r="H196">
        <v>1.3396999999999999E-2</v>
      </c>
      <c r="I196">
        <v>1.5165E-2</v>
      </c>
      <c r="J196">
        <v>1.8419000000000001E-2</v>
      </c>
      <c r="K196">
        <v>1.9706999999999999E-2</v>
      </c>
      <c r="L196">
        <v>2.1471000000000001E-2</v>
      </c>
      <c r="M196">
        <v>2.5614999999999999E-2</v>
      </c>
      <c r="N196">
        <v>2.7574999999999999E-2</v>
      </c>
      <c r="O196" s="8">
        <f t="shared" si="7"/>
        <v>990.27646172176355</v>
      </c>
      <c r="P196" s="8">
        <f t="shared" si="8"/>
        <v>2235.0234946379405</v>
      </c>
      <c r="Q196" s="8">
        <f t="shared" si="9"/>
        <v>1112.966059267826</v>
      </c>
      <c r="R196">
        <v>-4.2351053192950405E-2</v>
      </c>
      <c r="S196">
        <v>5.0204771244799579E-2</v>
      </c>
      <c r="T196">
        <v>-2.130738019719362E-2</v>
      </c>
    </row>
    <row r="197" spans="1:20" x14ac:dyDescent="0.25">
      <c r="A197">
        <v>194</v>
      </c>
      <c r="B197">
        <v>17</v>
      </c>
      <c r="C197">
        <v>2</v>
      </c>
      <c r="D197">
        <v>7.3889999999999997E-3</v>
      </c>
      <c r="E197">
        <v>1.1247E-2</v>
      </c>
      <c r="F197">
        <v>1.0018000000000001E-2</v>
      </c>
      <c r="G197">
        <v>1.0092E-2</v>
      </c>
      <c r="H197">
        <v>1.336E-2</v>
      </c>
      <c r="I197">
        <v>1.5103999999999999E-2</v>
      </c>
      <c r="J197">
        <v>1.8474000000000001E-2</v>
      </c>
      <c r="K197">
        <v>1.9715E-2</v>
      </c>
      <c r="L197">
        <v>2.1427999999999999E-2</v>
      </c>
      <c r="M197">
        <v>2.5527000000000001E-2</v>
      </c>
      <c r="N197">
        <v>2.7501999999999999E-2</v>
      </c>
      <c r="O197" s="8">
        <f t="shared" ref="O197:O260" si="10">O196*(1+R197)^(1/12)</f>
        <v>991.81331150647065</v>
      </c>
      <c r="P197" s="8">
        <f t="shared" ref="P197:P260" si="11">P196*(1+S197)^(1/12)</f>
        <v>2243.7359049015263</v>
      </c>
      <c r="Q197" s="8">
        <f t="shared" ref="Q197:Q260" si="12">Q196*(1+T197)^(1/12)</f>
        <v>1110.6722502772107</v>
      </c>
      <c r="R197">
        <v>1.8783069019260714E-2</v>
      </c>
      <c r="S197">
        <v>4.7793593495631767E-2</v>
      </c>
      <c r="T197">
        <v>-2.4453419346340766E-2</v>
      </c>
    </row>
    <row r="198" spans="1:20" x14ac:dyDescent="0.25">
      <c r="A198">
        <v>195</v>
      </c>
      <c r="B198">
        <v>17</v>
      </c>
      <c r="C198">
        <v>3</v>
      </c>
      <c r="D198">
        <v>7.3130000000000001E-3</v>
      </c>
      <c r="E198">
        <v>1.1214E-2</v>
      </c>
      <c r="F198">
        <v>1.0097999999999999E-2</v>
      </c>
      <c r="G198">
        <v>1.0189999999999999E-2</v>
      </c>
      <c r="H198">
        <v>1.3332999999999999E-2</v>
      </c>
      <c r="I198">
        <v>1.5107000000000001E-2</v>
      </c>
      <c r="J198">
        <v>1.8478000000000001E-2</v>
      </c>
      <c r="K198">
        <v>1.9740000000000001E-2</v>
      </c>
      <c r="L198">
        <v>2.1399999999999999E-2</v>
      </c>
      <c r="M198">
        <v>2.5475999999999999E-2</v>
      </c>
      <c r="N198">
        <v>2.7546999999999999E-2</v>
      </c>
      <c r="O198" s="8">
        <f t="shared" si="10"/>
        <v>992.59978628241777</v>
      </c>
      <c r="P198" s="8">
        <f t="shared" si="11"/>
        <v>2254.2464657817204</v>
      </c>
      <c r="Q198" s="8">
        <f t="shared" si="12"/>
        <v>1108.3042190728393</v>
      </c>
      <c r="R198">
        <v>9.557208975867322E-3</v>
      </c>
      <c r="S198">
        <v>5.7683957161225076E-2</v>
      </c>
      <c r="T198">
        <v>-2.5286946636861596E-2</v>
      </c>
    </row>
    <row r="199" spans="1:20" x14ac:dyDescent="0.25">
      <c r="A199">
        <v>196</v>
      </c>
      <c r="B199">
        <v>17</v>
      </c>
      <c r="C199">
        <v>4</v>
      </c>
      <c r="D199">
        <v>7.2249999999999997E-3</v>
      </c>
      <c r="E199">
        <v>1.1136999999999999E-2</v>
      </c>
      <c r="F199">
        <v>1.0043E-2</v>
      </c>
      <c r="G199">
        <v>1.0217E-2</v>
      </c>
      <c r="H199">
        <v>1.3295E-2</v>
      </c>
      <c r="I199">
        <v>1.5015000000000001E-2</v>
      </c>
      <c r="J199">
        <v>1.8405999999999999E-2</v>
      </c>
      <c r="K199">
        <v>1.9803999999999999E-2</v>
      </c>
      <c r="L199">
        <v>2.1361999999999999E-2</v>
      </c>
      <c r="M199">
        <v>2.5412000000000001E-2</v>
      </c>
      <c r="N199">
        <v>2.7505000000000002E-2</v>
      </c>
      <c r="O199" s="8">
        <f t="shared" si="10"/>
        <v>995.85318996357705</v>
      </c>
      <c r="P199" s="8">
        <f t="shared" si="11"/>
        <v>2265.3754230029467</v>
      </c>
      <c r="Q199" s="8">
        <f t="shared" si="12"/>
        <v>1105.5076359249895</v>
      </c>
      <c r="R199">
        <v>4.0048754013550625E-2</v>
      </c>
      <c r="S199">
        <v>6.0878004404763014E-2</v>
      </c>
      <c r="T199">
        <v>-2.9862880341565885E-2</v>
      </c>
    </row>
    <row r="200" spans="1:20" x14ac:dyDescent="0.25">
      <c r="A200">
        <v>197</v>
      </c>
      <c r="B200">
        <v>17</v>
      </c>
      <c r="C200">
        <v>5</v>
      </c>
      <c r="D200">
        <v>7.1669999999999998E-3</v>
      </c>
      <c r="E200">
        <v>1.1154000000000001E-2</v>
      </c>
      <c r="F200">
        <v>9.9850000000000008E-3</v>
      </c>
      <c r="G200">
        <v>1.0194999999999999E-2</v>
      </c>
      <c r="H200">
        <v>1.3291000000000001E-2</v>
      </c>
      <c r="I200">
        <v>1.5096E-2</v>
      </c>
      <c r="J200">
        <v>1.8450999999999999E-2</v>
      </c>
      <c r="K200">
        <v>1.9771E-2</v>
      </c>
      <c r="L200">
        <v>2.1360000000000001E-2</v>
      </c>
      <c r="M200">
        <v>2.5416000000000001E-2</v>
      </c>
      <c r="N200">
        <v>2.7507E-2</v>
      </c>
      <c r="O200" s="8">
        <f t="shared" si="10"/>
        <v>992.93089819549232</v>
      </c>
      <c r="P200" s="8">
        <f t="shared" si="11"/>
        <v>2272.9734271978505</v>
      </c>
      <c r="Q200" s="8">
        <f t="shared" si="12"/>
        <v>1102.44492603667</v>
      </c>
      <c r="R200">
        <v>-3.4650717796863302E-2</v>
      </c>
      <c r="S200">
        <v>4.0998461391276012E-2</v>
      </c>
      <c r="T200">
        <v>-3.2743012627350687E-2</v>
      </c>
    </row>
    <row r="201" spans="1:20" x14ac:dyDescent="0.25">
      <c r="A201">
        <v>198</v>
      </c>
      <c r="B201">
        <v>17</v>
      </c>
      <c r="C201">
        <v>6</v>
      </c>
      <c r="D201">
        <v>7.1770000000000002E-3</v>
      </c>
      <c r="E201">
        <v>1.1103999999999999E-2</v>
      </c>
      <c r="F201">
        <v>9.9989999999999992E-3</v>
      </c>
      <c r="G201">
        <v>1.0231000000000001E-2</v>
      </c>
      <c r="H201">
        <v>1.3246000000000001E-2</v>
      </c>
      <c r="I201">
        <v>1.5042E-2</v>
      </c>
      <c r="J201">
        <v>1.8529E-2</v>
      </c>
      <c r="K201">
        <v>1.9796000000000001E-2</v>
      </c>
      <c r="L201">
        <v>2.1335E-2</v>
      </c>
      <c r="M201">
        <v>2.5498E-2</v>
      </c>
      <c r="N201">
        <v>2.7570000000000001E-2</v>
      </c>
      <c r="O201" s="8">
        <f t="shared" si="10"/>
        <v>991.63183838245027</v>
      </c>
      <c r="P201" s="8">
        <f t="shared" si="11"/>
        <v>2282.502262867873</v>
      </c>
      <c r="Q201" s="8">
        <f t="shared" si="12"/>
        <v>1099.8034379678447</v>
      </c>
      <c r="R201">
        <v>-1.5587221483581673E-2</v>
      </c>
      <c r="S201">
        <v>5.1483105053816196E-2</v>
      </c>
      <c r="T201">
        <v>-2.8376434310445897E-2</v>
      </c>
    </row>
    <row r="202" spans="1:20" x14ac:dyDescent="0.25">
      <c r="A202">
        <v>199</v>
      </c>
      <c r="B202">
        <v>17</v>
      </c>
      <c r="C202">
        <v>7</v>
      </c>
      <c r="D202">
        <v>7.1840000000000003E-3</v>
      </c>
      <c r="E202">
        <v>1.1188E-2</v>
      </c>
      <c r="F202">
        <v>9.9760000000000005E-3</v>
      </c>
      <c r="G202">
        <v>1.0281999999999999E-2</v>
      </c>
      <c r="H202">
        <v>1.3225000000000001E-2</v>
      </c>
      <c r="I202">
        <v>1.4956000000000001E-2</v>
      </c>
      <c r="J202">
        <v>1.8432E-2</v>
      </c>
      <c r="K202">
        <v>1.9795E-2</v>
      </c>
      <c r="L202">
        <v>2.1349E-2</v>
      </c>
      <c r="M202">
        <v>2.5552999999999999E-2</v>
      </c>
      <c r="N202">
        <v>2.7539000000000001E-2</v>
      </c>
      <c r="O202" s="8">
        <f t="shared" si="10"/>
        <v>995.05238129526424</v>
      </c>
      <c r="P202" s="8">
        <f t="shared" si="11"/>
        <v>2290.960567219096</v>
      </c>
      <c r="Q202" s="8">
        <f t="shared" si="12"/>
        <v>1097.0539719678723</v>
      </c>
      <c r="R202">
        <v>4.218729270419961E-2</v>
      </c>
      <c r="S202">
        <v>4.5386210734165953E-2</v>
      </c>
      <c r="T202">
        <v>-2.9590466108086157E-2</v>
      </c>
    </row>
    <row r="203" spans="1:20" x14ac:dyDescent="0.25">
      <c r="A203">
        <v>200</v>
      </c>
      <c r="B203">
        <v>17</v>
      </c>
      <c r="C203">
        <v>8</v>
      </c>
      <c r="D203">
        <v>7.1219999999999999E-3</v>
      </c>
      <c r="E203">
        <v>1.1098999999999999E-2</v>
      </c>
      <c r="F203">
        <v>1.0045999999999999E-2</v>
      </c>
      <c r="G203">
        <v>1.0337000000000001E-2</v>
      </c>
      <c r="H203">
        <v>1.3226999999999999E-2</v>
      </c>
      <c r="I203">
        <v>1.4985999999999999E-2</v>
      </c>
      <c r="J203">
        <v>1.8335000000000001E-2</v>
      </c>
      <c r="K203">
        <v>1.9758000000000001E-2</v>
      </c>
      <c r="L203">
        <v>2.1430000000000001E-2</v>
      </c>
      <c r="M203">
        <v>2.5604999999999999E-2</v>
      </c>
      <c r="N203">
        <v>2.7473000000000001E-2</v>
      </c>
      <c r="O203" s="8">
        <f t="shared" si="10"/>
        <v>999.07386683655045</v>
      </c>
      <c r="P203" s="8">
        <f t="shared" si="11"/>
        <v>2302.1494553332309</v>
      </c>
      <c r="Q203" s="8">
        <f t="shared" si="12"/>
        <v>1094.1300416276729</v>
      </c>
      <c r="R203">
        <v>4.9590446176832594E-2</v>
      </c>
      <c r="S203">
        <v>6.0207339587239617E-2</v>
      </c>
      <c r="T203">
        <v>-3.1518382453411264E-2</v>
      </c>
    </row>
    <row r="204" spans="1:20" x14ac:dyDescent="0.25">
      <c r="A204">
        <v>201</v>
      </c>
      <c r="B204">
        <v>17</v>
      </c>
      <c r="C204">
        <v>9</v>
      </c>
      <c r="D204">
        <v>7.1720000000000004E-3</v>
      </c>
      <c r="E204">
        <v>1.1030999999999999E-2</v>
      </c>
      <c r="F204">
        <v>1.0031E-2</v>
      </c>
      <c r="G204">
        <v>1.0319999999999999E-2</v>
      </c>
      <c r="H204">
        <v>1.3169999999999999E-2</v>
      </c>
      <c r="I204">
        <v>1.5004E-2</v>
      </c>
      <c r="J204">
        <v>1.8426000000000001E-2</v>
      </c>
      <c r="K204">
        <v>1.9785000000000001E-2</v>
      </c>
      <c r="L204">
        <v>2.1531000000000002E-2</v>
      </c>
      <c r="M204">
        <v>2.5600999999999999E-2</v>
      </c>
      <c r="N204">
        <v>2.7541E-2</v>
      </c>
      <c r="O204" s="8">
        <f t="shared" si="10"/>
        <v>1002.8857101639651</v>
      </c>
      <c r="P204" s="8">
        <f t="shared" si="11"/>
        <v>2308.1338451325541</v>
      </c>
      <c r="Q204" s="8">
        <f t="shared" si="12"/>
        <v>1091.2725141233589</v>
      </c>
      <c r="R204">
        <v>4.6757615659271515E-2</v>
      </c>
      <c r="S204">
        <v>3.1643619710736391E-2</v>
      </c>
      <c r="T204">
        <v>-3.0893984662490593E-2</v>
      </c>
    </row>
    <row r="205" spans="1:20" x14ac:dyDescent="0.25">
      <c r="A205">
        <v>202</v>
      </c>
      <c r="B205">
        <v>17</v>
      </c>
      <c r="C205">
        <v>10</v>
      </c>
      <c r="D205">
        <v>7.1739999999999998E-3</v>
      </c>
      <c r="E205">
        <v>1.1115E-2</v>
      </c>
      <c r="F205">
        <v>1.0106E-2</v>
      </c>
      <c r="G205">
        <v>1.0404E-2</v>
      </c>
      <c r="H205">
        <v>1.3176E-2</v>
      </c>
      <c r="I205">
        <v>1.4964E-2</v>
      </c>
      <c r="J205">
        <v>1.8467999999999998E-2</v>
      </c>
      <c r="K205">
        <v>1.9861E-2</v>
      </c>
      <c r="L205">
        <v>2.1464E-2</v>
      </c>
      <c r="M205">
        <v>2.5534000000000001E-2</v>
      </c>
      <c r="N205">
        <v>2.7463999999999999E-2</v>
      </c>
      <c r="O205" s="8">
        <f t="shared" si="10"/>
        <v>1005.3201101818588</v>
      </c>
      <c r="P205" s="8">
        <f t="shared" si="11"/>
        <v>2318.7218476344597</v>
      </c>
      <c r="Q205" s="8">
        <f t="shared" si="12"/>
        <v>1088.1913988485164</v>
      </c>
      <c r="R205">
        <v>2.9520795327426852E-2</v>
      </c>
      <c r="S205">
        <v>5.6457370944481854E-2</v>
      </c>
      <c r="T205">
        <v>-3.3359770883617385E-2</v>
      </c>
    </row>
    <row r="206" spans="1:20" x14ac:dyDescent="0.25">
      <c r="A206">
        <v>203</v>
      </c>
      <c r="B206">
        <v>17</v>
      </c>
      <c r="C206">
        <v>11</v>
      </c>
      <c r="D206">
        <v>7.1060000000000003E-3</v>
      </c>
      <c r="E206">
        <v>1.1121000000000001E-2</v>
      </c>
      <c r="F206">
        <v>1.008E-2</v>
      </c>
      <c r="G206">
        <v>1.0316000000000001E-2</v>
      </c>
      <c r="H206">
        <v>1.3247E-2</v>
      </c>
      <c r="I206">
        <v>1.4964E-2</v>
      </c>
      <c r="J206">
        <v>1.8533000000000001E-2</v>
      </c>
      <c r="K206">
        <v>1.9792000000000001E-2</v>
      </c>
      <c r="L206">
        <v>2.1453E-2</v>
      </c>
      <c r="M206">
        <v>2.5533E-2</v>
      </c>
      <c r="N206">
        <v>2.7545E-2</v>
      </c>
      <c r="O206" s="8">
        <f t="shared" si="10"/>
        <v>1002.1228952536945</v>
      </c>
      <c r="P206" s="8">
        <f t="shared" si="11"/>
        <v>2324.855793770409</v>
      </c>
      <c r="Q206" s="8">
        <f t="shared" si="12"/>
        <v>1085.3722594335379</v>
      </c>
      <c r="R206">
        <v>-3.7503028694555823E-2</v>
      </c>
      <c r="S206">
        <v>3.2210771087105683E-2</v>
      </c>
      <c r="T206">
        <v>-3.0648821514736697E-2</v>
      </c>
    </row>
    <row r="207" spans="1:20" x14ac:dyDescent="0.25">
      <c r="A207">
        <v>204</v>
      </c>
      <c r="B207">
        <v>17</v>
      </c>
      <c r="C207">
        <v>12</v>
      </c>
      <c r="D207">
        <v>7.1650000000000004E-3</v>
      </c>
      <c r="E207">
        <v>1.1032999999999999E-2</v>
      </c>
      <c r="F207">
        <v>1.0012E-2</v>
      </c>
      <c r="G207">
        <v>1.0383999999999999E-2</v>
      </c>
      <c r="H207">
        <v>1.3155999999999999E-2</v>
      </c>
      <c r="I207">
        <v>1.4971E-2</v>
      </c>
      <c r="J207">
        <v>1.8564000000000001E-2</v>
      </c>
      <c r="K207">
        <v>1.9705E-2</v>
      </c>
      <c r="L207">
        <v>2.1465000000000001E-2</v>
      </c>
      <c r="M207">
        <v>2.5514999999999999E-2</v>
      </c>
      <c r="N207">
        <v>2.7529000000000001E-2</v>
      </c>
      <c r="O207" s="8">
        <f t="shared" si="10"/>
        <v>1004.5717000878089</v>
      </c>
      <c r="P207" s="8">
        <f t="shared" si="11"/>
        <v>2337.6827944266306</v>
      </c>
      <c r="Q207" s="8">
        <f t="shared" si="12"/>
        <v>1082.6832215502059</v>
      </c>
      <c r="R207">
        <v>2.9720738853525976E-2</v>
      </c>
      <c r="S207">
        <v>6.8254495905425427E-2</v>
      </c>
      <c r="T207">
        <v>-2.9328520960379009E-2</v>
      </c>
    </row>
    <row r="208" spans="1:20" x14ac:dyDescent="0.25">
      <c r="A208">
        <v>205</v>
      </c>
      <c r="B208">
        <v>18</v>
      </c>
      <c r="C208">
        <v>1</v>
      </c>
      <c r="D208">
        <v>7.208E-3</v>
      </c>
      <c r="E208">
        <v>1.108E-2</v>
      </c>
      <c r="F208">
        <v>1.0037000000000001E-2</v>
      </c>
      <c r="G208">
        <v>1.0347E-2</v>
      </c>
      <c r="H208">
        <v>1.3127E-2</v>
      </c>
      <c r="I208">
        <v>1.502E-2</v>
      </c>
      <c r="J208">
        <v>1.8534999999999999E-2</v>
      </c>
      <c r="K208">
        <v>1.9664999999999998E-2</v>
      </c>
      <c r="L208">
        <v>2.1558000000000001E-2</v>
      </c>
      <c r="M208">
        <v>2.5505E-2</v>
      </c>
      <c r="N208">
        <v>2.7439999999999999E-2</v>
      </c>
      <c r="O208" s="8">
        <f t="shared" si="10"/>
        <v>1003.1815853872737</v>
      </c>
      <c r="P208" s="8">
        <f t="shared" si="11"/>
        <v>2345.1126505819357</v>
      </c>
      <c r="Q208" s="8">
        <f t="shared" si="12"/>
        <v>1079.8848574337449</v>
      </c>
      <c r="R208">
        <v>-1.6479660908983874E-2</v>
      </c>
      <c r="S208">
        <v>3.8813413373503643E-2</v>
      </c>
      <c r="T208">
        <v>-3.0578743837706809E-2</v>
      </c>
    </row>
    <row r="209" spans="1:20" x14ac:dyDescent="0.25">
      <c r="A209">
        <v>206</v>
      </c>
      <c r="B209">
        <v>18</v>
      </c>
      <c r="C209">
        <v>2</v>
      </c>
      <c r="D209">
        <v>7.2519999999999998E-3</v>
      </c>
      <c r="E209">
        <v>1.0989000000000001E-2</v>
      </c>
      <c r="F209">
        <v>1.0121E-2</v>
      </c>
      <c r="G209">
        <v>1.0347E-2</v>
      </c>
      <c r="H209">
        <v>1.3217E-2</v>
      </c>
      <c r="I209">
        <v>1.495E-2</v>
      </c>
      <c r="J209">
        <v>1.8629E-2</v>
      </c>
      <c r="K209">
        <v>1.9623000000000002E-2</v>
      </c>
      <c r="L209">
        <v>2.1458999999999999E-2</v>
      </c>
      <c r="M209">
        <v>2.5541999999999999E-2</v>
      </c>
      <c r="N209">
        <v>2.7397000000000001E-2</v>
      </c>
      <c r="O209" s="8">
        <f t="shared" si="10"/>
        <v>1007.106411219205</v>
      </c>
      <c r="P209" s="8">
        <f t="shared" si="11"/>
        <v>2355.3873199967566</v>
      </c>
      <c r="Q209" s="8">
        <f t="shared" si="12"/>
        <v>1077.2726983169114</v>
      </c>
      <c r="R209">
        <v>4.7972073181779554E-2</v>
      </c>
      <c r="S209">
        <v>5.3861355247007581E-2</v>
      </c>
      <c r="T209">
        <v>-2.8644003097786704E-2</v>
      </c>
    </row>
    <row r="210" spans="1:20" x14ac:dyDescent="0.25">
      <c r="A210">
        <v>207</v>
      </c>
      <c r="B210">
        <v>18</v>
      </c>
      <c r="C210">
        <v>3</v>
      </c>
      <c r="D210">
        <v>7.1970000000000003E-3</v>
      </c>
      <c r="E210">
        <v>1.0909E-2</v>
      </c>
      <c r="F210">
        <v>1.0220999999999999E-2</v>
      </c>
      <c r="G210">
        <v>1.0387E-2</v>
      </c>
      <c r="H210">
        <v>1.3185000000000001E-2</v>
      </c>
      <c r="I210">
        <v>1.4872E-2</v>
      </c>
      <c r="J210">
        <v>1.8558999999999999E-2</v>
      </c>
      <c r="K210">
        <v>1.9598999999999998E-2</v>
      </c>
      <c r="L210">
        <v>2.1392000000000001E-2</v>
      </c>
      <c r="M210">
        <v>2.562E-2</v>
      </c>
      <c r="N210">
        <v>2.7366000000000001E-2</v>
      </c>
      <c r="O210" s="8">
        <f t="shared" si="10"/>
        <v>1010.8405926615402</v>
      </c>
      <c r="P210" s="8">
        <f t="shared" si="11"/>
        <v>2364.0945160472297</v>
      </c>
      <c r="Q210" s="8">
        <f t="shared" si="12"/>
        <v>1074.7846768376107</v>
      </c>
      <c r="R210">
        <v>4.5412662675780369E-2</v>
      </c>
      <c r="S210">
        <v>4.5273725510041239E-2</v>
      </c>
      <c r="T210">
        <v>-2.7365319410493683E-2</v>
      </c>
    </row>
    <row r="211" spans="1:20" x14ac:dyDescent="0.25">
      <c r="A211">
        <v>208</v>
      </c>
      <c r="B211">
        <v>18</v>
      </c>
      <c r="C211">
        <v>4</v>
      </c>
      <c r="D211">
        <v>7.234E-3</v>
      </c>
      <c r="E211">
        <v>1.0859000000000001E-2</v>
      </c>
      <c r="F211">
        <v>1.0257E-2</v>
      </c>
      <c r="G211">
        <v>1.0397E-2</v>
      </c>
      <c r="H211">
        <v>1.316E-2</v>
      </c>
      <c r="I211">
        <v>1.4817E-2</v>
      </c>
      <c r="J211">
        <v>1.8520999999999999E-2</v>
      </c>
      <c r="K211">
        <v>1.9549E-2</v>
      </c>
      <c r="L211">
        <v>2.1367000000000001E-2</v>
      </c>
      <c r="M211">
        <v>2.5645999999999999E-2</v>
      </c>
      <c r="N211">
        <v>2.7394999999999999E-2</v>
      </c>
      <c r="O211" s="8">
        <f t="shared" si="10"/>
        <v>1011.415214267763</v>
      </c>
      <c r="P211" s="8">
        <f t="shared" si="11"/>
        <v>2371.7821184945565</v>
      </c>
      <c r="Q211" s="8">
        <f t="shared" si="12"/>
        <v>1072.0580589882684</v>
      </c>
      <c r="R211">
        <v>6.8428781522157835E-3</v>
      </c>
      <c r="S211">
        <v>3.9727327687050895E-2</v>
      </c>
      <c r="T211">
        <v>-3.0021567797802875E-2</v>
      </c>
    </row>
    <row r="212" spans="1:20" x14ac:dyDescent="0.25">
      <c r="A212">
        <v>209</v>
      </c>
      <c r="B212">
        <v>18</v>
      </c>
      <c r="C212">
        <v>5</v>
      </c>
      <c r="D212">
        <v>7.1640000000000002E-3</v>
      </c>
      <c r="E212">
        <v>1.0803E-2</v>
      </c>
      <c r="F212">
        <v>1.0212000000000001E-2</v>
      </c>
      <c r="G212">
        <v>1.0345E-2</v>
      </c>
      <c r="H212">
        <v>1.32E-2</v>
      </c>
      <c r="I212">
        <v>1.4881999999999999E-2</v>
      </c>
      <c r="J212">
        <v>1.8433000000000001E-2</v>
      </c>
      <c r="K212">
        <v>1.9570000000000001E-2</v>
      </c>
      <c r="L212">
        <v>2.1373E-2</v>
      </c>
      <c r="M212">
        <v>2.5564E-2</v>
      </c>
      <c r="N212">
        <v>2.7400000000000001E-2</v>
      </c>
      <c r="O212" s="8">
        <f t="shared" si="10"/>
        <v>1007.3997264975018</v>
      </c>
      <c r="P212" s="8">
        <f t="shared" si="11"/>
        <v>2378.9330004140043</v>
      </c>
      <c r="Q212" s="8">
        <f t="shared" si="12"/>
        <v>1069.1418101128315</v>
      </c>
      <c r="R212">
        <v>-4.6615347447985865E-2</v>
      </c>
      <c r="S212">
        <v>3.6785810196249588E-2</v>
      </c>
      <c r="T212">
        <v>-3.2158831954717429E-2</v>
      </c>
    </row>
    <row r="213" spans="1:20" x14ac:dyDescent="0.25">
      <c r="A213">
        <v>210</v>
      </c>
      <c r="B213">
        <v>18</v>
      </c>
      <c r="C213">
        <v>6</v>
      </c>
      <c r="D213">
        <v>7.1919999999999996E-3</v>
      </c>
      <c r="E213">
        <v>1.0803E-2</v>
      </c>
      <c r="F213">
        <v>1.0168E-2</v>
      </c>
      <c r="G213">
        <v>1.0272E-2</v>
      </c>
      <c r="H213">
        <v>1.3119E-2</v>
      </c>
      <c r="I213">
        <v>1.4867E-2</v>
      </c>
      <c r="J213">
        <v>1.8506999999999999E-2</v>
      </c>
      <c r="K213">
        <v>1.9493E-2</v>
      </c>
      <c r="L213">
        <v>2.1388000000000001E-2</v>
      </c>
      <c r="M213">
        <v>2.5502E-2</v>
      </c>
      <c r="N213">
        <v>2.7448E-2</v>
      </c>
      <c r="O213" s="8">
        <f t="shared" si="10"/>
        <v>1007.0077501712312</v>
      </c>
      <c r="P213" s="8">
        <f t="shared" si="11"/>
        <v>2388.9525452472435</v>
      </c>
      <c r="Q213" s="8">
        <f t="shared" si="12"/>
        <v>1066.0820408269008</v>
      </c>
      <c r="R213">
        <v>-4.6591861437272767E-3</v>
      </c>
      <c r="S213">
        <v>5.172874638545414E-2</v>
      </c>
      <c r="T213">
        <v>-3.3807269375143792E-2</v>
      </c>
    </row>
    <row r="214" spans="1:20" x14ac:dyDescent="0.25">
      <c r="A214">
        <v>211</v>
      </c>
      <c r="B214">
        <v>18</v>
      </c>
      <c r="C214">
        <v>7</v>
      </c>
      <c r="D214">
        <v>7.1760000000000001E-3</v>
      </c>
      <c r="E214">
        <v>1.0855999999999999E-2</v>
      </c>
      <c r="F214">
        <v>1.0133E-2</v>
      </c>
      <c r="G214">
        <v>1.0227E-2</v>
      </c>
      <c r="H214">
        <v>1.315E-2</v>
      </c>
      <c r="I214">
        <v>1.4805E-2</v>
      </c>
      <c r="J214">
        <v>1.8423999999999999E-2</v>
      </c>
      <c r="K214">
        <v>1.9515000000000001E-2</v>
      </c>
      <c r="L214">
        <v>2.1458000000000001E-2</v>
      </c>
      <c r="M214">
        <v>2.5451999999999999E-2</v>
      </c>
      <c r="N214">
        <v>2.7435000000000001E-2</v>
      </c>
      <c r="O214" s="8">
        <f t="shared" si="10"/>
        <v>1010.4899405735057</v>
      </c>
      <c r="P214" s="8">
        <f t="shared" si="11"/>
        <v>2402.2825811120092</v>
      </c>
      <c r="Q214" s="8">
        <f t="shared" si="12"/>
        <v>1063.2641920441954</v>
      </c>
      <c r="R214">
        <v>4.2293855797894339E-2</v>
      </c>
      <c r="S214">
        <v>6.9052004324979002E-2</v>
      </c>
      <c r="T214">
        <v>-3.1261118553424186E-2</v>
      </c>
    </row>
    <row r="215" spans="1:20" x14ac:dyDescent="0.25">
      <c r="A215">
        <v>212</v>
      </c>
      <c r="B215">
        <v>18</v>
      </c>
      <c r="C215">
        <v>8</v>
      </c>
      <c r="D215">
        <v>7.0949999999999997E-3</v>
      </c>
      <c r="E215">
        <v>1.09E-2</v>
      </c>
      <c r="F215">
        <v>1.018E-2</v>
      </c>
      <c r="G215">
        <v>1.0189999999999999E-2</v>
      </c>
      <c r="H215">
        <v>1.3119E-2</v>
      </c>
      <c r="I215">
        <v>1.4789E-2</v>
      </c>
      <c r="J215">
        <v>1.8474999999999998E-2</v>
      </c>
      <c r="K215">
        <v>1.9418000000000001E-2</v>
      </c>
      <c r="L215">
        <v>2.1419000000000001E-2</v>
      </c>
      <c r="M215">
        <v>2.5363E-2</v>
      </c>
      <c r="N215">
        <v>2.7507E-2</v>
      </c>
      <c r="O215" s="8">
        <f t="shared" si="10"/>
        <v>1014.2747427989409</v>
      </c>
      <c r="P215" s="8">
        <f t="shared" si="11"/>
        <v>2413.6927809933841</v>
      </c>
      <c r="Q215" s="8">
        <f t="shared" si="12"/>
        <v>1060.5302372722274</v>
      </c>
      <c r="R215">
        <v>4.5883707070062292E-2</v>
      </c>
      <c r="S215">
        <v>5.8509576187111105E-2</v>
      </c>
      <c r="T215">
        <v>-3.0422773591459736E-2</v>
      </c>
    </row>
    <row r="216" spans="1:20" x14ac:dyDescent="0.25">
      <c r="A216">
        <v>213</v>
      </c>
      <c r="B216">
        <v>18</v>
      </c>
      <c r="C216">
        <v>9</v>
      </c>
      <c r="D216">
        <v>7.0920000000000002E-3</v>
      </c>
      <c r="E216">
        <v>1.0810999999999999E-2</v>
      </c>
      <c r="F216">
        <v>1.0168E-2</v>
      </c>
      <c r="G216">
        <v>1.0236E-2</v>
      </c>
      <c r="H216">
        <v>1.3134E-2</v>
      </c>
      <c r="I216">
        <v>1.4701000000000001E-2</v>
      </c>
      <c r="J216">
        <v>1.8474000000000001E-2</v>
      </c>
      <c r="K216">
        <v>1.9517E-2</v>
      </c>
      <c r="L216">
        <v>2.1402000000000001E-2</v>
      </c>
      <c r="M216">
        <v>2.5304E-2</v>
      </c>
      <c r="N216">
        <v>2.7472E-2</v>
      </c>
      <c r="O216" s="8">
        <f t="shared" si="10"/>
        <v>1016.9026820037334</v>
      </c>
      <c r="P216" s="8">
        <f t="shared" si="11"/>
        <v>2422.4500586920253</v>
      </c>
      <c r="Q216" s="8">
        <f t="shared" si="12"/>
        <v>1057.6520355971813</v>
      </c>
      <c r="R216">
        <v>3.1538357748665855E-2</v>
      </c>
      <c r="S216">
        <v>4.4417380261086166E-2</v>
      </c>
      <c r="T216">
        <v>-3.2085378820500242E-2</v>
      </c>
    </row>
    <row r="217" spans="1:20" x14ac:dyDescent="0.25">
      <c r="A217">
        <v>214</v>
      </c>
      <c r="B217">
        <v>18</v>
      </c>
      <c r="C217">
        <v>10</v>
      </c>
      <c r="D217">
        <v>7.1919999999999996E-3</v>
      </c>
      <c r="E217">
        <v>1.0907E-2</v>
      </c>
      <c r="F217">
        <v>1.0267999999999999E-2</v>
      </c>
      <c r="G217">
        <v>1.0276E-2</v>
      </c>
      <c r="H217">
        <v>1.3103999999999999E-2</v>
      </c>
      <c r="I217">
        <v>1.4782999999999999E-2</v>
      </c>
      <c r="J217">
        <v>1.8436000000000001E-2</v>
      </c>
      <c r="K217">
        <v>1.9465E-2</v>
      </c>
      <c r="L217">
        <v>2.1319000000000001E-2</v>
      </c>
      <c r="M217">
        <v>2.5321E-2</v>
      </c>
      <c r="N217">
        <v>2.7508999999999999E-2</v>
      </c>
      <c r="O217" s="8">
        <f t="shared" si="10"/>
        <v>1014.3871257534192</v>
      </c>
      <c r="P217" s="8">
        <f t="shared" si="11"/>
        <v>2430.5424656333407</v>
      </c>
      <c r="Q217" s="8">
        <f t="shared" si="12"/>
        <v>1054.6147806702995</v>
      </c>
      <c r="R217">
        <v>-2.9284351290735828E-2</v>
      </c>
      <c r="S217">
        <v>4.0831844933109603E-2</v>
      </c>
      <c r="T217">
        <v>-3.3921248269308202E-2</v>
      </c>
    </row>
    <row r="218" spans="1:20" x14ac:dyDescent="0.25">
      <c r="A218">
        <v>215</v>
      </c>
      <c r="B218">
        <v>18</v>
      </c>
      <c r="C218">
        <v>11</v>
      </c>
      <c r="D218">
        <v>7.2370000000000004E-3</v>
      </c>
      <c r="E218">
        <v>1.0867999999999999E-2</v>
      </c>
      <c r="F218">
        <v>1.0344000000000001E-2</v>
      </c>
      <c r="G218">
        <v>1.0328E-2</v>
      </c>
      <c r="H218">
        <v>1.3055000000000001E-2</v>
      </c>
      <c r="I218">
        <v>1.4689000000000001E-2</v>
      </c>
      <c r="J218">
        <v>1.8450999999999999E-2</v>
      </c>
      <c r="K218">
        <v>1.9535E-2</v>
      </c>
      <c r="L218">
        <v>2.1292999999999999E-2</v>
      </c>
      <c r="M218">
        <v>2.5373E-2</v>
      </c>
      <c r="N218">
        <v>2.7434E-2</v>
      </c>
      <c r="O218" s="8">
        <f t="shared" si="10"/>
        <v>1014.9522772963051</v>
      </c>
      <c r="P218" s="8">
        <f t="shared" si="11"/>
        <v>2440.8663350360152</v>
      </c>
      <c r="Q218" s="8">
        <f t="shared" si="12"/>
        <v>1051.2566430812847</v>
      </c>
      <c r="R218">
        <v>6.7061560184649384E-3</v>
      </c>
      <c r="S218">
        <v>5.2178469422065513E-2</v>
      </c>
      <c r="T218">
        <v>-3.7548634312213607E-2</v>
      </c>
    </row>
    <row r="219" spans="1:20" x14ac:dyDescent="0.25">
      <c r="A219">
        <v>216</v>
      </c>
      <c r="B219">
        <v>18</v>
      </c>
      <c r="C219">
        <v>12</v>
      </c>
      <c r="D219">
        <v>7.306E-3</v>
      </c>
      <c r="E219">
        <v>1.09E-2</v>
      </c>
      <c r="F219">
        <v>1.035E-2</v>
      </c>
      <c r="G219">
        <v>1.0388E-2</v>
      </c>
      <c r="H219">
        <v>1.3018E-2</v>
      </c>
      <c r="I219">
        <v>1.4663000000000001E-2</v>
      </c>
      <c r="J219">
        <v>1.8492999999999999E-2</v>
      </c>
      <c r="K219">
        <v>1.9567000000000001E-2</v>
      </c>
      <c r="L219">
        <v>2.1309999999999999E-2</v>
      </c>
      <c r="M219">
        <v>2.5274999999999999E-2</v>
      </c>
      <c r="N219">
        <v>2.7338000000000001E-2</v>
      </c>
      <c r="O219" s="8">
        <f t="shared" si="10"/>
        <v>1012.6622877952128</v>
      </c>
      <c r="P219" s="8">
        <f t="shared" si="11"/>
        <v>2449.5842870826109</v>
      </c>
      <c r="Q219" s="8">
        <f t="shared" si="12"/>
        <v>1048.0591356440916</v>
      </c>
      <c r="R219">
        <v>-2.6741569774435318E-2</v>
      </c>
      <c r="S219">
        <v>4.3712008467323989E-2</v>
      </c>
      <c r="T219">
        <v>-3.5894818319499873E-2</v>
      </c>
    </row>
    <row r="220" spans="1:20" x14ac:dyDescent="0.25">
      <c r="A220">
        <v>217</v>
      </c>
      <c r="B220">
        <v>19</v>
      </c>
      <c r="C220">
        <v>1</v>
      </c>
      <c r="D220">
        <v>7.2389999999999998E-3</v>
      </c>
      <c r="E220">
        <v>1.1001E-2</v>
      </c>
      <c r="F220">
        <v>1.0348E-2</v>
      </c>
      <c r="G220">
        <v>1.0352E-2</v>
      </c>
      <c r="H220">
        <v>1.3082999999999999E-2</v>
      </c>
      <c r="I220">
        <v>1.4605E-2</v>
      </c>
      <c r="J220">
        <v>1.8586999999999999E-2</v>
      </c>
      <c r="K220">
        <v>1.9644999999999999E-2</v>
      </c>
      <c r="L220">
        <v>2.1231E-2</v>
      </c>
      <c r="M220">
        <v>2.5340999999999999E-2</v>
      </c>
      <c r="N220">
        <v>2.7279000000000001E-2</v>
      </c>
      <c r="O220" s="8">
        <f t="shared" si="10"/>
        <v>1011.745391359379</v>
      </c>
      <c r="P220" s="8">
        <f t="shared" si="11"/>
        <v>2459.4001341096209</v>
      </c>
      <c r="Q220" s="8">
        <f t="shared" si="12"/>
        <v>1045.2023085700118</v>
      </c>
      <c r="R220">
        <v>-1.0811234951802549E-2</v>
      </c>
      <c r="S220">
        <v>4.9159838865165499E-2</v>
      </c>
      <c r="T220">
        <v>-3.2223954680255573E-2</v>
      </c>
    </row>
    <row r="221" spans="1:20" x14ac:dyDescent="0.25">
      <c r="A221">
        <v>218</v>
      </c>
      <c r="B221">
        <v>19</v>
      </c>
      <c r="C221">
        <v>2</v>
      </c>
      <c r="D221">
        <v>7.2979999999999998E-3</v>
      </c>
      <c r="E221">
        <v>1.1002E-2</v>
      </c>
      <c r="F221">
        <v>1.0281E-2</v>
      </c>
      <c r="G221">
        <v>1.0371999999999999E-2</v>
      </c>
      <c r="H221">
        <v>1.3010000000000001E-2</v>
      </c>
      <c r="I221">
        <v>1.4532E-2</v>
      </c>
      <c r="J221">
        <v>1.8540999999999998E-2</v>
      </c>
      <c r="K221">
        <v>1.9595000000000001E-2</v>
      </c>
      <c r="L221">
        <v>2.1326000000000001E-2</v>
      </c>
      <c r="M221">
        <v>2.5271999999999999E-2</v>
      </c>
      <c r="N221">
        <v>2.7317999999999999E-2</v>
      </c>
      <c r="O221" s="8">
        <f t="shared" si="10"/>
        <v>1015.282801018338</v>
      </c>
      <c r="P221" s="8">
        <f t="shared" si="11"/>
        <v>2470.313948450214</v>
      </c>
      <c r="Q221" s="8">
        <f t="shared" si="12"/>
        <v>1042.197313957302</v>
      </c>
      <c r="R221">
        <v>4.2772413845450059E-2</v>
      </c>
      <c r="S221">
        <v>5.4570208856946106E-2</v>
      </c>
      <c r="T221">
        <v>-3.3960085500854435E-2</v>
      </c>
    </row>
    <row r="222" spans="1:20" x14ac:dyDescent="0.25">
      <c r="A222">
        <v>219</v>
      </c>
      <c r="B222">
        <v>19</v>
      </c>
      <c r="C222">
        <v>3</v>
      </c>
      <c r="D222">
        <v>7.3119999999999999E-3</v>
      </c>
      <c r="E222">
        <v>1.0947E-2</v>
      </c>
      <c r="F222">
        <v>1.0234999999999999E-2</v>
      </c>
      <c r="G222">
        <v>1.0401000000000001E-2</v>
      </c>
      <c r="H222">
        <v>1.3037E-2</v>
      </c>
      <c r="I222">
        <v>1.4514000000000001E-2</v>
      </c>
      <c r="J222">
        <v>1.8529E-2</v>
      </c>
      <c r="K222">
        <v>1.9598999999999998E-2</v>
      </c>
      <c r="L222">
        <v>2.1248E-2</v>
      </c>
      <c r="M222">
        <v>2.5219999999999999E-2</v>
      </c>
      <c r="N222">
        <v>2.7274E-2</v>
      </c>
      <c r="O222" s="8">
        <f t="shared" si="10"/>
        <v>1014.3001853490086</v>
      </c>
      <c r="P222" s="8">
        <f t="shared" si="11"/>
        <v>2482.3925277742046</v>
      </c>
      <c r="Q222" s="8">
        <f t="shared" si="12"/>
        <v>1039.1729707309623</v>
      </c>
      <c r="R222">
        <v>-1.1552273015433075E-2</v>
      </c>
      <c r="S222">
        <v>6.0277771534483528E-2</v>
      </c>
      <c r="T222">
        <v>-3.4272251494532197E-2</v>
      </c>
    </row>
    <row r="223" spans="1:20" x14ac:dyDescent="0.25">
      <c r="A223">
        <v>220</v>
      </c>
      <c r="B223">
        <v>19</v>
      </c>
      <c r="C223">
        <v>4</v>
      </c>
      <c r="D223">
        <v>7.3749999999999996E-3</v>
      </c>
      <c r="E223">
        <v>1.0892000000000001E-2</v>
      </c>
      <c r="F223">
        <v>1.0168999999999999E-2</v>
      </c>
      <c r="G223">
        <v>1.0342E-2</v>
      </c>
      <c r="H223">
        <v>1.3002E-2</v>
      </c>
      <c r="I223">
        <v>1.4465E-2</v>
      </c>
      <c r="J223">
        <v>1.8516000000000001E-2</v>
      </c>
      <c r="K223">
        <v>1.9598000000000001E-2</v>
      </c>
      <c r="L223">
        <v>2.1158E-2</v>
      </c>
      <c r="M223">
        <v>2.5135999999999999E-2</v>
      </c>
      <c r="N223">
        <v>2.7254E-2</v>
      </c>
      <c r="O223" s="8">
        <f t="shared" si="10"/>
        <v>1012.9792716844591</v>
      </c>
      <c r="P223" s="8">
        <f t="shared" si="11"/>
        <v>2495.7798785465811</v>
      </c>
      <c r="Q223" s="8">
        <f t="shared" si="12"/>
        <v>1036.2625115823903</v>
      </c>
      <c r="R223">
        <v>-1.5516039053667325E-2</v>
      </c>
      <c r="S223">
        <v>6.6669518156800209E-2</v>
      </c>
      <c r="T223">
        <v>-3.3096034826061452E-2</v>
      </c>
    </row>
    <row r="224" spans="1:20" x14ac:dyDescent="0.25">
      <c r="A224">
        <v>221</v>
      </c>
      <c r="B224">
        <v>19</v>
      </c>
      <c r="C224">
        <v>5</v>
      </c>
      <c r="D224">
        <v>7.3309999999999998E-3</v>
      </c>
      <c r="E224">
        <v>1.0992E-2</v>
      </c>
      <c r="F224">
        <v>1.0122000000000001E-2</v>
      </c>
      <c r="G224">
        <v>1.0343E-2</v>
      </c>
      <c r="H224">
        <v>1.3058999999999999E-2</v>
      </c>
      <c r="I224">
        <v>1.4548999999999999E-2</v>
      </c>
      <c r="J224">
        <v>1.8481999999999998E-2</v>
      </c>
      <c r="K224">
        <v>1.9630999999999999E-2</v>
      </c>
      <c r="L224">
        <v>2.1139000000000002E-2</v>
      </c>
      <c r="M224">
        <v>2.5100999999999998E-2</v>
      </c>
      <c r="N224">
        <v>2.7282000000000001E-2</v>
      </c>
      <c r="O224" s="8">
        <f t="shared" si="10"/>
        <v>1009.3191279760814</v>
      </c>
      <c r="P224" s="8">
        <f t="shared" si="11"/>
        <v>2509.5558564338826</v>
      </c>
      <c r="Q224" s="8">
        <f t="shared" si="12"/>
        <v>1033.14002865782</v>
      </c>
      <c r="R224">
        <v>-4.2507584705216178E-2</v>
      </c>
      <c r="S224">
        <v>6.8284799405943467E-2</v>
      </c>
      <c r="T224">
        <v>-3.5565326793826672E-2</v>
      </c>
    </row>
    <row r="225" spans="1:20" x14ac:dyDescent="0.25">
      <c r="A225">
        <v>222</v>
      </c>
      <c r="B225">
        <v>19</v>
      </c>
      <c r="C225">
        <v>6</v>
      </c>
      <c r="D225">
        <v>7.3670000000000003E-3</v>
      </c>
      <c r="E225">
        <v>1.0911000000000001E-2</v>
      </c>
      <c r="F225">
        <v>1.0118E-2</v>
      </c>
      <c r="G225">
        <v>1.0299000000000001E-2</v>
      </c>
      <c r="H225">
        <v>1.3117999999999999E-2</v>
      </c>
      <c r="I225">
        <v>1.4552000000000001E-2</v>
      </c>
      <c r="J225">
        <v>1.8537999999999999E-2</v>
      </c>
      <c r="K225">
        <v>1.9723000000000001E-2</v>
      </c>
      <c r="L225">
        <v>2.1139999999999999E-2</v>
      </c>
      <c r="M225">
        <v>2.5076000000000001E-2</v>
      </c>
      <c r="N225">
        <v>2.7243E-2</v>
      </c>
      <c r="O225" s="8">
        <f t="shared" si="10"/>
        <v>1005.4917426684931</v>
      </c>
      <c r="P225" s="8">
        <f t="shared" si="11"/>
        <v>2516.8388919478193</v>
      </c>
      <c r="Q225" s="8">
        <f t="shared" si="12"/>
        <v>1030.2470659369926</v>
      </c>
      <c r="R225">
        <v>-4.4567400512112575E-2</v>
      </c>
      <c r="S225">
        <v>3.5386740616895056E-2</v>
      </c>
      <c r="T225">
        <v>-3.3089280953814276E-2</v>
      </c>
    </row>
    <row r="226" spans="1:20" x14ac:dyDescent="0.25">
      <c r="A226">
        <v>223</v>
      </c>
      <c r="B226">
        <v>19</v>
      </c>
      <c r="C226">
        <v>7</v>
      </c>
      <c r="D226">
        <v>7.3509999999999999E-3</v>
      </c>
      <c r="E226">
        <v>1.0843E-2</v>
      </c>
      <c r="F226">
        <v>1.0107E-2</v>
      </c>
      <c r="G226">
        <v>1.0246E-2</v>
      </c>
      <c r="H226">
        <v>1.3169E-2</v>
      </c>
      <c r="I226">
        <v>1.4453000000000001E-2</v>
      </c>
      <c r="J226">
        <v>1.8478000000000001E-2</v>
      </c>
      <c r="K226">
        <v>1.9678999999999999E-2</v>
      </c>
      <c r="L226">
        <v>2.1211000000000001E-2</v>
      </c>
      <c r="M226">
        <v>2.5010000000000001E-2</v>
      </c>
      <c r="N226">
        <v>2.7168000000000001E-2</v>
      </c>
      <c r="O226" s="8">
        <f t="shared" si="10"/>
        <v>1005.1251690839966</v>
      </c>
      <c r="P226" s="8">
        <f t="shared" si="11"/>
        <v>2530.9002766216049</v>
      </c>
      <c r="Q226" s="8">
        <f t="shared" si="12"/>
        <v>1027.1567213066382</v>
      </c>
      <c r="R226">
        <v>-4.3660958596977014E-3</v>
      </c>
      <c r="S226">
        <v>6.9142030749165251E-2</v>
      </c>
      <c r="T226">
        <v>-3.5407431156048309E-2</v>
      </c>
    </row>
    <row r="227" spans="1:20" x14ac:dyDescent="0.25">
      <c r="A227">
        <v>224</v>
      </c>
      <c r="B227">
        <v>19</v>
      </c>
      <c r="C227">
        <v>8</v>
      </c>
      <c r="D227">
        <v>7.3419999999999996E-3</v>
      </c>
      <c r="E227">
        <v>1.0792E-2</v>
      </c>
      <c r="F227">
        <v>1.0187999999999999E-2</v>
      </c>
      <c r="G227">
        <v>1.0163999999999999E-2</v>
      </c>
      <c r="H227">
        <v>1.3213000000000001E-2</v>
      </c>
      <c r="I227">
        <v>1.4456E-2</v>
      </c>
      <c r="J227">
        <v>1.8558000000000002E-2</v>
      </c>
      <c r="K227">
        <v>1.9706999999999999E-2</v>
      </c>
      <c r="L227">
        <v>2.1177000000000001E-2</v>
      </c>
      <c r="M227">
        <v>2.5092E-2</v>
      </c>
      <c r="N227">
        <v>2.7168000000000001E-2</v>
      </c>
      <c r="O227" s="8">
        <f t="shared" si="10"/>
        <v>1009.1061356029381</v>
      </c>
      <c r="P227" s="8">
        <f t="shared" si="11"/>
        <v>2538.144669076351</v>
      </c>
      <c r="Q227" s="8">
        <f t="shared" si="12"/>
        <v>1024.440788432225</v>
      </c>
      <c r="R227">
        <v>4.8577134955108035E-2</v>
      </c>
      <c r="S227">
        <v>3.489447655120001E-2</v>
      </c>
      <c r="T227">
        <v>-3.1272134579796614E-2</v>
      </c>
    </row>
    <row r="228" spans="1:20" x14ac:dyDescent="0.25">
      <c r="A228">
        <v>225</v>
      </c>
      <c r="B228">
        <v>19</v>
      </c>
      <c r="C228">
        <v>9</v>
      </c>
      <c r="D228">
        <v>7.4180000000000001E-3</v>
      </c>
      <c r="E228">
        <v>1.089E-2</v>
      </c>
      <c r="F228">
        <v>1.0185E-2</v>
      </c>
      <c r="G228">
        <v>1.0215E-2</v>
      </c>
      <c r="H228">
        <v>1.3309E-2</v>
      </c>
      <c r="I228">
        <v>1.4555E-2</v>
      </c>
      <c r="J228">
        <v>1.8497E-2</v>
      </c>
      <c r="K228">
        <v>1.9628E-2</v>
      </c>
      <c r="L228">
        <v>2.1167999999999999E-2</v>
      </c>
      <c r="M228">
        <v>2.5182E-2</v>
      </c>
      <c r="N228">
        <v>2.7122E-2</v>
      </c>
      <c r="O228" s="8">
        <f t="shared" si="10"/>
        <v>1005.7087813526543</v>
      </c>
      <c r="P228" s="8">
        <f t="shared" si="11"/>
        <v>2551.619818661788</v>
      </c>
      <c r="Q228" s="8">
        <f t="shared" si="12"/>
        <v>1021.4602066700592</v>
      </c>
      <c r="R228">
        <v>-3.9660605204454503E-2</v>
      </c>
      <c r="S228">
        <v>6.560225770300214E-2</v>
      </c>
      <c r="T228">
        <v>-3.4360354907415486E-2</v>
      </c>
    </row>
    <row r="229" spans="1:20" x14ac:dyDescent="0.25">
      <c r="A229">
        <v>226</v>
      </c>
      <c r="B229">
        <v>19</v>
      </c>
      <c r="C229">
        <v>10</v>
      </c>
      <c r="D229">
        <v>7.4650000000000003E-3</v>
      </c>
      <c r="E229">
        <v>1.0969E-2</v>
      </c>
      <c r="F229">
        <v>1.0264000000000001E-2</v>
      </c>
      <c r="G229">
        <v>1.0208E-2</v>
      </c>
      <c r="H229">
        <v>1.3302E-2</v>
      </c>
      <c r="I229">
        <v>1.4615E-2</v>
      </c>
      <c r="J229">
        <v>1.8404E-2</v>
      </c>
      <c r="K229">
        <v>1.9609999999999999E-2</v>
      </c>
      <c r="L229">
        <v>2.1264999999999999E-2</v>
      </c>
      <c r="M229">
        <v>2.5135999999999999E-2</v>
      </c>
      <c r="N229">
        <v>2.7165999999999999E-2</v>
      </c>
      <c r="O229" s="8">
        <f t="shared" si="10"/>
        <v>1009.4442903529437</v>
      </c>
      <c r="P229" s="8">
        <f t="shared" si="11"/>
        <v>2565.2756019168251</v>
      </c>
      <c r="Q229" s="8">
        <f t="shared" si="12"/>
        <v>1018.2469153659019</v>
      </c>
      <c r="R229">
        <v>4.5493566331528311E-2</v>
      </c>
      <c r="S229">
        <v>6.6146209882284243E-2</v>
      </c>
      <c r="T229">
        <v>-3.7103054099658597E-2</v>
      </c>
    </row>
    <row r="230" spans="1:20" x14ac:dyDescent="0.25">
      <c r="A230">
        <v>227</v>
      </c>
      <c r="B230">
        <v>19</v>
      </c>
      <c r="C230">
        <v>11</v>
      </c>
      <c r="D230">
        <v>7.4790000000000004E-3</v>
      </c>
      <c r="E230">
        <v>1.1050000000000001E-2</v>
      </c>
      <c r="F230">
        <v>1.0321E-2</v>
      </c>
      <c r="G230">
        <v>1.0276E-2</v>
      </c>
      <c r="H230">
        <v>1.3388000000000001E-2</v>
      </c>
      <c r="I230">
        <v>1.4656000000000001E-2</v>
      </c>
      <c r="J230">
        <v>1.8492000000000001E-2</v>
      </c>
      <c r="K230">
        <v>1.9542E-2</v>
      </c>
      <c r="L230">
        <v>2.1354000000000001E-2</v>
      </c>
      <c r="M230">
        <v>2.5163000000000001E-2</v>
      </c>
      <c r="N230">
        <v>2.7236E-2</v>
      </c>
      <c r="O230" s="8">
        <f t="shared" si="10"/>
        <v>1012.6780048231545</v>
      </c>
      <c r="P230" s="8">
        <f t="shared" si="11"/>
        <v>2577.7598159368763</v>
      </c>
      <c r="Q230" s="8">
        <f t="shared" si="12"/>
        <v>1015.2328037704345</v>
      </c>
      <c r="R230">
        <v>3.9126107847085916E-2</v>
      </c>
      <c r="S230">
        <v>5.9988183450658504E-2</v>
      </c>
      <c r="T230">
        <v>-3.4948551101997218E-2</v>
      </c>
    </row>
    <row r="231" spans="1:20" x14ac:dyDescent="0.25">
      <c r="A231">
        <v>228</v>
      </c>
      <c r="B231">
        <v>19</v>
      </c>
      <c r="C231">
        <v>12</v>
      </c>
      <c r="D231">
        <v>7.5529999999999998E-3</v>
      </c>
      <c r="E231">
        <v>1.1121000000000001E-2</v>
      </c>
      <c r="F231">
        <v>1.0387E-2</v>
      </c>
      <c r="G231">
        <v>1.0198E-2</v>
      </c>
      <c r="H231">
        <v>1.3440000000000001E-2</v>
      </c>
      <c r="I231">
        <v>1.4733E-2</v>
      </c>
      <c r="J231">
        <v>1.8549E-2</v>
      </c>
      <c r="K231">
        <v>1.9498000000000001E-2</v>
      </c>
      <c r="L231">
        <v>2.1301E-2</v>
      </c>
      <c r="M231">
        <v>2.5111000000000001E-2</v>
      </c>
      <c r="N231">
        <v>2.7241000000000001E-2</v>
      </c>
      <c r="O231" s="8">
        <f t="shared" si="10"/>
        <v>1010.2300083675382</v>
      </c>
      <c r="P231" s="8">
        <f t="shared" si="11"/>
        <v>2590.3432137044638</v>
      </c>
      <c r="Q231" s="8">
        <f t="shared" si="12"/>
        <v>1012.1263030234594</v>
      </c>
      <c r="R231">
        <v>-2.8625606230348433E-2</v>
      </c>
      <c r="S231">
        <v>6.0176901318612461E-2</v>
      </c>
      <c r="T231">
        <v>-3.6106987035899096E-2</v>
      </c>
    </row>
    <row r="232" spans="1:20" x14ac:dyDescent="0.25">
      <c r="A232">
        <v>229</v>
      </c>
      <c r="B232">
        <v>20</v>
      </c>
      <c r="C232">
        <v>1</v>
      </c>
      <c r="D232">
        <v>7.5240000000000003E-3</v>
      </c>
      <c r="E232">
        <v>1.1148999999999999E-2</v>
      </c>
      <c r="F232">
        <v>1.0389000000000001E-2</v>
      </c>
      <c r="G232">
        <v>1.0196999999999999E-2</v>
      </c>
      <c r="H232">
        <v>1.3464E-2</v>
      </c>
      <c r="I232">
        <v>1.4761E-2</v>
      </c>
      <c r="J232">
        <v>1.8585999999999998E-2</v>
      </c>
      <c r="K232">
        <v>1.9401999999999999E-2</v>
      </c>
      <c r="L232">
        <v>2.1368999999999999E-2</v>
      </c>
      <c r="M232">
        <v>2.5056999999999999E-2</v>
      </c>
      <c r="N232">
        <v>2.7320000000000001E-2</v>
      </c>
      <c r="O232" s="8">
        <f t="shared" si="10"/>
        <v>1011.3268429241601</v>
      </c>
      <c r="P232" s="8">
        <f t="shared" si="11"/>
        <v>2601.7224030037023</v>
      </c>
      <c r="Q232" s="8">
        <f t="shared" si="12"/>
        <v>1008.7709197838383</v>
      </c>
      <c r="R232">
        <v>1.31068139994624E-2</v>
      </c>
      <c r="S232">
        <v>5.400761838711967E-2</v>
      </c>
      <c r="T232">
        <v>-3.9064775660158715E-2</v>
      </c>
    </row>
    <row r="233" spans="1:20" x14ac:dyDescent="0.25">
      <c r="A233">
        <v>230</v>
      </c>
      <c r="B233">
        <v>20</v>
      </c>
      <c r="C233">
        <v>2</v>
      </c>
      <c r="D233">
        <v>7.5030000000000001E-3</v>
      </c>
      <c r="E233">
        <v>1.1247E-2</v>
      </c>
      <c r="F233">
        <v>1.031E-2</v>
      </c>
      <c r="G233">
        <v>1.0207000000000001E-2</v>
      </c>
      <c r="H233">
        <v>1.3365999999999999E-2</v>
      </c>
      <c r="I233">
        <v>1.4858E-2</v>
      </c>
      <c r="J233">
        <v>1.8612E-2</v>
      </c>
      <c r="K233">
        <v>1.9453000000000002E-2</v>
      </c>
      <c r="L233">
        <v>2.1309999999999999E-2</v>
      </c>
      <c r="M233">
        <v>2.5083000000000001E-2</v>
      </c>
      <c r="N233">
        <v>2.7373000000000001E-2</v>
      </c>
      <c r="O233" s="8">
        <f t="shared" si="10"/>
        <v>1008.8572220619558</v>
      </c>
      <c r="P233" s="8">
        <f t="shared" si="11"/>
        <v>2613.9910918139208</v>
      </c>
      <c r="Q233" s="8">
        <f t="shared" si="12"/>
        <v>1005.5342514480038</v>
      </c>
      <c r="R233">
        <v>-2.8913150391541204E-2</v>
      </c>
      <c r="S233">
        <v>5.8078182464791371E-2</v>
      </c>
      <c r="T233">
        <v>-3.7830087387498913E-2</v>
      </c>
    </row>
    <row r="234" spans="1:20" x14ac:dyDescent="0.25">
      <c r="A234">
        <v>231</v>
      </c>
      <c r="B234">
        <v>20</v>
      </c>
      <c r="C234">
        <v>3</v>
      </c>
      <c r="D234">
        <v>7.4060000000000003E-3</v>
      </c>
      <c r="E234">
        <v>1.1165E-2</v>
      </c>
      <c r="F234">
        <v>1.027E-2</v>
      </c>
      <c r="G234">
        <v>1.0253999999999999E-2</v>
      </c>
      <c r="H234">
        <v>1.3455E-2</v>
      </c>
      <c r="I234">
        <v>1.4796E-2</v>
      </c>
      <c r="J234">
        <v>1.8515E-2</v>
      </c>
      <c r="K234">
        <v>1.9446000000000001E-2</v>
      </c>
      <c r="L234">
        <v>2.1402000000000001E-2</v>
      </c>
      <c r="M234">
        <v>2.5051E-2</v>
      </c>
      <c r="N234">
        <v>2.7456000000000001E-2</v>
      </c>
      <c r="O234" s="8">
        <f t="shared" si="10"/>
        <v>1009.9341651422322</v>
      </c>
      <c r="P234" s="8">
        <f t="shared" si="11"/>
        <v>2626.9852894842052</v>
      </c>
      <c r="Q234" s="8">
        <f t="shared" si="12"/>
        <v>1002.4101841598375</v>
      </c>
      <c r="R234">
        <v>1.2885334508942314E-2</v>
      </c>
      <c r="S234">
        <v>6.1310476931061036E-2</v>
      </c>
      <c r="T234">
        <v>-3.6651953095129086E-2</v>
      </c>
    </row>
    <row r="235" spans="1:20" x14ac:dyDescent="0.25">
      <c r="A235">
        <v>232</v>
      </c>
      <c r="B235">
        <v>20</v>
      </c>
      <c r="C235">
        <v>4</v>
      </c>
      <c r="D235">
        <v>7.4799999999999997E-3</v>
      </c>
      <c r="E235">
        <v>1.1195999999999999E-2</v>
      </c>
      <c r="F235">
        <v>1.0233000000000001E-2</v>
      </c>
      <c r="G235">
        <v>1.0305999999999999E-2</v>
      </c>
      <c r="H235">
        <v>1.3455E-2</v>
      </c>
      <c r="I235">
        <v>1.4864E-2</v>
      </c>
      <c r="J235">
        <v>1.8595E-2</v>
      </c>
      <c r="K235">
        <v>1.9498000000000001E-2</v>
      </c>
      <c r="L235">
        <v>2.1349E-2</v>
      </c>
      <c r="M235">
        <v>2.4964E-2</v>
      </c>
      <c r="N235">
        <v>2.7486E-2</v>
      </c>
      <c r="O235" s="8">
        <f t="shared" si="10"/>
        <v>1007.5496547599605</v>
      </c>
      <c r="P235" s="8">
        <f t="shared" si="11"/>
        <v>2635.4345298779481</v>
      </c>
      <c r="Q235" s="8">
        <f t="shared" si="12"/>
        <v>999.25167513933491</v>
      </c>
      <c r="R235">
        <v>-2.7967621113307743E-2</v>
      </c>
      <c r="S235">
        <v>3.9286035514714976E-2</v>
      </c>
      <c r="T235">
        <v>-3.7162545163707005E-2</v>
      </c>
    </row>
    <row r="236" spans="1:20" x14ac:dyDescent="0.25">
      <c r="A236">
        <v>233</v>
      </c>
      <c r="B236">
        <v>20</v>
      </c>
      <c r="C236">
        <v>5</v>
      </c>
      <c r="D236">
        <v>7.3990000000000002E-3</v>
      </c>
      <c r="E236">
        <v>1.1176E-2</v>
      </c>
      <c r="F236">
        <v>1.0211E-2</v>
      </c>
      <c r="G236">
        <v>1.0277E-2</v>
      </c>
      <c r="H236">
        <v>1.3389E-2</v>
      </c>
      <c r="I236">
        <v>1.4768E-2</v>
      </c>
      <c r="J236">
        <v>1.8631000000000002E-2</v>
      </c>
      <c r="K236">
        <v>1.9431E-2</v>
      </c>
      <c r="L236">
        <v>2.1389999999999999E-2</v>
      </c>
      <c r="M236">
        <v>2.4982000000000001E-2</v>
      </c>
      <c r="N236">
        <v>2.7486E-2</v>
      </c>
      <c r="O236" s="8">
        <f t="shared" si="10"/>
        <v>1004.1867404420974</v>
      </c>
      <c r="P236" s="8">
        <f t="shared" si="11"/>
        <v>2646.5913186234911</v>
      </c>
      <c r="Q236" s="8">
        <f t="shared" si="12"/>
        <v>996.4409791630826</v>
      </c>
      <c r="R236">
        <v>-3.9325444970290904E-2</v>
      </c>
      <c r="S236">
        <v>5.2000196764752683E-2</v>
      </c>
      <c r="T236">
        <v>-3.323629349956269E-2</v>
      </c>
    </row>
    <row r="237" spans="1:20" x14ac:dyDescent="0.25">
      <c r="A237">
        <v>234</v>
      </c>
      <c r="B237">
        <v>20</v>
      </c>
      <c r="C237">
        <v>6</v>
      </c>
      <c r="D237">
        <v>7.4570000000000001E-3</v>
      </c>
      <c r="E237">
        <v>1.1239000000000001E-2</v>
      </c>
      <c r="F237">
        <v>1.0214000000000001E-2</v>
      </c>
      <c r="G237">
        <v>1.0245000000000001E-2</v>
      </c>
      <c r="H237">
        <v>1.3298000000000001E-2</v>
      </c>
      <c r="I237">
        <v>1.4815E-2</v>
      </c>
      <c r="J237">
        <v>1.8558000000000002E-2</v>
      </c>
      <c r="K237">
        <v>1.9452000000000001E-2</v>
      </c>
      <c r="L237">
        <v>2.1430999999999999E-2</v>
      </c>
      <c r="M237">
        <v>2.4934999999999999E-2</v>
      </c>
      <c r="N237">
        <v>2.7407999999999998E-2</v>
      </c>
      <c r="O237" s="8">
        <f t="shared" si="10"/>
        <v>1002.4532186276859</v>
      </c>
      <c r="P237" s="8">
        <f t="shared" si="11"/>
        <v>2659.3475705343976</v>
      </c>
      <c r="Q237" s="8">
        <f t="shared" si="12"/>
        <v>994.00169713425009</v>
      </c>
      <c r="R237">
        <v>-2.0519972564601054E-2</v>
      </c>
      <c r="S237">
        <v>5.9396721941936466E-2</v>
      </c>
      <c r="T237">
        <v>-2.8983626924405106E-2</v>
      </c>
    </row>
    <row r="238" spans="1:20" x14ac:dyDescent="0.25">
      <c r="A238">
        <v>235</v>
      </c>
      <c r="B238">
        <v>20</v>
      </c>
      <c r="C238">
        <v>7</v>
      </c>
      <c r="D238">
        <v>7.4580000000000002E-3</v>
      </c>
      <c r="E238">
        <v>1.1181999999999999E-2</v>
      </c>
      <c r="F238">
        <v>1.0187999999999999E-2</v>
      </c>
      <c r="G238">
        <v>1.0246999999999999E-2</v>
      </c>
      <c r="H238">
        <v>1.3318E-2</v>
      </c>
      <c r="I238">
        <v>1.4777999999999999E-2</v>
      </c>
      <c r="J238">
        <v>1.8554999999999999E-2</v>
      </c>
      <c r="K238">
        <v>1.9451E-2</v>
      </c>
      <c r="L238">
        <v>2.137E-2</v>
      </c>
      <c r="M238">
        <v>2.4865999999999999E-2</v>
      </c>
      <c r="N238">
        <v>2.7497000000000001E-2</v>
      </c>
      <c r="O238" s="8">
        <f t="shared" si="10"/>
        <v>998.23379684355939</v>
      </c>
      <c r="P238" s="8">
        <f t="shared" si="11"/>
        <v>2668.6985473578875</v>
      </c>
      <c r="Q238" s="8">
        <f t="shared" si="12"/>
        <v>991.72075591980342</v>
      </c>
      <c r="R238">
        <v>-4.9356114324074864E-2</v>
      </c>
      <c r="S238">
        <v>4.3020880923894667E-2</v>
      </c>
      <c r="T238">
        <v>-2.7191576806789904E-2</v>
      </c>
    </row>
    <row r="239" spans="1:20" x14ac:dyDescent="0.25">
      <c r="A239">
        <v>236</v>
      </c>
      <c r="B239">
        <v>20</v>
      </c>
      <c r="C239">
        <v>8</v>
      </c>
      <c r="D239">
        <v>7.3980000000000001E-3</v>
      </c>
      <c r="E239">
        <v>1.1171E-2</v>
      </c>
      <c r="F239">
        <v>1.0096000000000001E-2</v>
      </c>
      <c r="G239">
        <v>1.0215E-2</v>
      </c>
      <c r="H239">
        <v>1.3376000000000001E-2</v>
      </c>
      <c r="I239">
        <v>1.4770999999999999E-2</v>
      </c>
      <c r="J239">
        <v>1.8460000000000001E-2</v>
      </c>
      <c r="K239">
        <v>1.9361E-2</v>
      </c>
      <c r="L239">
        <v>2.1439E-2</v>
      </c>
      <c r="M239">
        <v>2.479E-2</v>
      </c>
      <c r="N239">
        <v>2.751E-2</v>
      </c>
      <c r="O239" s="8">
        <f t="shared" si="10"/>
        <v>996.47463636921907</v>
      </c>
      <c r="P239" s="8">
        <f t="shared" si="11"/>
        <v>2683.1632484070874</v>
      </c>
      <c r="Q239" s="8">
        <f t="shared" si="12"/>
        <v>989.10688204659414</v>
      </c>
      <c r="R239">
        <v>-2.0943505354940765E-2</v>
      </c>
      <c r="S239">
        <v>6.701599542604611E-2</v>
      </c>
      <c r="T239">
        <v>-3.1173854886634499E-2</v>
      </c>
    </row>
    <row r="240" spans="1:20" x14ac:dyDescent="0.25">
      <c r="A240">
        <v>237</v>
      </c>
      <c r="B240">
        <v>20</v>
      </c>
      <c r="C240">
        <v>9</v>
      </c>
      <c r="D240">
        <v>7.3359999999999996E-3</v>
      </c>
      <c r="E240">
        <v>1.1212E-2</v>
      </c>
      <c r="F240">
        <v>1.0142999999999999E-2</v>
      </c>
      <c r="G240">
        <v>1.0222E-2</v>
      </c>
      <c r="H240">
        <v>1.3448999999999999E-2</v>
      </c>
      <c r="I240">
        <v>1.4785E-2</v>
      </c>
      <c r="J240">
        <v>1.8435E-2</v>
      </c>
      <c r="K240">
        <v>1.9421000000000001E-2</v>
      </c>
      <c r="L240">
        <v>2.1343999999999998E-2</v>
      </c>
      <c r="M240">
        <v>2.4874E-2</v>
      </c>
      <c r="N240">
        <v>2.7508999999999999E-2</v>
      </c>
      <c r="O240" s="8">
        <f t="shared" si="10"/>
        <v>994.58175119581347</v>
      </c>
      <c r="P240" s="8">
        <f t="shared" si="11"/>
        <v>2690.5364024211608</v>
      </c>
      <c r="Q240" s="8">
        <f t="shared" si="12"/>
        <v>986.24725306788343</v>
      </c>
      <c r="R240">
        <v>-2.2558329092518668E-2</v>
      </c>
      <c r="S240">
        <v>3.3478169749809245E-2</v>
      </c>
      <c r="T240">
        <v>-3.4147082987370292E-2</v>
      </c>
    </row>
    <row r="241" spans="1:20" x14ac:dyDescent="0.25">
      <c r="A241">
        <v>238</v>
      </c>
      <c r="B241">
        <v>20</v>
      </c>
      <c r="C241">
        <v>10</v>
      </c>
      <c r="D241">
        <v>7.3930000000000003E-3</v>
      </c>
      <c r="E241">
        <v>1.1173000000000001E-2</v>
      </c>
      <c r="F241">
        <v>1.0155000000000001E-2</v>
      </c>
      <c r="G241">
        <v>1.0129000000000001E-2</v>
      </c>
      <c r="H241">
        <v>1.3419E-2</v>
      </c>
      <c r="I241">
        <v>1.4786000000000001E-2</v>
      </c>
      <c r="J241">
        <v>1.8380000000000001E-2</v>
      </c>
      <c r="K241">
        <v>1.9519999999999999E-2</v>
      </c>
      <c r="L241">
        <v>2.1385999999999999E-2</v>
      </c>
      <c r="M241">
        <v>2.4823000000000001E-2</v>
      </c>
      <c r="N241">
        <v>2.7473000000000001E-2</v>
      </c>
      <c r="O241" s="8">
        <f t="shared" si="10"/>
        <v>994.42667322478781</v>
      </c>
      <c r="P241" s="8">
        <f t="shared" si="11"/>
        <v>2704.7555793648453</v>
      </c>
      <c r="Q241" s="8">
        <f t="shared" si="12"/>
        <v>983.37984232665178</v>
      </c>
      <c r="R241">
        <v>-1.8694698415725386E-3</v>
      </c>
      <c r="S241">
        <v>6.5294870508561115E-2</v>
      </c>
      <c r="T241">
        <v>-3.4336221929639213E-2</v>
      </c>
    </row>
    <row r="242" spans="1:20" x14ac:dyDescent="0.25">
      <c r="A242">
        <v>239</v>
      </c>
      <c r="B242">
        <v>20</v>
      </c>
      <c r="C242">
        <v>11</v>
      </c>
      <c r="D242">
        <v>7.3229999999999996E-3</v>
      </c>
      <c r="E242">
        <v>1.1183999999999999E-2</v>
      </c>
      <c r="F242">
        <v>1.0226000000000001E-2</v>
      </c>
      <c r="G242">
        <v>1.005E-2</v>
      </c>
      <c r="H242">
        <v>1.3415E-2</v>
      </c>
      <c r="I242">
        <v>1.4845000000000001E-2</v>
      </c>
      <c r="J242">
        <v>1.8432E-2</v>
      </c>
      <c r="K242">
        <v>1.9585999999999999E-2</v>
      </c>
      <c r="L242">
        <v>2.1443E-2</v>
      </c>
      <c r="M242">
        <v>2.4868000000000001E-2</v>
      </c>
      <c r="N242">
        <v>2.7563000000000001E-2</v>
      </c>
      <c r="O242" s="8">
        <f t="shared" si="10"/>
        <v>992.30300690846434</v>
      </c>
      <c r="P242" s="8">
        <f t="shared" si="11"/>
        <v>2713.6494737602679</v>
      </c>
      <c r="Q242" s="8">
        <f t="shared" si="12"/>
        <v>980.71748112828948</v>
      </c>
      <c r="R242">
        <v>-2.532795180345945E-2</v>
      </c>
      <c r="S242">
        <v>4.0180427545040885E-2</v>
      </c>
      <c r="T242">
        <v>-3.2008868310582236E-2</v>
      </c>
    </row>
    <row r="243" spans="1:20" x14ac:dyDescent="0.25">
      <c r="A243">
        <v>240</v>
      </c>
      <c r="B243">
        <v>20</v>
      </c>
      <c r="C243">
        <v>12</v>
      </c>
      <c r="D243">
        <v>7.2709999999999997E-3</v>
      </c>
      <c r="E243">
        <v>1.1122999999999999E-2</v>
      </c>
      <c r="F243">
        <v>1.0265E-2</v>
      </c>
      <c r="G243">
        <v>1.01E-2</v>
      </c>
      <c r="H243">
        <v>1.3398E-2</v>
      </c>
      <c r="I243">
        <v>1.4862999999999999E-2</v>
      </c>
      <c r="J243">
        <v>1.8398999999999999E-2</v>
      </c>
      <c r="K243">
        <v>1.9640000000000001E-2</v>
      </c>
      <c r="L243">
        <v>2.1448999999999999E-2</v>
      </c>
      <c r="M243">
        <v>2.4804E-2</v>
      </c>
      <c r="N243">
        <v>2.7644999999999999E-2</v>
      </c>
      <c r="O243" s="8">
        <f t="shared" si="10"/>
        <v>987.91827184802946</v>
      </c>
      <c r="P243" s="8">
        <f t="shared" si="11"/>
        <v>2728.801190075289</v>
      </c>
      <c r="Q243" s="8">
        <f t="shared" si="12"/>
        <v>978.18568567093666</v>
      </c>
      <c r="R243">
        <v>-5.1755076133004826E-2</v>
      </c>
      <c r="S243">
        <v>6.9098617728988065E-2</v>
      </c>
      <c r="T243">
        <v>-3.0542800996561544E-2</v>
      </c>
    </row>
    <row r="244" spans="1:20" x14ac:dyDescent="0.25">
      <c r="A244">
        <v>241</v>
      </c>
      <c r="B244">
        <v>21</v>
      </c>
      <c r="C244">
        <v>1</v>
      </c>
      <c r="D244">
        <v>7.1970000000000003E-3</v>
      </c>
      <c r="E244">
        <v>1.1126E-2</v>
      </c>
      <c r="F244">
        <v>1.0182999999999999E-2</v>
      </c>
      <c r="G244">
        <v>1.0102E-2</v>
      </c>
      <c r="H244">
        <v>1.3311999999999999E-2</v>
      </c>
      <c r="I244">
        <v>1.4951000000000001E-2</v>
      </c>
      <c r="J244">
        <v>1.8374000000000001E-2</v>
      </c>
      <c r="K244">
        <v>1.9651999999999999E-2</v>
      </c>
      <c r="L244">
        <v>2.1371999999999999E-2</v>
      </c>
      <c r="M244">
        <v>2.4712000000000001E-2</v>
      </c>
      <c r="N244">
        <v>2.7619000000000001E-2</v>
      </c>
      <c r="O244" s="8">
        <f t="shared" si="10"/>
        <v>987.36998913067646</v>
      </c>
      <c r="P244" s="8">
        <f t="shared" si="11"/>
        <v>2743.3967378215398</v>
      </c>
      <c r="Q244" s="8">
        <f t="shared" si="12"/>
        <v>975.63384002256828</v>
      </c>
      <c r="R244">
        <v>-6.6395639625765057E-3</v>
      </c>
      <c r="S244">
        <v>6.6106680938710985E-2</v>
      </c>
      <c r="T244">
        <v>-3.0859759598163373E-2</v>
      </c>
    </row>
    <row r="245" spans="1:20" x14ac:dyDescent="0.25">
      <c r="A245">
        <v>242</v>
      </c>
      <c r="B245">
        <v>21</v>
      </c>
      <c r="C245">
        <v>2</v>
      </c>
      <c r="D245">
        <v>7.2630000000000004E-3</v>
      </c>
      <c r="E245">
        <v>1.1061E-2</v>
      </c>
      <c r="F245">
        <v>1.0178E-2</v>
      </c>
      <c r="G245">
        <v>1.0119E-2</v>
      </c>
      <c r="H245">
        <v>1.3280999999999999E-2</v>
      </c>
      <c r="I245">
        <v>1.4867999999999999E-2</v>
      </c>
      <c r="J245">
        <v>1.8398999999999999E-2</v>
      </c>
      <c r="K245">
        <v>1.9608E-2</v>
      </c>
      <c r="L245">
        <v>2.1357000000000001E-2</v>
      </c>
      <c r="M245">
        <v>2.4774999999999998E-2</v>
      </c>
      <c r="N245">
        <v>2.7643000000000001E-2</v>
      </c>
      <c r="O245" s="8">
        <f t="shared" si="10"/>
        <v>985.80752081272976</v>
      </c>
      <c r="P245" s="8">
        <f t="shared" si="11"/>
        <v>2752.3518547317121</v>
      </c>
      <c r="Q245" s="8">
        <f t="shared" si="12"/>
        <v>973.44445774940925</v>
      </c>
      <c r="R245">
        <v>-1.8825050807165372E-2</v>
      </c>
      <c r="S245">
        <v>3.988188806348518E-2</v>
      </c>
      <c r="T245">
        <v>-2.6598847262859319E-2</v>
      </c>
    </row>
    <row r="246" spans="1:20" x14ac:dyDescent="0.25">
      <c r="A246">
        <v>243</v>
      </c>
      <c r="B246">
        <v>21</v>
      </c>
      <c r="C246">
        <v>3</v>
      </c>
      <c r="D246">
        <v>7.1939999999999999E-3</v>
      </c>
      <c r="E246">
        <v>1.1112E-2</v>
      </c>
      <c r="F246">
        <v>1.0192E-2</v>
      </c>
      <c r="G246">
        <v>1.0201999999999999E-2</v>
      </c>
      <c r="H246">
        <v>1.3199000000000001E-2</v>
      </c>
      <c r="I246">
        <v>1.4940999999999999E-2</v>
      </c>
      <c r="J246">
        <v>1.8428E-2</v>
      </c>
      <c r="K246">
        <v>1.9546000000000001E-2</v>
      </c>
      <c r="L246">
        <v>2.1333999999999999E-2</v>
      </c>
      <c r="M246">
        <v>2.4819999999999998E-2</v>
      </c>
      <c r="N246">
        <v>2.7681999999999998E-2</v>
      </c>
      <c r="O246" s="8">
        <f t="shared" si="10"/>
        <v>987.20771512609087</v>
      </c>
      <c r="P246" s="8">
        <f t="shared" si="11"/>
        <v>2761.198593040996</v>
      </c>
      <c r="Q246" s="8">
        <f t="shared" si="12"/>
        <v>970.97737952788191</v>
      </c>
      <c r="R246">
        <v>1.7178012582239402E-2</v>
      </c>
      <c r="S246">
        <v>3.9260192384697724E-2</v>
      </c>
      <c r="T246">
        <v>-2.9992198206276004E-2</v>
      </c>
    </row>
    <row r="247" spans="1:20" x14ac:dyDescent="0.25">
      <c r="A247">
        <v>244</v>
      </c>
      <c r="B247">
        <v>21</v>
      </c>
      <c r="C247">
        <v>4</v>
      </c>
      <c r="D247">
        <v>7.28E-3</v>
      </c>
      <c r="E247">
        <v>1.1077999999999999E-2</v>
      </c>
      <c r="F247">
        <v>1.0252000000000001E-2</v>
      </c>
      <c r="G247">
        <v>1.0302E-2</v>
      </c>
      <c r="H247">
        <v>1.3278E-2</v>
      </c>
      <c r="I247">
        <v>1.5030999999999999E-2</v>
      </c>
      <c r="J247">
        <v>1.8367000000000001E-2</v>
      </c>
      <c r="K247">
        <v>1.9646E-2</v>
      </c>
      <c r="L247">
        <v>2.1391E-2</v>
      </c>
      <c r="M247">
        <v>2.4754999999999999E-2</v>
      </c>
      <c r="N247">
        <v>2.7595000000000001E-2</v>
      </c>
      <c r="O247" s="8">
        <f t="shared" si="10"/>
        <v>989.31500285481297</v>
      </c>
      <c r="P247" s="8">
        <f t="shared" si="11"/>
        <v>2775.8370478878273</v>
      </c>
      <c r="Q247" s="8">
        <f t="shared" si="12"/>
        <v>968.258658671175</v>
      </c>
      <c r="R247">
        <v>2.5918007318448337E-2</v>
      </c>
      <c r="S247">
        <v>6.5505982745794361E-2</v>
      </c>
      <c r="T247">
        <v>-3.308716974238711E-2</v>
      </c>
    </row>
    <row r="248" spans="1:20" x14ac:dyDescent="0.25">
      <c r="A248">
        <v>245</v>
      </c>
      <c r="B248">
        <v>21</v>
      </c>
      <c r="C248">
        <v>5</v>
      </c>
      <c r="D248">
        <v>7.2849999999999998E-3</v>
      </c>
      <c r="E248">
        <v>1.1128000000000001E-2</v>
      </c>
      <c r="F248">
        <v>1.0246999999999999E-2</v>
      </c>
      <c r="G248">
        <v>1.0369E-2</v>
      </c>
      <c r="H248">
        <v>1.336E-2</v>
      </c>
      <c r="I248">
        <v>1.5049999999999999E-2</v>
      </c>
      <c r="J248">
        <v>1.8284999999999999E-2</v>
      </c>
      <c r="K248">
        <v>1.9654000000000001E-2</v>
      </c>
      <c r="L248">
        <v>2.1402000000000001E-2</v>
      </c>
      <c r="M248">
        <v>2.4822E-2</v>
      </c>
      <c r="N248">
        <v>2.7633000000000001E-2</v>
      </c>
      <c r="O248" s="8">
        <f t="shared" si="10"/>
        <v>989.52781103788254</v>
      </c>
      <c r="P248" s="8">
        <f t="shared" si="11"/>
        <v>2790.8239081250254</v>
      </c>
      <c r="Q248" s="8">
        <f t="shared" si="12"/>
        <v>965.23857802574378</v>
      </c>
      <c r="R248">
        <v>2.5843352239728829E-3</v>
      </c>
      <c r="S248">
        <v>6.6747426490975523E-2</v>
      </c>
      <c r="T248">
        <v>-3.6793550631134396E-2</v>
      </c>
    </row>
    <row r="249" spans="1:20" x14ac:dyDescent="0.25">
      <c r="A249">
        <v>246</v>
      </c>
      <c r="B249">
        <v>21</v>
      </c>
      <c r="C249">
        <v>6</v>
      </c>
      <c r="D249">
        <v>7.2139999999999999E-3</v>
      </c>
      <c r="E249">
        <v>1.1157E-2</v>
      </c>
      <c r="F249">
        <v>1.0305999999999999E-2</v>
      </c>
      <c r="G249">
        <v>1.0300999999999999E-2</v>
      </c>
      <c r="H249">
        <v>1.3287E-2</v>
      </c>
      <c r="I249">
        <v>1.4978E-2</v>
      </c>
      <c r="J249">
        <v>1.8315000000000001E-2</v>
      </c>
      <c r="K249">
        <v>1.9594E-2</v>
      </c>
      <c r="L249">
        <v>2.1323999999999999E-2</v>
      </c>
      <c r="M249">
        <v>2.4781000000000001E-2</v>
      </c>
      <c r="N249">
        <v>2.7673E-2</v>
      </c>
      <c r="O249" s="8">
        <f t="shared" si="10"/>
        <v>986.93213432511652</v>
      </c>
      <c r="P249" s="8">
        <f t="shared" si="11"/>
        <v>2801.6467352099994</v>
      </c>
      <c r="Q249" s="8">
        <f t="shared" si="12"/>
        <v>962.23966148108229</v>
      </c>
      <c r="R249">
        <v>-3.1027569852818612E-2</v>
      </c>
      <c r="S249">
        <v>4.7541563273246247E-2</v>
      </c>
      <c r="T249">
        <v>-3.665246727629741E-2</v>
      </c>
    </row>
    <row r="250" spans="1:20" x14ac:dyDescent="0.25">
      <c r="A250">
        <v>247</v>
      </c>
      <c r="B250">
        <v>21</v>
      </c>
      <c r="C250">
        <v>7</v>
      </c>
      <c r="D250">
        <v>7.2480000000000001E-3</v>
      </c>
      <c r="E250">
        <v>1.1113E-2</v>
      </c>
      <c r="F250">
        <v>1.0325000000000001E-2</v>
      </c>
      <c r="G250">
        <v>1.0357E-2</v>
      </c>
      <c r="H250">
        <v>1.3219E-2</v>
      </c>
      <c r="I250">
        <v>1.4949E-2</v>
      </c>
      <c r="J250">
        <v>1.8362E-2</v>
      </c>
      <c r="K250">
        <v>1.9522999999999999E-2</v>
      </c>
      <c r="L250">
        <v>2.1402999999999998E-2</v>
      </c>
      <c r="M250">
        <v>2.4716999999999999E-2</v>
      </c>
      <c r="N250">
        <v>2.7732E-2</v>
      </c>
      <c r="O250" s="8">
        <f t="shared" si="10"/>
        <v>987.65924605515295</v>
      </c>
      <c r="P250" s="8">
        <f t="shared" si="11"/>
        <v>2817.3450693843456</v>
      </c>
      <c r="Q250" s="8">
        <f t="shared" si="12"/>
        <v>959.2495479023911</v>
      </c>
      <c r="R250">
        <v>8.8767840118783789E-3</v>
      </c>
      <c r="S250">
        <v>6.9350390627727576E-2</v>
      </c>
      <c r="T250">
        <v>-3.6658666667081521E-2</v>
      </c>
    </row>
    <row r="251" spans="1:20" x14ac:dyDescent="0.25">
      <c r="A251">
        <v>248</v>
      </c>
      <c r="B251">
        <v>21</v>
      </c>
      <c r="C251">
        <v>8</v>
      </c>
      <c r="D251">
        <v>7.1630000000000001E-3</v>
      </c>
      <c r="E251">
        <v>1.1167E-2</v>
      </c>
      <c r="F251">
        <v>1.0307E-2</v>
      </c>
      <c r="G251">
        <v>1.0269E-2</v>
      </c>
      <c r="H251">
        <v>1.3164E-2</v>
      </c>
      <c r="I251">
        <v>1.4985999999999999E-2</v>
      </c>
      <c r="J251">
        <v>1.8356999999999998E-2</v>
      </c>
      <c r="K251">
        <v>1.9521E-2</v>
      </c>
      <c r="L251">
        <v>2.1371999999999999E-2</v>
      </c>
      <c r="M251">
        <v>2.4657999999999999E-2</v>
      </c>
      <c r="N251">
        <v>2.7827000000000001E-2</v>
      </c>
      <c r="O251" s="8">
        <f t="shared" si="10"/>
        <v>983.95914899077229</v>
      </c>
      <c r="P251" s="8">
        <f t="shared" si="11"/>
        <v>2826.7834034994021</v>
      </c>
      <c r="Q251" s="8">
        <f t="shared" si="12"/>
        <v>955.87496668661595</v>
      </c>
      <c r="R251">
        <v>-4.4041116720554947E-2</v>
      </c>
      <c r="S251">
        <v>4.0950026765540326E-2</v>
      </c>
      <c r="T251">
        <v>-4.1407959673176557E-2</v>
      </c>
    </row>
    <row r="252" spans="1:20" x14ac:dyDescent="0.25">
      <c r="A252">
        <v>249</v>
      </c>
      <c r="B252">
        <v>21</v>
      </c>
      <c r="C252">
        <v>9</v>
      </c>
      <c r="D252">
        <v>7.2560000000000003E-3</v>
      </c>
      <c r="E252">
        <v>1.1194000000000001E-2</v>
      </c>
      <c r="F252">
        <v>1.0307E-2</v>
      </c>
      <c r="G252">
        <v>1.0198E-2</v>
      </c>
      <c r="H252">
        <v>1.3218000000000001E-2</v>
      </c>
      <c r="I252">
        <v>1.5066E-2</v>
      </c>
      <c r="J252">
        <v>1.8308000000000001E-2</v>
      </c>
      <c r="K252">
        <v>1.9552E-2</v>
      </c>
      <c r="L252">
        <v>2.1360000000000001E-2</v>
      </c>
      <c r="M252">
        <v>2.4607E-2</v>
      </c>
      <c r="N252">
        <v>2.776E-2</v>
      </c>
      <c r="O252" s="8">
        <f t="shared" si="10"/>
        <v>982.82333859536243</v>
      </c>
      <c r="P252" s="8">
        <f t="shared" si="11"/>
        <v>2836.9587008060707</v>
      </c>
      <c r="Q252" s="8">
        <f t="shared" si="12"/>
        <v>952.21905091417261</v>
      </c>
      <c r="R252">
        <v>-1.3764315816941956E-2</v>
      </c>
      <c r="S252">
        <v>4.4060748717139692E-2</v>
      </c>
      <c r="T252">
        <v>-4.4942902470762026E-2</v>
      </c>
    </row>
    <row r="253" spans="1:20" x14ac:dyDescent="0.25">
      <c r="A253">
        <v>250</v>
      </c>
      <c r="B253">
        <v>21</v>
      </c>
      <c r="C253">
        <v>10</v>
      </c>
      <c r="D253">
        <v>7.1640000000000002E-3</v>
      </c>
      <c r="E253">
        <v>1.1259E-2</v>
      </c>
      <c r="F253">
        <v>1.04E-2</v>
      </c>
      <c r="G253">
        <v>1.0127000000000001E-2</v>
      </c>
      <c r="H253">
        <v>1.3134E-2</v>
      </c>
      <c r="I253">
        <v>1.5151E-2</v>
      </c>
      <c r="J253">
        <v>1.8311000000000001E-2</v>
      </c>
      <c r="K253">
        <v>1.9522000000000001E-2</v>
      </c>
      <c r="L253">
        <v>2.1323000000000002E-2</v>
      </c>
      <c r="M253">
        <v>2.4594999999999999E-2</v>
      </c>
      <c r="N253">
        <v>2.7831999999999999E-2</v>
      </c>
      <c r="O253" s="8">
        <f t="shared" si="10"/>
        <v>985.28992807164866</v>
      </c>
      <c r="P253" s="8">
        <f t="shared" si="11"/>
        <v>2848.6265299329721</v>
      </c>
      <c r="Q253" s="8">
        <f t="shared" si="12"/>
        <v>948.36641377191143</v>
      </c>
      <c r="R253">
        <v>3.0535576272219943E-2</v>
      </c>
      <c r="S253">
        <v>5.0485381127717541E-2</v>
      </c>
      <c r="T253">
        <v>-4.7485516103967729E-2</v>
      </c>
    </row>
    <row r="254" spans="1:20" x14ac:dyDescent="0.25">
      <c r="A254">
        <v>251</v>
      </c>
      <c r="B254">
        <v>21</v>
      </c>
      <c r="C254">
        <v>11</v>
      </c>
      <c r="D254">
        <v>7.0889999999999998E-3</v>
      </c>
      <c r="E254">
        <v>1.1171E-2</v>
      </c>
      <c r="F254">
        <v>1.039E-2</v>
      </c>
      <c r="G254">
        <v>1.0226000000000001E-2</v>
      </c>
      <c r="H254">
        <v>1.3049E-2</v>
      </c>
      <c r="I254">
        <v>1.5119E-2</v>
      </c>
      <c r="J254">
        <v>1.8296E-2</v>
      </c>
      <c r="K254">
        <v>1.9619999999999999E-2</v>
      </c>
      <c r="L254">
        <v>2.1277999999999998E-2</v>
      </c>
      <c r="M254">
        <v>2.4615999999999999E-2</v>
      </c>
      <c r="N254">
        <v>2.793E-2</v>
      </c>
      <c r="O254" s="8">
        <f t="shared" si="10"/>
        <v>987.56457724376992</v>
      </c>
      <c r="P254" s="8">
        <f t="shared" si="11"/>
        <v>2859.3216059263109</v>
      </c>
      <c r="Q254" s="8">
        <f t="shared" si="12"/>
        <v>944.24110084294648</v>
      </c>
      <c r="R254">
        <v>2.8057787314119981E-2</v>
      </c>
      <c r="S254">
        <v>4.599569092696712E-2</v>
      </c>
      <c r="T254">
        <v>-5.0968071238902658E-2</v>
      </c>
    </row>
    <row r="255" spans="1:20" x14ac:dyDescent="0.25">
      <c r="A255">
        <v>252</v>
      </c>
      <c r="B255">
        <v>21</v>
      </c>
      <c r="C255">
        <v>12</v>
      </c>
      <c r="D255">
        <v>7.1679999999999999E-3</v>
      </c>
      <c r="E255">
        <v>1.1128000000000001E-2</v>
      </c>
      <c r="F255">
        <v>1.0442E-2</v>
      </c>
      <c r="G255">
        <v>1.0127000000000001E-2</v>
      </c>
      <c r="H255">
        <v>1.3043000000000001E-2</v>
      </c>
      <c r="I255">
        <v>1.5113E-2</v>
      </c>
      <c r="J255">
        <v>1.8297000000000001E-2</v>
      </c>
      <c r="K255">
        <v>1.9635E-2</v>
      </c>
      <c r="L255">
        <v>2.1270000000000001E-2</v>
      </c>
      <c r="M255">
        <v>2.4625000000000001E-2</v>
      </c>
      <c r="N255">
        <v>2.7916E-2</v>
      </c>
      <c r="O255" s="8">
        <f t="shared" si="10"/>
        <v>988.39811839006313</v>
      </c>
      <c r="P255" s="8">
        <f t="shared" si="11"/>
        <v>2873.7203526156768</v>
      </c>
      <c r="Q255" s="8">
        <f t="shared" si="12"/>
        <v>940.49689658878458</v>
      </c>
      <c r="R255">
        <v>1.0175596099499976E-2</v>
      </c>
      <c r="S255">
        <v>6.2130730276558875E-2</v>
      </c>
      <c r="T255">
        <v>-4.6559498293248437E-2</v>
      </c>
    </row>
    <row r="256" spans="1:20" x14ac:dyDescent="0.25">
      <c r="A256">
        <v>253</v>
      </c>
      <c r="B256">
        <v>22</v>
      </c>
      <c r="C256">
        <v>1</v>
      </c>
      <c r="D256">
        <v>7.0899999999999999E-3</v>
      </c>
      <c r="E256">
        <v>1.1037999999999999E-2</v>
      </c>
      <c r="F256">
        <v>1.0461E-2</v>
      </c>
      <c r="G256">
        <v>1.0047E-2</v>
      </c>
      <c r="H256">
        <v>1.308E-2</v>
      </c>
      <c r="I256">
        <v>1.5088000000000001E-2</v>
      </c>
      <c r="J256">
        <v>1.8286E-2</v>
      </c>
      <c r="K256">
        <v>1.9730000000000001E-2</v>
      </c>
      <c r="L256">
        <v>2.1361999999999999E-2</v>
      </c>
      <c r="M256">
        <v>2.4711E-2</v>
      </c>
      <c r="N256">
        <v>2.7848000000000001E-2</v>
      </c>
      <c r="O256" s="8">
        <f t="shared" si="10"/>
        <v>989.65158341675817</v>
      </c>
      <c r="P256" s="8">
        <f t="shared" si="11"/>
        <v>2886.3893996363217</v>
      </c>
      <c r="Q256" s="8">
        <f t="shared" si="12"/>
        <v>936.4755814419849</v>
      </c>
      <c r="R256">
        <v>1.5324735588446717E-2</v>
      </c>
      <c r="S256">
        <v>5.420483856933192E-2</v>
      </c>
      <c r="T256">
        <v>-5.0119242453027818E-2</v>
      </c>
    </row>
    <row r="257" spans="1:20" x14ac:dyDescent="0.25">
      <c r="A257">
        <v>254</v>
      </c>
      <c r="B257">
        <v>22</v>
      </c>
      <c r="C257">
        <v>2</v>
      </c>
      <c r="D257">
        <v>7.0309999999999999E-3</v>
      </c>
      <c r="E257">
        <v>1.1096E-2</v>
      </c>
      <c r="F257">
        <v>1.0527E-2</v>
      </c>
      <c r="G257">
        <v>1.0127000000000001E-2</v>
      </c>
      <c r="H257">
        <v>1.3162999999999999E-2</v>
      </c>
      <c r="I257">
        <v>1.5154000000000001E-2</v>
      </c>
      <c r="J257">
        <v>1.8325000000000001E-2</v>
      </c>
      <c r="K257">
        <v>1.9654000000000001E-2</v>
      </c>
      <c r="L257">
        <v>2.1461999999999998E-2</v>
      </c>
      <c r="M257">
        <v>2.4798000000000001E-2</v>
      </c>
      <c r="N257">
        <v>2.785E-2</v>
      </c>
      <c r="O257" s="8">
        <f t="shared" si="10"/>
        <v>987.04377268466726</v>
      </c>
      <c r="P257" s="8">
        <f t="shared" si="11"/>
        <v>2899.742829334491</v>
      </c>
      <c r="Q257" s="8">
        <f t="shared" si="12"/>
        <v>932.74502645924053</v>
      </c>
      <c r="R257">
        <v>-3.1166676644546032E-2</v>
      </c>
      <c r="S257">
        <v>5.6950739716738946E-2</v>
      </c>
      <c r="T257">
        <v>-4.6769758249384799E-2</v>
      </c>
    </row>
    <row r="258" spans="1:20" x14ac:dyDescent="0.25">
      <c r="A258">
        <v>255</v>
      </c>
      <c r="B258">
        <v>22</v>
      </c>
      <c r="C258">
        <v>3</v>
      </c>
      <c r="D258">
        <v>7.1199999999999996E-3</v>
      </c>
      <c r="E258">
        <v>1.1013999999999999E-2</v>
      </c>
      <c r="F258">
        <v>1.0612E-2</v>
      </c>
      <c r="G258">
        <v>1.0134000000000001E-2</v>
      </c>
      <c r="H258">
        <v>1.3223E-2</v>
      </c>
      <c r="I258">
        <v>1.5214E-2</v>
      </c>
      <c r="J258">
        <v>1.8312999999999999E-2</v>
      </c>
      <c r="K258">
        <v>1.9724999999999999E-2</v>
      </c>
      <c r="L258">
        <v>2.1440000000000001E-2</v>
      </c>
      <c r="M258">
        <v>2.4856E-2</v>
      </c>
      <c r="N258">
        <v>2.7793000000000002E-2</v>
      </c>
      <c r="O258" s="8">
        <f t="shared" si="10"/>
        <v>983.42730907677469</v>
      </c>
      <c r="P258" s="8">
        <f t="shared" si="11"/>
        <v>2909.6231361144692</v>
      </c>
      <c r="Q258" s="8">
        <f t="shared" si="12"/>
        <v>928.68978452607564</v>
      </c>
      <c r="R258">
        <v>-4.309193337060465E-2</v>
      </c>
      <c r="S258">
        <v>4.1662665547048394E-2</v>
      </c>
      <c r="T258">
        <v>-5.0942082260836699E-2</v>
      </c>
    </row>
    <row r="259" spans="1:20" x14ac:dyDescent="0.25">
      <c r="A259">
        <v>256</v>
      </c>
      <c r="B259">
        <v>22</v>
      </c>
      <c r="C259">
        <v>4</v>
      </c>
      <c r="D259">
        <v>7.0850000000000002E-3</v>
      </c>
      <c r="E259">
        <v>1.0933999999999999E-2</v>
      </c>
      <c r="F259">
        <v>1.064E-2</v>
      </c>
      <c r="G259">
        <v>1.0184E-2</v>
      </c>
      <c r="H259">
        <v>1.3176E-2</v>
      </c>
      <c r="I259">
        <v>1.5224E-2</v>
      </c>
      <c r="J259">
        <v>1.8253999999999999E-2</v>
      </c>
      <c r="K259">
        <v>1.9649E-2</v>
      </c>
      <c r="L259">
        <v>2.1538999999999999E-2</v>
      </c>
      <c r="M259">
        <v>2.4825E-2</v>
      </c>
      <c r="N259">
        <v>2.7757E-2</v>
      </c>
      <c r="O259" s="8">
        <f t="shared" si="10"/>
        <v>984.90797597019923</v>
      </c>
      <c r="P259" s="8">
        <f t="shared" si="11"/>
        <v>2922.2820242310022</v>
      </c>
      <c r="Q259" s="8">
        <f t="shared" si="12"/>
        <v>924.99485255306774</v>
      </c>
      <c r="R259">
        <v>1.8217796713298651E-2</v>
      </c>
      <c r="S259">
        <v>5.3475943077507027E-2</v>
      </c>
      <c r="T259">
        <v>-4.671277968520858E-2</v>
      </c>
    </row>
    <row r="260" spans="1:20" x14ac:dyDescent="0.25">
      <c r="A260">
        <v>257</v>
      </c>
      <c r="B260">
        <v>22</v>
      </c>
      <c r="C260">
        <v>5</v>
      </c>
      <c r="D260">
        <v>7.025E-3</v>
      </c>
      <c r="E260">
        <v>1.0975E-2</v>
      </c>
      <c r="F260">
        <v>1.0588E-2</v>
      </c>
      <c r="G260">
        <v>1.0233000000000001E-2</v>
      </c>
      <c r="H260">
        <v>1.3169999999999999E-2</v>
      </c>
      <c r="I260">
        <v>1.5195E-2</v>
      </c>
      <c r="J260">
        <v>1.8259999999999998E-2</v>
      </c>
      <c r="K260">
        <v>1.9730000000000001E-2</v>
      </c>
      <c r="L260">
        <v>2.1531000000000002E-2</v>
      </c>
      <c r="M260">
        <v>2.4806999999999999E-2</v>
      </c>
      <c r="N260">
        <v>2.7671000000000001E-2</v>
      </c>
      <c r="O260" s="8">
        <f t="shared" si="10"/>
        <v>982.643263442121</v>
      </c>
      <c r="P260" s="8">
        <f t="shared" si="11"/>
        <v>2934.982335082947</v>
      </c>
      <c r="Q260" s="8">
        <f t="shared" si="12"/>
        <v>921.09075885524499</v>
      </c>
      <c r="R260">
        <v>-2.7246682705533473E-2</v>
      </c>
      <c r="S260">
        <v>5.3417141166416195E-2</v>
      </c>
      <c r="T260">
        <v>-4.948864394392638E-2</v>
      </c>
    </row>
    <row r="261" spans="1:20" x14ac:dyDescent="0.25">
      <c r="A261">
        <v>258</v>
      </c>
      <c r="B261">
        <v>22</v>
      </c>
      <c r="C261">
        <v>6</v>
      </c>
      <c r="D261">
        <v>6.9319999999999998E-3</v>
      </c>
      <c r="E261">
        <v>1.0933999999999999E-2</v>
      </c>
      <c r="F261">
        <v>1.0581E-2</v>
      </c>
      <c r="G261">
        <v>1.0170999999999999E-2</v>
      </c>
      <c r="H261">
        <v>1.3107000000000001E-2</v>
      </c>
      <c r="I261">
        <v>1.5151E-2</v>
      </c>
      <c r="J261">
        <v>1.8304000000000001E-2</v>
      </c>
      <c r="K261">
        <v>1.9719E-2</v>
      </c>
      <c r="L261">
        <v>2.1547E-2</v>
      </c>
      <c r="M261">
        <v>2.4764000000000001E-2</v>
      </c>
      <c r="N261">
        <v>2.7668000000000002E-2</v>
      </c>
      <c r="O261" s="8">
        <f t="shared" ref="O261:O324" si="13">O260*(1+R261)^(1/12)</f>
        <v>980.48653499474824</v>
      </c>
      <c r="P261" s="8">
        <f t="shared" ref="P261:P324" si="14">P260*(1+S261)^(1/12)</f>
        <v>2950.176654430838</v>
      </c>
      <c r="Q261" s="8">
        <f t="shared" ref="Q261:Q324" si="15">Q260*(1+T261)^(1/12)</f>
        <v>917.39834746276335</v>
      </c>
      <c r="R261">
        <v>-2.6022257157595617E-2</v>
      </c>
      <c r="S261">
        <v>6.3923406962164239E-2</v>
      </c>
      <c r="T261">
        <v>-4.7058281086716607E-2</v>
      </c>
    </row>
    <row r="262" spans="1:20" x14ac:dyDescent="0.25">
      <c r="A262">
        <v>259</v>
      </c>
      <c r="B262">
        <v>22</v>
      </c>
      <c r="C262">
        <v>7</v>
      </c>
      <c r="D262">
        <v>6.9670000000000001E-3</v>
      </c>
      <c r="E262">
        <v>1.0893E-2</v>
      </c>
      <c r="F262">
        <v>1.0527999999999999E-2</v>
      </c>
      <c r="G262">
        <v>1.0159E-2</v>
      </c>
      <c r="H262">
        <v>1.3127E-2</v>
      </c>
      <c r="I262">
        <v>1.5162999999999999E-2</v>
      </c>
      <c r="J262">
        <v>1.8343999999999999E-2</v>
      </c>
      <c r="K262">
        <v>1.9762999999999999E-2</v>
      </c>
      <c r="L262">
        <v>2.1572999999999998E-2</v>
      </c>
      <c r="M262">
        <v>2.4743999999999999E-2</v>
      </c>
      <c r="N262">
        <v>2.7598000000000001E-2</v>
      </c>
      <c r="O262" s="8">
        <f t="shared" si="13"/>
        <v>978.09142432279282</v>
      </c>
      <c r="P262" s="8">
        <f t="shared" si="14"/>
        <v>2962.4290316309261</v>
      </c>
      <c r="Q262" s="8">
        <f t="shared" si="15"/>
        <v>913.37114114331428</v>
      </c>
      <c r="R262">
        <v>-2.8922689258835833E-2</v>
      </c>
      <c r="S262">
        <v>5.0991485236787544E-2</v>
      </c>
      <c r="T262">
        <v>-5.1424322969571626E-2</v>
      </c>
    </row>
    <row r="263" spans="1:20" x14ac:dyDescent="0.25">
      <c r="A263">
        <v>260</v>
      </c>
      <c r="B263">
        <v>22</v>
      </c>
      <c r="C263">
        <v>8</v>
      </c>
      <c r="D263">
        <v>6.9160000000000003E-3</v>
      </c>
      <c r="E263">
        <v>1.0971E-2</v>
      </c>
      <c r="F263">
        <v>1.0485E-2</v>
      </c>
      <c r="G263">
        <v>1.0108000000000001E-2</v>
      </c>
      <c r="H263">
        <v>1.3218000000000001E-2</v>
      </c>
      <c r="I263">
        <v>1.5180000000000001E-2</v>
      </c>
      <c r="J263">
        <v>1.8436999999999999E-2</v>
      </c>
      <c r="K263">
        <v>1.9817999999999999E-2</v>
      </c>
      <c r="L263">
        <v>2.1526E-2</v>
      </c>
      <c r="M263">
        <v>2.4726000000000001E-2</v>
      </c>
      <c r="N263">
        <v>2.7567999999999999E-2</v>
      </c>
      <c r="O263" s="8">
        <f t="shared" si="13"/>
        <v>975.90276120520309</v>
      </c>
      <c r="P263" s="8">
        <f t="shared" si="14"/>
        <v>2977.9614239602688</v>
      </c>
      <c r="Q263" s="8">
        <f t="shared" si="15"/>
        <v>909.24508975932645</v>
      </c>
      <c r="R263">
        <v>-2.6524226420978889E-2</v>
      </c>
      <c r="S263">
        <v>6.4763979142711009E-2</v>
      </c>
      <c r="T263">
        <v>-5.2881878101861825E-2</v>
      </c>
    </row>
    <row r="264" spans="1:20" x14ac:dyDescent="0.25">
      <c r="A264">
        <v>261</v>
      </c>
      <c r="B264">
        <v>22</v>
      </c>
      <c r="C264">
        <v>9</v>
      </c>
      <c r="D264">
        <v>6.8669999999999998E-3</v>
      </c>
      <c r="E264">
        <v>1.1016E-2</v>
      </c>
      <c r="F264">
        <v>1.0576E-2</v>
      </c>
      <c r="G264">
        <v>1.0153000000000001E-2</v>
      </c>
      <c r="H264">
        <v>1.3207E-2</v>
      </c>
      <c r="I264">
        <v>1.5147000000000001E-2</v>
      </c>
      <c r="J264">
        <v>1.8523999999999999E-2</v>
      </c>
      <c r="K264">
        <v>1.9824000000000001E-2</v>
      </c>
      <c r="L264">
        <v>2.1465999999999999E-2</v>
      </c>
      <c r="M264">
        <v>2.4750000000000001E-2</v>
      </c>
      <c r="N264">
        <v>2.7615000000000001E-2</v>
      </c>
      <c r="O264" s="8">
        <f t="shared" si="13"/>
        <v>973.42422423983828</v>
      </c>
      <c r="P264" s="8">
        <f t="shared" si="14"/>
        <v>2993.1512893516874</v>
      </c>
      <c r="Q264" s="8">
        <f t="shared" si="15"/>
        <v>905.14170095369684</v>
      </c>
      <c r="R264">
        <v>-3.0054717442531163E-2</v>
      </c>
      <c r="S264">
        <v>6.2955820987605285E-2</v>
      </c>
      <c r="T264">
        <v>-5.283135421581265E-2</v>
      </c>
    </row>
    <row r="265" spans="1:20" x14ac:dyDescent="0.25">
      <c r="A265">
        <v>262</v>
      </c>
      <c r="B265">
        <v>22</v>
      </c>
      <c r="C265">
        <v>10</v>
      </c>
      <c r="D265">
        <v>6.8970000000000004E-3</v>
      </c>
      <c r="E265">
        <v>1.1013E-2</v>
      </c>
      <c r="F265">
        <v>1.052E-2</v>
      </c>
      <c r="G265">
        <v>1.0163E-2</v>
      </c>
      <c r="H265">
        <v>1.3287999999999999E-2</v>
      </c>
      <c r="I265">
        <v>1.5226E-2</v>
      </c>
      <c r="J265">
        <v>1.8436000000000001E-2</v>
      </c>
      <c r="K265">
        <v>1.9885E-2</v>
      </c>
      <c r="L265">
        <v>2.1391E-2</v>
      </c>
      <c r="M265">
        <v>2.4846E-2</v>
      </c>
      <c r="N265">
        <v>2.7569E-2</v>
      </c>
      <c r="O265" s="8">
        <f t="shared" si="13"/>
        <v>971.14004094740005</v>
      </c>
      <c r="P265" s="8">
        <f t="shared" si="14"/>
        <v>3006.6734185288192</v>
      </c>
      <c r="Q265" s="8">
        <f t="shared" si="15"/>
        <v>900.82146619415403</v>
      </c>
      <c r="R265">
        <v>-2.7797948107545167E-2</v>
      </c>
      <c r="S265">
        <v>5.5579799075749635E-2</v>
      </c>
      <c r="T265">
        <v>-5.5796003353928841E-2</v>
      </c>
    </row>
    <row r="266" spans="1:20" x14ac:dyDescent="0.25">
      <c r="A266">
        <v>263</v>
      </c>
      <c r="B266">
        <v>22</v>
      </c>
      <c r="C266">
        <v>11</v>
      </c>
      <c r="D266">
        <v>6.8960000000000002E-3</v>
      </c>
      <c r="E266">
        <v>1.1062000000000001E-2</v>
      </c>
      <c r="F266">
        <v>1.0495000000000001E-2</v>
      </c>
      <c r="G266">
        <v>1.0071999999999999E-2</v>
      </c>
      <c r="H266">
        <v>1.3259E-2</v>
      </c>
      <c r="I266">
        <v>1.5197E-2</v>
      </c>
      <c r="J266">
        <v>1.8433999999999999E-2</v>
      </c>
      <c r="K266">
        <v>1.9907000000000001E-2</v>
      </c>
      <c r="L266">
        <v>2.1468999999999999E-2</v>
      </c>
      <c r="M266">
        <v>2.4933E-2</v>
      </c>
      <c r="N266">
        <v>2.7647000000000001E-2</v>
      </c>
      <c r="O266" s="8">
        <f t="shared" si="13"/>
        <v>972.21154422411723</v>
      </c>
      <c r="P266" s="8">
        <f t="shared" si="14"/>
        <v>3016.8069721764996</v>
      </c>
      <c r="Q266" s="8">
        <f t="shared" si="15"/>
        <v>896.72319527852324</v>
      </c>
      <c r="R266">
        <v>1.3320792275475269E-2</v>
      </c>
      <c r="S266">
        <v>4.1202447198562885E-2</v>
      </c>
      <c r="T266">
        <v>-5.3248234049422305E-2</v>
      </c>
    </row>
    <row r="267" spans="1:20" x14ac:dyDescent="0.25">
      <c r="A267">
        <v>264</v>
      </c>
      <c r="B267">
        <v>22</v>
      </c>
      <c r="C267">
        <v>12</v>
      </c>
      <c r="D267">
        <v>6.8570000000000002E-3</v>
      </c>
      <c r="E267">
        <v>1.1136E-2</v>
      </c>
      <c r="F267">
        <v>1.0593999999999999E-2</v>
      </c>
      <c r="G267">
        <v>1.0018000000000001E-2</v>
      </c>
      <c r="H267">
        <v>1.3252999999999999E-2</v>
      </c>
      <c r="I267">
        <v>1.52E-2</v>
      </c>
      <c r="J267">
        <v>1.8429000000000001E-2</v>
      </c>
      <c r="K267">
        <v>1.9857E-2</v>
      </c>
      <c r="L267">
        <v>2.1406000000000001E-2</v>
      </c>
      <c r="M267">
        <v>2.4972000000000001E-2</v>
      </c>
      <c r="N267">
        <v>2.7649E-2</v>
      </c>
      <c r="O267" s="8">
        <f t="shared" si="13"/>
        <v>973.10081283212423</v>
      </c>
      <c r="P267" s="8">
        <f t="shared" si="14"/>
        <v>3029.6792493912026</v>
      </c>
      <c r="Q267" s="8">
        <f t="shared" si="15"/>
        <v>892.91019229796132</v>
      </c>
      <c r="R267">
        <v>1.1031623621564129E-2</v>
      </c>
      <c r="S267">
        <v>5.2421111859753351E-2</v>
      </c>
      <c r="T267">
        <v>-4.9849240360132122E-2</v>
      </c>
    </row>
    <row r="268" spans="1:20" x14ac:dyDescent="0.25">
      <c r="A268">
        <v>265</v>
      </c>
      <c r="B268">
        <v>23</v>
      </c>
      <c r="C268">
        <v>1</v>
      </c>
      <c r="D268">
        <v>6.9220000000000002E-3</v>
      </c>
      <c r="E268">
        <v>1.1209999999999999E-2</v>
      </c>
      <c r="F268">
        <v>1.0529E-2</v>
      </c>
      <c r="G268">
        <v>1.0005E-2</v>
      </c>
      <c r="H268">
        <v>1.3252999999999999E-2</v>
      </c>
      <c r="I268">
        <v>1.5261E-2</v>
      </c>
      <c r="J268">
        <v>1.8338E-2</v>
      </c>
      <c r="K268">
        <v>1.9910000000000001E-2</v>
      </c>
      <c r="L268">
        <v>2.1367000000000001E-2</v>
      </c>
      <c r="M268">
        <v>2.5038000000000001E-2</v>
      </c>
      <c r="N268">
        <v>2.7567999999999999E-2</v>
      </c>
      <c r="O268" s="8">
        <f t="shared" si="13"/>
        <v>975.23649500109173</v>
      </c>
      <c r="P268" s="8">
        <f t="shared" si="14"/>
        <v>3041.5912891693238</v>
      </c>
      <c r="Q268" s="8">
        <f t="shared" si="15"/>
        <v>889.42452859602008</v>
      </c>
      <c r="R268">
        <v>2.6656864981459215E-2</v>
      </c>
      <c r="S268">
        <v>4.821516886885744E-2</v>
      </c>
      <c r="T268">
        <v>-4.5851738563295864E-2</v>
      </c>
    </row>
    <row r="269" spans="1:20" x14ac:dyDescent="0.25">
      <c r="A269">
        <v>266</v>
      </c>
      <c r="B269">
        <v>23</v>
      </c>
      <c r="C269">
        <v>2</v>
      </c>
      <c r="D269">
        <v>6.881E-3</v>
      </c>
      <c r="E269">
        <v>1.1180000000000001E-2</v>
      </c>
      <c r="F269">
        <v>1.0539E-2</v>
      </c>
      <c r="G269">
        <v>9.9579999999999998E-3</v>
      </c>
      <c r="H269">
        <v>1.3277000000000001E-2</v>
      </c>
      <c r="I269">
        <v>1.5199000000000001E-2</v>
      </c>
      <c r="J269">
        <v>1.8241E-2</v>
      </c>
      <c r="K269">
        <v>1.9883000000000001E-2</v>
      </c>
      <c r="L269">
        <v>2.1343999999999998E-2</v>
      </c>
      <c r="M269">
        <v>2.4941000000000001E-2</v>
      </c>
      <c r="N269">
        <v>2.7549000000000001E-2</v>
      </c>
      <c r="O269" s="8">
        <f t="shared" si="13"/>
        <v>977.09279252616579</v>
      </c>
      <c r="P269" s="8">
        <f t="shared" si="14"/>
        <v>3055.4604358002193</v>
      </c>
      <c r="Q269" s="8">
        <f t="shared" si="15"/>
        <v>885.8103477343559</v>
      </c>
      <c r="R269">
        <v>2.3081843949837456E-2</v>
      </c>
      <c r="S269">
        <v>5.611133943281249E-2</v>
      </c>
      <c r="T269">
        <v>-4.768688838712281E-2</v>
      </c>
    </row>
    <row r="270" spans="1:20" x14ac:dyDescent="0.25">
      <c r="A270">
        <v>267</v>
      </c>
      <c r="B270">
        <v>23</v>
      </c>
      <c r="C270">
        <v>3</v>
      </c>
      <c r="D270">
        <v>6.8279999999999999E-3</v>
      </c>
      <c r="E270">
        <v>1.1279000000000001E-2</v>
      </c>
      <c r="F270">
        <v>1.0578000000000001E-2</v>
      </c>
      <c r="G270">
        <v>1.0041E-2</v>
      </c>
      <c r="H270">
        <v>1.3212E-2</v>
      </c>
      <c r="I270">
        <v>1.5292E-2</v>
      </c>
      <c r="J270">
        <v>1.8183000000000001E-2</v>
      </c>
      <c r="K270">
        <v>1.9958E-2</v>
      </c>
      <c r="L270">
        <v>2.1364999999999999E-2</v>
      </c>
      <c r="M270">
        <v>2.4843E-2</v>
      </c>
      <c r="N270">
        <v>2.7501000000000001E-2</v>
      </c>
      <c r="O270" s="8">
        <f t="shared" si="13"/>
        <v>977.45134678851969</v>
      </c>
      <c r="P270" s="8">
        <f t="shared" si="14"/>
        <v>3071.7100076432002</v>
      </c>
      <c r="Q270" s="8">
        <f t="shared" si="15"/>
        <v>882.30574488247009</v>
      </c>
      <c r="R270">
        <v>4.4124220074523166E-3</v>
      </c>
      <c r="S270">
        <v>6.5718677692850488E-2</v>
      </c>
      <c r="T270">
        <v>-4.6456976233460928E-2</v>
      </c>
    </row>
    <row r="271" spans="1:20" x14ac:dyDescent="0.25">
      <c r="A271">
        <v>268</v>
      </c>
      <c r="B271">
        <v>23</v>
      </c>
      <c r="C271">
        <v>4</v>
      </c>
      <c r="D271">
        <v>6.8560000000000001E-3</v>
      </c>
      <c r="E271">
        <v>1.1294999999999999E-2</v>
      </c>
      <c r="F271">
        <v>1.0522999999999999E-2</v>
      </c>
      <c r="G271">
        <v>1.0141000000000001E-2</v>
      </c>
      <c r="H271">
        <v>1.3197E-2</v>
      </c>
      <c r="I271">
        <v>1.5325E-2</v>
      </c>
      <c r="J271">
        <v>1.8265E-2</v>
      </c>
      <c r="K271">
        <v>2.0056000000000001E-2</v>
      </c>
      <c r="L271">
        <v>2.1368000000000002E-2</v>
      </c>
      <c r="M271">
        <v>2.4778000000000001E-2</v>
      </c>
      <c r="N271">
        <v>2.7494000000000001E-2</v>
      </c>
      <c r="O271" s="8">
        <f t="shared" si="13"/>
        <v>977.11665728139928</v>
      </c>
      <c r="P271" s="8">
        <f t="shared" si="14"/>
        <v>3080.772096682244</v>
      </c>
      <c r="Q271" s="8">
        <f t="shared" si="15"/>
        <v>878.46858273634257</v>
      </c>
      <c r="R271">
        <v>-4.1011954690200079E-3</v>
      </c>
      <c r="S271">
        <v>3.5982247864113089E-2</v>
      </c>
      <c r="T271">
        <v>-5.0957797110480443E-2</v>
      </c>
    </row>
    <row r="272" spans="1:20" x14ac:dyDescent="0.25">
      <c r="A272">
        <v>269</v>
      </c>
      <c r="B272">
        <v>23</v>
      </c>
      <c r="C272">
        <v>5</v>
      </c>
      <c r="D272">
        <v>6.9249999999999997E-3</v>
      </c>
      <c r="E272">
        <v>1.1388000000000001E-2</v>
      </c>
      <c r="F272">
        <v>1.0540000000000001E-2</v>
      </c>
      <c r="G272">
        <v>1.0198E-2</v>
      </c>
      <c r="H272">
        <v>1.3108E-2</v>
      </c>
      <c r="I272">
        <v>1.5240999999999999E-2</v>
      </c>
      <c r="J272">
        <v>1.8308999999999999E-2</v>
      </c>
      <c r="K272">
        <v>2.0118E-2</v>
      </c>
      <c r="L272">
        <v>2.1335E-2</v>
      </c>
      <c r="M272">
        <v>2.4844999999999999E-2</v>
      </c>
      <c r="N272">
        <v>2.7455E-2</v>
      </c>
      <c r="O272" s="8">
        <f t="shared" si="13"/>
        <v>974.41054660656425</v>
      </c>
      <c r="P272" s="8">
        <f t="shared" si="14"/>
        <v>3090.2736348331559</v>
      </c>
      <c r="Q272" s="8">
        <f t="shared" si="15"/>
        <v>874.68629734879732</v>
      </c>
      <c r="R272">
        <v>-3.2732250077802567E-2</v>
      </c>
      <c r="S272">
        <v>3.7643988591148474E-2</v>
      </c>
      <c r="T272">
        <v>-5.0460432823030393E-2</v>
      </c>
    </row>
    <row r="273" spans="1:20" x14ac:dyDescent="0.25">
      <c r="A273">
        <v>270</v>
      </c>
      <c r="B273">
        <v>23</v>
      </c>
      <c r="C273">
        <v>6</v>
      </c>
      <c r="D273">
        <v>6.8719999999999996E-3</v>
      </c>
      <c r="E273">
        <v>1.1315E-2</v>
      </c>
      <c r="F273">
        <v>1.0564E-2</v>
      </c>
      <c r="G273">
        <v>1.0193000000000001E-2</v>
      </c>
      <c r="H273">
        <v>1.3010000000000001E-2</v>
      </c>
      <c r="I273">
        <v>1.5309E-2</v>
      </c>
      <c r="J273">
        <v>1.8404E-2</v>
      </c>
      <c r="K273">
        <v>2.0181999999999999E-2</v>
      </c>
      <c r="L273">
        <v>2.1349E-2</v>
      </c>
      <c r="M273">
        <v>2.4763E-2</v>
      </c>
      <c r="N273">
        <v>2.7448E-2</v>
      </c>
      <c r="O273" s="8">
        <f t="shared" si="13"/>
        <v>975.0355237606077</v>
      </c>
      <c r="P273" s="8">
        <f t="shared" si="14"/>
        <v>3105.9225741368373</v>
      </c>
      <c r="Q273" s="8">
        <f t="shared" si="15"/>
        <v>870.77517031000923</v>
      </c>
      <c r="R273">
        <v>7.7238889588653013E-3</v>
      </c>
      <c r="S273">
        <v>6.2488560879010606E-2</v>
      </c>
      <c r="T273">
        <v>-5.2357420358546895E-2</v>
      </c>
    </row>
    <row r="274" spans="1:20" x14ac:dyDescent="0.25">
      <c r="A274">
        <v>271</v>
      </c>
      <c r="B274">
        <v>23</v>
      </c>
      <c r="C274">
        <v>7</v>
      </c>
      <c r="D274">
        <v>6.9069999999999999E-3</v>
      </c>
      <c r="E274">
        <v>1.1287E-2</v>
      </c>
      <c r="F274">
        <v>1.0500000000000001E-2</v>
      </c>
      <c r="G274">
        <v>1.0193000000000001E-2</v>
      </c>
      <c r="H274">
        <v>1.2949E-2</v>
      </c>
      <c r="I274">
        <v>1.5318999999999999E-2</v>
      </c>
      <c r="J274">
        <v>1.8350999999999999E-2</v>
      </c>
      <c r="K274">
        <v>2.0229E-2</v>
      </c>
      <c r="L274">
        <v>2.1425E-2</v>
      </c>
      <c r="M274">
        <v>2.4813999999999999E-2</v>
      </c>
      <c r="N274">
        <v>2.7383000000000001E-2</v>
      </c>
      <c r="O274" s="8">
        <f t="shared" si="13"/>
        <v>973.97479021451238</v>
      </c>
      <c r="P274" s="8">
        <f t="shared" si="14"/>
        <v>3118.4675750779465</v>
      </c>
      <c r="Q274" s="8">
        <f t="shared" si="15"/>
        <v>866.90787559918613</v>
      </c>
      <c r="R274">
        <v>-1.297687740334505E-2</v>
      </c>
      <c r="S274">
        <v>4.9560046463661668E-2</v>
      </c>
      <c r="T274">
        <v>-5.201178495373035E-2</v>
      </c>
    </row>
    <row r="275" spans="1:20" x14ac:dyDescent="0.25">
      <c r="A275">
        <v>272</v>
      </c>
      <c r="B275">
        <v>23</v>
      </c>
      <c r="C275">
        <v>8</v>
      </c>
      <c r="D275">
        <v>6.9690000000000004E-3</v>
      </c>
      <c r="E275">
        <v>1.1358E-2</v>
      </c>
      <c r="F275">
        <v>1.0553E-2</v>
      </c>
      <c r="G275">
        <v>1.0234999999999999E-2</v>
      </c>
      <c r="H275">
        <v>1.2966E-2</v>
      </c>
      <c r="I275">
        <v>1.5237000000000001E-2</v>
      </c>
      <c r="J275">
        <v>1.8405999999999999E-2</v>
      </c>
      <c r="K275">
        <v>2.0150999999999999E-2</v>
      </c>
      <c r="L275">
        <v>2.1479000000000002E-2</v>
      </c>
      <c r="M275">
        <v>2.4759E-2</v>
      </c>
      <c r="N275">
        <v>2.7349999999999999E-2</v>
      </c>
      <c r="O275" s="8">
        <f t="shared" si="13"/>
        <v>971.4813765329618</v>
      </c>
      <c r="P275" s="8">
        <f t="shared" si="14"/>
        <v>3130.67049833599</v>
      </c>
      <c r="Q275" s="8">
        <f t="shared" si="15"/>
        <v>863.19562647420094</v>
      </c>
      <c r="R275">
        <v>-3.0291590000576841E-2</v>
      </c>
      <c r="S275">
        <v>4.7981306096329564E-2</v>
      </c>
      <c r="T275">
        <v>-5.0192938283670316E-2</v>
      </c>
    </row>
    <row r="276" spans="1:20" x14ac:dyDescent="0.25">
      <c r="A276">
        <v>273</v>
      </c>
      <c r="B276">
        <v>23</v>
      </c>
      <c r="C276">
        <v>9</v>
      </c>
      <c r="D276">
        <v>6.8830000000000002E-3</v>
      </c>
      <c r="E276">
        <v>1.1361E-2</v>
      </c>
      <c r="F276">
        <v>1.0628E-2</v>
      </c>
      <c r="G276">
        <v>1.0245000000000001E-2</v>
      </c>
      <c r="H276">
        <v>1.3051E-2</v>
      </c>
      <c r="I276">
        <v>1.5270000000000001E-2</v>
      </c>
      <c r="J276">
        <v>1.8474999999999998E-2</v>
      </c>
      <c r="K276">
        <v>2.0086E-2</v>
      </c>
      <c r="L276">
        <v>2.1443E-2</v>
      </c>
      <c r="M276">
        <v>2.4849E-2</v>
      </c>
      <c r="N276">
        <v>2.7272999999999999E-2</v>
      </c>
      <c r="O276" s="8">
        <f t="shared" si="13"/>
        <v>973.65907354815886</v>
      </c>
      <c r="P276" s="8">
        <f t="shared" si="14"/>
        <v>3147.8482285125056</v>
      </c>
      <c r="Q276" s="8">
        <f t="shared" si="15"/>
        <v>859.13921481226942</v>
      </c>
      <c r="R276">
        <v>2.7233633799785908E-2</v>
      </c>
      <c r="S276">
        <v>6.7866815645119663E-2</v>
      </c>
      <c r="T276">
        <v>-5.4956638707515479E-2</v>
      </c>
    </row>
    <row r="277" spans="1:20" x14ac:dyDescent="0.25">
      <c r="A277">
        <v>274</v>
      </c>
      <c r="B277">
        <v>23</v>
      </c>
      <c r="C277">
        <v>10</v>
      </c>
      <c r="D277">
        <v>6.8500000000000002E-3</v>
      </c>
      <c r="E277">
        <v>1.1306999999999999E-2</v>
      </c>
      <c r="F277">
        <v>1.0621E-2</v>
      </c>
      <c r="G277">
        <v>1.0307E-2</v>
      </c>
      <c r="H277">
        <v>1.3069000000000001E-2</v>
      </c>
      <c r="I277">
        <v>1.5330999999999999E-2</v>
      </c>
      <c r="J277">
        <v>1.8452E-2</v>
      </c>
      <c r="K277">
        <v>2.0083E-2</v>
      </c>
      <c r="L277">
        <v>2.1430000000000001E-2</v>
      </c>
      <c r="M277">
        <v>2.4819000000000001E-2</v>
      </c>
      <c r="N277">
        <v>2.7286000000000001E-2</v>
      </c>
      <c r="O277" s="8">
        <f t="shared" si="13"/>
        <v>973.47200805178636</v>
      </c>
      <c r="P277" s="8">
        <f t="shared" si="14"/>
        <v>3159.8645288964003</v>
      </c>
      <c r="Q277" s="8">
        <f t="shared" si="15"/>
        <v>855.18586134724899</v>
      </c>
      <c r="R277">
        <v>-2.3030807012180124E-3</v>
      </c>
      <c r="S277">
        <v>4.6781757539210739E-2</v>
      </c>
      <c r="T277">
        <v>-5.3842067151777105E-2</v>
      </c>
    </row>
    <row r="278" spans="1:20" x14ac:dyDescent="0.25">
      <c r="A278">
        <v>275</v>
      </c>
      <c r="B278">
        <v>23</v>
      </c>
      <c r="C278">
        <v>11</v>
      </c>
      <c r="D278">
        <v>6.8669999999999998E-3</v>
      </c>
      <c r="E278">
        <v>1.1227000000000001E-2</v>
      </c>
      <c r="F278">
        <v>1.0647E-2</v>
      </c>
      <c r="G278">
        <v>1.0229E-2</v>
      </c>
      <c r="H278">
        <v>1.307E-2</v>
      </c>
      <c r="I278">
        <v>1.5318999999999999E-2</v>
      </c>
      <c r="J278">
        <v>1.8549E-2</v>
      </c>
      <c r="K278">
        <v>2.0091000000000001E-2</v>
      </c>
      <c r="L278">
        <v>2.1465000000000001E-2</v>
      </c>
      <c r="M278">
        <v>2.4757000000000001E-2</v>
      </c>
      <c r="N278">
        <v>2.7199999999999998E-2</v>
      </c>
      <c r="O278" s="8">
        <f t="shared" si="13"/>
        <v>970.46117961048458</v>
      </c>
      <c r="P278" s="8">
        <f t="shared" si="14"/>
        <v>3177.7642332789178</v>
      </c>
      <c r="Q278" s="8">
        <f t="shared" si="15"/>
        <v>851.21941573603897</v>
      </c>
      <c r="R278">
        <v>-3.6489630409379997E-2</v>
      </c>
      <c r="S278">
        <v>7.0134847011907975E-2</v>
      </c>
      <c r="T278">
        <v>-5.4259240487079141E-2</v>
      </c>
    </row>
    <row r="279" spans="1:20" x14ac:dyDescent="0.25">
      <c r="A279">
        <v>276</v>
      </c>
      <c r="B279">
        <v>23</v>
      </c>
      <c r="C279">
        <v>12</v>
      </c>
      <c r="D279">
        <v>6.8110000000000002E-3</v>
      </c>
      <c r="E279">
        <v>1.1271E-2</v>
      </c>
      <c r="F279">
        <v>1.0581E-2</v>
      </c>
      <c r="G279">
        <v>1.0302E-2</v>
      </c>
      <c r="H279">
        <v>1.2987E-2</v>
      </c>
      <c r="I279">
        <v>1.5347E-2</v>
      </c>
      <c r="J279">
        <v>1.8643E-2</v>
      </c>
      <c r="K279">
        <v>2.0004999999999998E-2</v>
      </c>
      <c r="L279">
        <v>2.1422E-2</v>
      </c>
      <c r="M279">
        <v>2.4757999999999999E-2</v>
      </c>
      <c r="N279">
        <v>2.7120999999999999E-2</v>
      </c>
      <c r="O279" s="8">
        <f t="shared" si="13"/>
        <v>973.75908533812435</v>
      </c>
      <c r="P279" s="8">
        <f t="shared" si="14"/>
        <v>3195.6341121140067</v>
      </c>
      <c r="Q279" s="8">
        <f t="shared" si="15"/>
        <v>847.34299024537438</v>
      </c>
      <c r="R279">
        <v>4.1550337093431595E-2</v>
      </c>
      <c r="S279">
        <v>6.9607673201644252E-2</v>
      </c>
      <c r="T279">
        <v>-5.3299426331590911E-2</v>
      </c>
    </row>
    <row r="280" spans="1:20" x14ac:dyDescent="0.25">
      <c r="A280">
        <v>277</v>
      </c>
      <c r="B280">
        <v>24</v>
      </c>
      <c r="C280">
        <v>1</v>
      </c>
      <c r="D280">
        <v>6.829E-3</v>
      </c>
      <c r="E280">
        <v>1.1193E-2</v>
      </c>
      <c r="F280">
        <v>1.0533000000000001E-2</v>
      </c>
      <c r="G280">
        <v>1.0381E-2</v>
      </c>
      <c r="H280">
        <v>1.289E-2</v>
      </c>
      <c r="I280">
        <v>1.5394E-2</v>
      </c>
      <c r="J280">
        <v>1.8711999999999999E-2</v>
      </c>
      <c r="K280">
        <v>1.9949000000000001E-2</v>
      </c>
      <c r="L280">
        <v>2.1416000000000001E-2</v>
      </c>
      <c r="M280">
        <v>2.4850000000000001E-2</v>
      </c>
      <c r="N280">
        <v>2.7182000000000001E-2</v>
      </c>
      <c r="O280" s="8">
        <f t="shared" si="13"/>
        <v>970.55433660431322</v>
      </c>
      <c r="P280" s="8">
        <f t="shared" si="14"/>
        <v>3204.2436911429895</v>
      </c>
      <c r="Q280" s="8">
        <f t="shared" si="15"/>
        <v>843.33243010612762</v>
      </c>
      <c r="R280">
        <v>-3.8786237506665835E-2</v>
      </c>
      <c r="S280">
        <v>3.2813423120301138E-2</v>
      </c>
      <c r="T280">
        <v>-5.5341746818089926E-2</v>
      </c>
    </row>
    <row r="281" spans="1:20" x14ac:dyDescent="0.25">
      <c r="A281">
        <v>278</v>
      </c>
      <c r="B281">
        <v>24</v>
      </c>
      <c r="C281">
        <v>2</v>
      </c>
      <c r="D281">
        <v>6.8739999999999999E-3</v>
      </c>
      <c r="E281">
        <v>1.1235999999999999E-2</v>
      </c>
      <c r="F281">
        <v>1.0581E-2</v>
      </c>
      <c r="G281">
        <v>1.0429000000000001E-2</v>
      </c>
      <c r="H281">
        <v>1.2865E-2</v>
      </c>
      <c r="I281">
        <v>1.5328E-2</v>
      </c>
      <c r="J281">
        <v>1.8738000000000001E-2</v>
      </c>
      <c r="K281">
        <v>1.9913E-2</v>
      </c>
      <c r="L281">
        <v>2.1484E-2</v>
      </c>
      <c r="M281">
        <v>2.4922E-2</v>
      </c>
      <c r="N281">
        <v>2.7119999999999998E-2</v>
      </c>
      <c r="O281" s="8">
        <f t="shared" si="13"/>
        <v>969.89657680451728</v>
      </c>
      <c r="P281" s="8">
        <f t="shared" si="14"/>
        <v>3217.4867783518853</v>
      </c>
      <c r="Q281" s="8">
        <f t="shared" si="15"/>
        <v>839.48507030121505</v>
      </c>
      <c r="R281">
        <v>-8.1023416979893546E-3</v>
      </c>
      <c r="S281">
        <v>5.0738864913782065E-2</v>
      </c>
      <c r="T281">
        <v>-5.3392138460350791E-2</v>
      </c>
    </row>
    <row r="282" spans="1:20" x14ac:dyDescent="0.25">
      <c r="A282">
        <v>279</v>
      </c>
      <c r="B282">
        <v>24</v>
      </c>
      <c r="C282">
        <v>3</v>
      </c>
      <c r="D282">
        <v>6.9329999999999999E-3</v>
      </c>
      <c r="E282">
        <v>1.1218000000000001E-2</v>
      </c>
      <c r="F282">
        <v>1.0661E-2</v>
      </c>
      <c r="G282">
        <v>1.044E-2</v>
      </c>
      <c r="H282">
        <v>1.291E-2</v>
      </c>
      <c r="I282">
        <v>1.5413E-2</v>
      </c>
      <c r="J282">
        <v>1.8770999999999999E-2</v>
      </c>
      <c r="K282">
        <v>1.9990000000000001E-2</v>
      </c>
      <c r="L282">
        <v>2.1545999999999999E-2</v>
      </c>
      <c r="M282">
        <v>2.4909000000000001E-2</v>
      </c>
      <c r="N282">
        <v>2.7147999999999999E-2</v>
      </c>
      <c r="O282" s="8">
        <f t="shared" si="13"/>
        <v>972.03935585765498</v>
      </c>
      <c r="P282" s="8">
        <f t="shared" si="14"/>
        <v>3227.4842073078134</v>
      </c>
      <c r="Q282" s="8">
        <f t="shared" si="15"/>
        <v>835.59492133643789</v>
      </c>
      <c r="R282">
        <v>2.6835960107558992E-2</v>
      </c>
      <c r="S282">
        <v>3.7930464363613935E-2</v>
      </c>
      <c r="T282">
        <v>-5.4212047057959026E-2</v>
      </c>
    </row>
    <row r="283" spans="1:20" x14ac:dyDescent="0.25">
      <c r="A283">
        <v>280</v>
      </c>
      <c r="B283">
        <v>24</v>
      </c>
      <c r="C283">
        <v>4</v>
      </c>
      <c r="D283">
        <v>6.8450000000000004E-3</v>
      </c>
      <c r="E283">
        <v>1.1169E-2</v>
      </c>
      <c r="F283">
        <v>1.0632000000000001E-2</v>
      </c>
      <c r="G283">
        <v>1.0425E-2</v>
      </c>
      <c r="H283">
        <v>1.2886999999999999E-2</v>
      </c>
      <c r="I283">
        <v>1.5396E-2</v>
      </c>
      <c r="J283">
        <v>1.8770999999999999E-2</v>
      </c>
      <c r="K283">
        <v>2.0034E-2</v>
      </c>
      <c r="L283">
        <v>2.154E-2</v>
      </c>
      <c r="M283">
        <v>2.4978E-2</v>
      </c>
      <c r="N283">
        <v>2.7099999999999999E-2</v>
      </c>
      <c r="O283" s="8">
        <f t="shared" si="13"/>
        <v>971.48853163004662</v>
      </c>
      <c r="P283" s="8">
        <f t="shared" si="14"/>
        <v>3244.8951379982705</v>
      </c>
      <c r="Q283" s="8">
        <f t="shared" si="15"/>
        <v>831.80433277361112</v>
      </c>
      <c r="R283">
        <v>-6.7788702760064115E-3</v>
      </c>
      <c r="S283">
        <v>6.6690654539458008E-2</v>
      </c>
      <c r="T283">
        <v>-5.3098862871910374E-2</v>
      </c>
    </row>
    <row r="284" spans="1:20" x14ac:dyDescent="0.25">
      <c r="A284">
        <v>281</v>
      </c>
      <c r="B284">
        <v>24</v>
      </c>
      <c r="C284">
        <v>5</v>
      </c>
      <c r="D284">
        <v>6.8979999999999996E-3</v>
      </c>
      <c r="E284">
        <v>1.1140000000000001E-2</v>
      </c>
      <c r="F284">
        <v>1.0701E-2</v>
      </c>
      <c r="G284">
        <v>1.0338999999999999E-2</v>
      </c>
      <c r="H284">
        <v>1.2825E-2</v>
      </c>
      <c r="I284">
        <v>1.5311E-2</v>
      </c>
      <c r="J284">
        <v>1.8839000000000002E-2</v>
      </c>
      <c r="K284">
        <v>2.0034E-2</v>
      </c>
      <c r="L284">
        <v>2.1579000000000001E-2</v>
      </c>
      <c r="M284">
        <v>2.4892999999999998E-2</v>
      </c>
      <c r="N284">
        <v>2.7016999999999999E-2</v>
      </c>
      <c r="O284" s="8">
        <f t="shared" si="13"/>
        <v>973.55330639790884</v>
      </c>
      <c r="P284" s="8">
        <f t="shared" si="14"/>
        <v>3262.3610938927982</v>
      </c>
      <c r="Q284" s="8">
        <f t="shared" si="15"/>
        <v>828.05907827988551</v>
      </c>
      <c r="R284">
        <v>2.5804724994065515E-2</v>
      </c>
      <c r="S284">
        <v>6.6538039231886559E-2</v>
      </c>
      <c r="T284">
        <v>-5.2712655238220787E-2</v>
      </c>
    </row>
    <row r="285" spans="1:20" x14ac:dyDescent="0.25">
      <c r="A285">
        <v>282</v>
      </c>
      <c r="B285">
        <v>24</v>
      </c>
      <c r="C285">
        <v>6</v>
      </c>
      <c r="D285">
        <v>6.8300000000000001E-3</v>
      </c>
      <c r="E285">
        <v>1.1082E-2</v>
      </c>
      <c r="F285">
        <v>1.069E-2</v>
      </c>
      <c r="G285">
        <v>1.0293E-2</v>
      </c>
      <c r="H285">
        <v>1.2743000000000001E-2</v>
      </c>
      <c r="I285">
        <v>1.5377E-2</v>
      </c>
      <c r="J285">
        <v>1.8912000000000002E-2</v>
      </c>
      <c r="K285">
        <v>2.0060000000000001E-2</v>
      </c>
      <c r="L285">
        <v>2.1548999999999999E-2</v>
      </c>
      <c r="M285">
        <v>2.4934999999999999E-2</v>
      </c>
      <c r="N285">
        <v>2.6991999999999999E-2</v>
      </c>
      <c r="O285" s="8">
        <f t="shared" si="13"/>
        <v>975.13848278918647</v>
      </c>
      <c r="P285" s="8">
        <f t="shared" si="14"/>
        <v>3273.5533136011773</v>
      </c>
      <c r="Q285" s="8">
        <f t="shared" si="15"/>
        <v>824.13207840750158</v>
      </c>
      <c r="R285">
        <v>1.9714784439127338E-2</v>
      </c>
      <c r="S285">
        <v>4.1954295788749277E-2</v>
      </c>
      <c r="T285">
        <v>-5.5447824629611356E-2</v>
      </c>
    </row>
    <row r="286" spans="1:20" x14ac:dyDescent="0.25">
      <c r="A286">
        <v>283</v>
      </c>
      <c r="B286">
        <v>24</v>
      </c>
      <c r="C286">
        <v>7</v>
      </c>
      <c r="D286">
        <v>6.7999999999999996E-3</v>
      </c>
      <c r="E286">
        <v>1.1070999999999999E-2</v>
      </c>
      <c r="F286">
        <v>1.0621999999999999E-2</v>
      </c>
      <c r="G286">
        <v>1.0371E-2</v>
      </c>
      <c r="H286">
        <v>1.2739E-2</v>
      </c>
      <c r="I286">
        <v>1.5393E-2</v>
      </c>
      <c r="J286">
        <v>1.8950999999999999E-2</v>
      </c>
      <c r="K286">
        <v>2.0060000000000001E-2</v>
      </c>
      <c r="L286">
        <v>2.1530000000000001E-2</v>
      </c>
      <c r="M286">
        <v>2.4865999999999999E-2</v>
      </c>
      <c r="N286">
        <v>2.6903E-2</v>
      </c>
      <c r="O286" s="8">
        <f t="shared" si="13"/>
        <v>976.66908592571531</v>
      </c>
      <c r="P286" s="8">
        <f t="shared" si="14"/>
        <v>3290.8906857340194</v>
      </c>
      <c r="Q286" s="8">
        <f t="shared" si="15"/>
        <v>820.44711606102157</v>
      </c>
      <c r="R286">
        <v>1.8998976944548437E-2</v>
      </c>
      <c r="S286">
        <v>6.5438676493392425E-2</v>
      </c>
      <c r="T286">
        <v>-5.2355848664955219E-2</v>
      </c>
    </row>
    <row r="287" spans="1:20" x14ac:dyDescent="0.25">
      <c r="A287">
        <v>284</v>
      </c>
      <c r="B287">
        <v>24</v>
      </c>
      <c r="C287">
        <v>8</v>
      </c>
      <c r="D287">
        <v>6.8999999999999999E-3</v>
      </c>
      <c r="E287">
        <v>1.112E-2</v>
      </c>
      <c r="F287">
        <v>1.0580000000000001E-2</v>
      </c>
      <c r="G287">
        <v>1.0316000000000001E-2</v>
      </c>
      <c r="H287">
        <v>1.2652999999999999E-2</v>
      </c>
      <c r="I287">
        <v>1.5474999999999999E-2</v>
      </c>
      <c r="J287">
        <v>1.8950999999999999E-2</v>
      </c>
      <c r="K287">
        <v>1.9972E-2</v>
      </c>
      <c r="L287">
        <v>2.1534000000000001E-2</v>
      </c>
      <c r="M287">
        <v>2.4797E-2</v>
      </c>
      <c r="N287">
        <v>2.6870999999999999E-2</v>
      </c>
      <c r="O287" s="8">
        <f t="shared" si="13"/>
        <v>977.09839729007376</v>
      </c>
      <c r="P287" s="8">
        <f t="shared" si="14"/>
        <v>3300.770262878405</v>
      </c>
      <c r="Q287" s="8">
        <f t="shared" si="15"/>
        <v>816.97744352979566</v>
      </c>
      <c r="R287">
        <v>5.2875734916274907E-3</v>
      </c>
      <c r="S287">
        <v>3.6626002979804395E-2</v>
      </c>
      <c r="T287">
        <v>-4.9584132375435019E-2</v>
      </c>
    </row>
    <row r="288" spans="1:20" x14ac:dyDescent="0.25">
      <c r="A288">
        <v>285</v>
      </c>
      <c r="B288">
        <v>24</v>
      </c>
      <c r="C288">
        <v>9</v>
      </c>
      <c r="D288">
        <v>6.8859999999999998E-3</v>
      </c>
      <c r="E288">
        <v>1.1178E-2</v>
      </c>
      <c r="F288">
        <v>1.0583E-2</v>
      </c>
      <c r="G288">
        <v>1.0304000000000001E-2</v>
      </c>
      <c r="H288">
        <v>1.2678999999999999E-2</v>
      </c>
      <c r="I288">
        <v>1.5518000000000001E-2</v>
      </c>
      <c r="J288">
        <v>1.8890000000000001E-2</v>
      </c>
      <c r="K288">
        <v>2.0056999999999998E-2</v>
      </c>
      <c r="L288">
        <v>2.1624000000000001E-2</v>
      </c>
      <c r="M288">
        <v>2.4858000000000002E-2</v>
      </c>
      <c r="N288">
        <v>2.6848E-2</v>
      </c>
      <c r="O288" s="8">
        <f t="shared" si="13"/>
        <v>973.54909868378888</v>
      </c>
      <c r="P288" s="8">
        <f t="shared" si="14"/>
        <v>3310.0132705860547</v>
      </c>
      <c r="Q288" s="8">
        <f t="shared" si="15"/>
        <v>813.40160972566014</v>
      </c>
      <c r="R288">
        <v>-4.2729451840568429E-2</v>
      </c>
      <c r="S288">
        <v>3.4125490358623681E-2</v>
      </c>
      <c r="T288">
        <v>-5.1276760949396066E-2</v>
      </c>
    </row>
    <row r="289" spans="1:20" x14ac:dyDescent="0.25">
      <c r="A289">
        <v>286</v>
      </c>
      <c r="B289">
        <v>24</v>
      </c>
      <c r="C289">
        <v>10</v>
      </c>
      <c r="D289">
        <v>6.9309999999999997E-3</v>
      </c>
      <c r="E289">
        <v>1.1132E-2</v>
      </c>
      <c r="F289">
        <v>1.0625000000000001E-2</v>
      </c>
      <c r="G289">
        <v>1.0205000000000001E-2</v>
      </c>
      <c r="H289">
        <v>1.2614E-2</v>
      </c>
      <c r="I289">
        <v>1.5454000000000001E-2</v>
      </c>
      <c r="J289">
        <v>1.8887000000000001E-2</v>
      </c>
      <c r="K289">
        <v>1.9959999999999999E-2</v>
      </c>
      <c r="L289">
        <v>2.163E-2</v>
      </c>
      <c r="M289">
        <v>2.4910999999999999E-2</v>
      </c>
      <c r="N289">
        <v>2.6811000000000001E-2</v>
      </c>
      <c r="O289" s="8">
        <f t="shared" si="13"/>
        <v>974.64379207105367</v>
      </c>
      <c r="P289" s="8">
        <f t="shared" si="14"/>
        <v>3328.9548921362225</v>
      </c>
      <c r="Q289" s="8">
        <f t="shared" si="15"/>
        <v>810.1286161982166</v>
      </c>
      <c r="R289">
        <v>1.35769897482606E-2</v>
      </c>
      <c r="S289">
        <v>7.0873337536982897E-2</v>
      </c>
      <c r="T289">
        <v>-4.7231597107569724E-2</v>
      </c>
    </row>
    <row r="290" spans="1:20" x14ac:dyDescent="0.25">
      <c r="A290">
        <v>287</v>
      </c>
      <c r="B290">
        <v>24</v>
      </c>
      <c r="C290">
        <v>11</v>
      </c>
      <c r="D290">
        <v>7.012E-3</v>
      </c>
      <c r="E290">
        <v>1.1141E-2</v>
      </c>
      <c r="F290">
        <v>1.0688E-2</v>
      </c>
      <c r="G290">
        <v>1.0193000000000001E-2</v>
      </c>
      <c r="H290">
        <v>1.2619E-2</v>
      </c>
      <c r="I290">
        <v>1.5535999999999999E-2</v>
      </c>
      <c r="J290">
        <v>1.8877000000000001E-2</v>
      </c>
      <c r="K290">
        <v>2.0032000000000001E-2</v>
      </c>
      <c r="L290">
        <v>2.1533E-2</v>
      </c>
      <c r="M290">
        <v>2.4929E-2</v>
      </c>
      <c r="N290">
        <v>2.6865E-2</v>
      </c>
      <c r="O290" s="8">
        <f t="shared" si="13"/>
        <v>978.07835664564755</v>
      </c>
      <c r="P290" s="8">
        <f t="shared" si="14"/>
        <v>3343.7628622389097</v>
      </c>
      <c r="Q290" s="8">
        <f t="shared" si="15"/>
        <v>806.95742129675205</v>
      </c>
      <c r="R290">
        <v>4.3116304922339282E-2</v>
      </c>
      <c r="S290">
        <v>5.4704293738604852E-2</v>
      </c>
      <c r="T290">
        <v>-4.5974982352421791E-2</v>
      </c>
    </row>
    <row r="291" spans="1:20" x14ac:dyDescent="0.25">
      <c r="A291">
        <v>288</v>
      </c>
      <c r="B291">
        <v>24</v>
      </c>
      <c r="C291">
        <v>12</v>
      </c>
      <c r="D291">
        <v>6.9979999999999999E-3</v>
      </c>
      <c r="E291">
        <v>1.1214E-2</v>
      </c>
      <c r="F291">
        <v>1.0596E-2</v>
      </c>
      <c r="G291">
        <v>1.0142E-2</v>
      </c>
      <c r="H291">
        <v>1.2699999999999999E-2</v>
      </c>
      <c r="I291">
        <v>1.5611999999999999E-2</v>
      </c>
      <c r="J291">
        <v>1.8815999999999999E-2</v>
      </c>
      <c r="K291">
        <v>1.9959000000000001E-2</v>
      </c>
      <c r="L291">
        <v>2.1461999999999998E-2</v>
      </c>
      <c r="M291">
        <v>2.4979999999999999E-2</v>
      </c>
      <c r="N291">
        <v>2.6873999999999999E-2</v>
      </c>
      <c r="O291" s="8">
        <f t="shared" si="13"/>
        <v>979.85874276712457</v>
      </c>
      <c r="P291" s="8">
        <f t="shared" si="14"/>
        <v>3363.000106998431</v>
      </c>
      <c r="Q291" s="8">
        <f t="shared" si="15"/>
        <v>803.86368238783768</v>
      </c>
      <c r="R291">
        <v>2.2063498813199699E-2</v>
      </c>
      <c r="S291">
        <v>7.1265045057796475E-2</v>
      </c>
      <c r="T291">
        <v>-4.5048185263075906E-2</v>
      </c>
    </row>
    <row r="292" spans="1:20" x14ac:dyDescent="0.25">
      <c r="A292">
        <v>289</v>
      </c>
      <c r="B292">
        <v>25</v>
      </c>
      <c r="C292">
        <v>1</v>
      </c>
      <c r="D292">
        <v>7.051E-3</v>
      </c>
      <c r="E292">
        <v>1.1214E-2</v>
      </c>
      <c r="F292">
        <v>1.0536E-2</v>
      </c>
      <c r="G292">
        <v>1.0226000000000001E-2</v>
      </c>
      <c r="H292">
        <v>1.2796999999999999E-2</v>
      </c>
      <c r="I292">
        <v>1.5701E-2</v>
      </c>
      <c r="J292">
        <v>1.8870000000000001E-2</v>
      </c>
      <c r="K292">
        <v>1.9918999999999999E-2</v>
      </c>
      <c r="L292">
        <v>2.1551000000000001E-2</v>
      </c>
      <c r="M292">
        <v>2.4969000000000002E-2</v>
      </c>
      <c r="N292">
        <v>2.6943000000000002E-2</v>
      </c>
      <c r="O292" s="8">
        <f t="shared" si="13"/>
        <v>983.85410788291517</v>
      </c>
      <c r="P292" s="8">
        <f t="shared" si="14"/>
        <v>3380.8994699298751</v>
      </c>
      <c r="Q292" s="8">
        <f t="shared" si="15"/>
        <v>800.92648407190723</v>
      </c>
      <c r="R292">
        <v>5.0042254412923148E-2</v>
      </c>
      <c r="S292">
        <v>6.5772510923404012E-2</v>
      </c>
      <c r="T292">
        <v>-4.2975717571981743E-2</v>
      </c>
    </row>
    <row r="293" spans="1:20" x14ac:dyDescent="0.25">
      <c r="A293">
        <v>290</v>
      </c>
      <c r="B293">
        <v>25</v>
      </c>
      <c r="C293">
        <v>2</v>
      </c>
      <c r="D293">
        <v>7.0369999999999999E-3</v>
      </c>
      <c r="E293">
        <v>1.124E-2</v>
      </c>
      <c r="F293">
        <v>1.0584E-2</v>
      </c>
      <c r="G293">
        <v>1.0128E-2</v>
      </c>
      <c r="H293">
        <v>1.2777E-2</v>
      </c>
      <c r="I293">
        <v>1.5613999999999999E-2</v>
      </c>
      <c r="J293">
        <v>1.8785E-2</v>
      </c>
      <c r="K293">
        <v>1.9973000000000001E-2</v>
      </c>
      <c r="L293">
        <v>2.1484E-2</v>
      </c>
      <c r="M293">
        <v>2.4930999999999998E-2</v>
      </c>
      <c r="N293">
        <v>2.6971999999999999E-2</v>
      </c>
      <c r="O293" s="8">
        <f t="shared" si="13"/>
        <v>982.84784017708</v>
      </c>
      <c r="P293" s="8">
        <f t="shared" si="14"/>
        <v>3399.616817058265</v>
      </c>
      <c r="Q293" s="8">
        <f t="shared" si="15"/>
        <v>797.84141096766848</v>
      </c>
      <c r="R293">
        <v>-1.2204570530983514E-2</v>
      </c>
      <c r="S293">
        <v>6.8495110143279594E-2</v>
      </c>
      <c r="T293">
        <v>-4.5255789836555177E-2</v>
      </c>
    </row>
    <row r="294" spans="1:20" x14ac:dyDescent="0.25">
      <c r="A294">
        <v>291</v>
      </c>
      <c r="B294">
        <v>25</v>
      </c>
      <c r="C294">
        <v>3</v>
      </c>
      <c r="D294">
        <v>7.0369999999999999E-3</v>
      </c>
      <c r="E294">
        <v>1.1315E-2</v>
      </c>
      <c r="F294">
        <v>1.0683E-2</v>
      </c>
      <c r="G294">
        <v>1.0074E-2</v>
      </c>
      <c r="H294">
        <v>1.2808999999999999E-2</v>
      </c>
      <c r="I294">
        <v>1.5528999999999999E-2</v>
      </c>
      <c r="J294">
        <v>1.8853000000000002E-2</v>
      </c>
      <c r="K294">
        <v>1.9942999999999999E-2</v>
      </c>
      <c r="L294">
        <v>2.1413000000000001E-2</v>
      </c>
      <c r="M294">
        <v>2.4938999999999999E-2</v>
      </c>
      <c r="N294">
        <v>2.6884000000000002E-2</v>
      </c>
      <c r="O294" s="8">
        <f t="shared" si="13"/>
        <v>982.12580595713575</v>
      </c>
      <c r="P294" s="8">
        <f t="shared" si="14"/>
        <v>3417.6261847099304</v>
      </c>
      <c r="Q294" s="8">
        <f t="shared" si="15"/>
        <v>795.03418651947391</v>
      </c>
      <c r="R294">
        <v>-8.7800851737463489E-3</v>
      </c>
      <c r="S294">
        <v>6.5454907973731297E-2</v>
      </c>
      <c r="T294">
        <v>-4.1414719160404921E-2</v>
      </c>
    </row>
    <row r="295" spans="1:20" x14ac:dyDescent="0.25">
      <c r="A295">
        <v>292</v>
      </c>
      <c r="B295">
        <v>25</v>
      </c>
      <c r="C295">
        <v>4</v>
      </c>
      <c r="D295">
        <v>7.0419999999999996E-3</v>
      </c>
      <c r="E295">
        <v>1.1363E-2</v>
      </c>
      <c r="F295">
        <v>1.0588999999999999E-2</v>
      </c>
      <c r="G295">
        <v>1.0076999999999999E-2</v>
      </c>
      <c r="H295">
        <v>1.2888999999999999E-2</v>
      </c>
      <c r="I295">
        <v>1.5535E-2</v>
      </c>
      <c r="J295">
        <v>1.8831000000000001E-2</v>
      </c>
      <c r="K295">
        <v>1.9990000000000001E-2</v>
      </c>
      <c r="L295">
        <v>2.1364000000000001E-2</v>
      </c>
      <c r="M295">
        <v>2.4915E-2</v>
      </c>
      <c r="N295">
        <v>2.6896E-2</v>
      </c>
      <c r="O295" s="8">
        <f t="shared" si="13"/>
        <v>978.88220662323681</v>
      </c>
      <c r="P295" s="8">
        <f t="shared" si="14"/>
        <v>3435.6463815471211</v>
      </c>
      <c r="Q295" s="8">
        <f t="shared" si="15"/>
        <v>792.00063058867818</v>
      </c>
      <c r="R295">
        <v>-3.8919554335159735E-2</v>
      </c>
      <c r="S295">
        <v>6.5140220213325384E-2</v>
      </c>
      <c r="T295">
        <v>-4.4838775753473989E-2</v>
      </c>
    </row>
    <row r="296" spans="1:20" x14ac:dyDescent="0.25">
      <c r="A296">
        <v>293</v>
      </c>
      <c r="B296">
        <v>25</v>
      </c>
      <c r="C296">
        <v>5</v>
      </c>
      <c r="D296">
        <v>7.0159999999999997E-3</v>
      </c>
      <c r="E296">
        <v>1.1266999999999999E-2</v>
      </c>
      <c r="F296">
        <v>1.0574999999999999E-2</v>
      </c>
      <c r="G296">
        <v>1.0074E-2</v>
      </c>
      <c r="H296">
        <v>1.2867999999999999E-2</v>
      </c>
      <c r="I296">
        <v>1.5553000000000001E-2</v>
      </c>
      <c r="J296">
        <v>1.8783000000000001E-2</v>
      </c>
      <c r="K296">
        <v>2.0029999999999999E-2</v>
      </c>
      <c r="L296">
        <v>2.1309999999999999E-2</v>
      </c>
      <c r="M296">
        <v>2.5010999999999999E-2</v>
      </c>
      <c r="N296">
        <v>2.6952E-2</v>
      </c>
      <c r="O296" s="8">
        <f t="shared" si="13"/>
        <v>982.29755494444419</v>
      </c>
      <c r="P296" s="8">
        <f t="shared" si="14"/>
        <v>3454.2633582904864</v>
      </c>
      <c r="Q296" s="8">
        <f t="shared" si="15"/>
        <v>789.2308459603089</v>
      </c>
      <c r="R296">
        <v>4.2681204097945569E-2</v>
      </c>
      <c r="S296">
        <v>6.6998634629550441E-2</v>
      </c>
      <c r="T296">
        <v>-4.116852966816504E-2</v>
      </c>
    </row>
    <row r="297" spans="1:20" x14ac:dyDescent="0.25">
      <c r="A297">
        <v>294</v>
      </c>
      <c r="B297">
        <v>25</v>
      </c>
      <c r="C297">
        <v>6</v>
      </c>
      <c r="D297">
        <v>7.0219999999999996E-3</v>
      </c>
      <c r="E297">
        <v>1.1185E-2</v>
      </c>
      <c r="F297">
        <v>1.0673999999999999E-2</v>
      </c>
      <c r="G297">
        <v>1.0076999999999999E-2</v>
      </c>
      <c r="H297">
        <v>1.2933E-2</v>
      </c>
      <c r="I297">
        <v>1.5531E-2</v>
      </c>
      <c r="J297">
        <v>1.8839999999999999E-2</v>
      </c>
      <c r="K297">
        <v>1.9931999999999998E-2</v>
      </c>
      <c r="L297">
        <v>2.1274999999999999E-2</v>
      </c>
      <c r="M297">
        <v>2.5017999999999999E-2</v>
      </c>
      <c r="N297">
        <v>2.6901000000000001E-2</v>
      </c>
      <c r="O297" s="8">
        <f t="shared" si="13"/>
        <v>979.79365978244823</v>
      </c>
      <c r="P297" s="8">
        <f t="shared" si="14"/>
        <v>3466.1820826778171</v>
      </c>
      <c r="Q297" s="8">
        <f t="shared" si="15"/>
        <v>786.80479150206156</v>
      </c>
      <c r="R297">
        <v>-3.0163016388133058E-2</v>
      </c>
      <c r="S297">
        <v>4.220013869247638E-2</v>
      </c>
      <c r="T297">
        <v>-3.6270076074245101E-2</v>
      </c>
    </row>
    <row r="298" spans="1:20" x14ac:dyDescent="0.25">
      <c r="A298">
        <v>295</v>
      </c>
      <c r="B298">
        <v>25</v>
      </c>
      <c r="C298">
        <v>7</v>
      </c>
      <c r="D298">
        <v>7.0860000000000003E-3</v>
      </c>
      <c r="E298">
        <v>1.1278E-2</v>
      </c>
      <c r="F298">
        <v>1.0737E-2</v>
      </c>
      <c r="G298">
        <v>1.0099E-2</v>
      </c>
      <c r="H298">
        <v>1.2940999999999999E-2</v>
      </c>
      <c r="I298">
        <v>1.5561999999999999E-2</v>
      </c>
      <c r="J298">
        <v>1.8908999999999999E-2</v>
      </c>
      <c r="K298">
        <v>1.9987000000000001E-2</v>
      </c>
      <c r="L298">
        <v>2.1260000000000001E-2</v>
      </c>
      <c r="M298">
        <v>2.5117E-2</v>
      </c>
      <c r="N298">
        <v>2.6905999999999999E-2</v>
      </c>
      <c r="O298" s="8">
        <f t="shared" si="13"/>
        <v>981.60029743965617</v>
      </c>
      <c r="P298" s="8">
        <f t="shared" si="14"/>
        <v>3477.8042994938041</v>
      </c>
      <c r="Q298" s="8">
        <f t="shared" si="15"/>
        <v>784.09104407835571</v>
      </c>
      <c r="R298">
        <v>2.2352534404948485E-2</v>
      </c>
      <c r="S298">
        <v>4.0986757294180706E-2</v>
      </c>
      <c r="T298">
        <v>-4.0612693983485611E-2</v>
      </c>
    </row>
    <row r="299" spans="1:20" x14ac:dyDescent="0.25">
      <c r="A299">
        <v>296</v>
      </c>
      <c r="B299">
        <v>25</v>
      </c>
      <c r="C299">
        <v>8</v>
      </c>
      <c r="D299">
        <v>7.0320000000000001E-3</v>
      </c>
      <c r="E299">
        <v>1.1377E-2</v>
      </c>
      <c r="F299">
        <v>1.0791E-2</v>
      </c>
      <c r="G299">
        <v>1.0023000000000001E-2</v>
      </c>
      <c r="H299">
        <v>1.2886E-2</v>
      </c>
      <c r="I299">
        <v>1.5601E-2</v>
      </c>
      <c r="J299">
        <v>1.8837E-2</v>
      </c>
      <c r="K299">
        <v>2.001E-2</v>
      </c>
      <c r="L299">
        <v>2.1256000000000001E-2</v>
      </c>
      <c r="M299">
        <v>2.5104000000000001E-2</v>
      </c>
      <c r="N299">
        <v>2.6931E-2</v>
      </c>
      <c r="O299" s="8">
        <f t="shared" si="13"/>
        <v>981.75548798356806</v>
      </c>
      <c r="P299" s="8">
        <f t="shared" si="14"/>
        <v>3494.0228370600053</v>
      </c>
      <c r="Q299" s="8">
        <f t="shared" si="15"/>
        <v>781.11873451275699</v>
      </c>
      <c r="R299">
        <v>1.8988449085811238E-3</v>
      </c>
      <c r="S299">
        <v>5.7419195806394534E-2</v>
      </c>
      <c r="T299">
        <v>-4.4552717767775279E-2</v>
      </c>
    </row>
    <row r="300" spans="1:20" x14ac:dyDescent="0.25">
      <c r="A300">
        <v>297</v>
      </c>
      <c r="B300">
        <v>25</v>
      </c>
      <c r="C300">
        <v>9</v>
      </c>
      <c r="D300">
        <v>6.992E-3</v>
      </c>
      <c r="E300">
        <v>1.1327E-2</v>
      </c>
      <c r="F300">
        <v>1.085E-2</v>
      </c>
      <c r="G300">
        <v>1.0113E-2</v>
      </c>
      <c r="H300">
        <v>1.2854000000000001E-2</v>
      </c>
      <c r="I300">
        <v>1.5601E-2</v>
      </c>
      <c r="J300">
        <v>1.8822999999999999E-2</v>
      </c>
      <c r="K300">
        <v>1.9954E-2</v>
      </c>
      <c r="L300">
        <v>2.1184000000000001E-2</v>
      </c>
      <c r="M300">
        <v>2.5052000000000001E-2</v>
      </c>
      <c r="N300">
        <v>2.6967999999999999E-2</v>
      </c>
      <c r="O300" s="8">
        <f t="shared" si="13"/>
        <v>981.13281920860345</v>
      </c>
      <c r="P300" s="8">
        <f t="shared" si="14"/>
        <v>3507.3570378037803</v>
      </c>
      <c r="Q300" s="8">
        <f t="shared" si="15"/>
        <v>777.91943565987685</v>
      </c>
      <c r="R300">
        <v>-7.5843889788168861E-3</v>
      </c>
      <c r="S300">
        <v>4.6769028833818921E-2</v>
      </c>
      <c r="T300">
        <v>-4.805728294367969E-2</v>
      </c>
    </row>
    <row r="301" spans="1:20" x14ac:dyDescent="0.25">
      <c r="A301">
        <v>298</v>
      </c>
      <c r="B301">
        <v>25</v>
      </c>
      <c r="C301">
        <v>10</v>
      </c>
      <c r="D301">
        <v>7.051E-3</v>
      </c>
      <c r="E301">
        <v>1.1235999999999999E-2</v>
      </c>
      <c r="F301">
        <v>1.0815999999999999E-2</v>
      </c>
      <c r="G301">
        <v>1.0201E-2</v>
      </c>
      <c r="H301">
        <v>1.294E-2</v>
      </c>
      <c r="I301">
        <v>1.5609E-2</v>
      </c>
      <c r="J301">
        <v>1.8752000000000001E-2</v>
      </c>
      <c r="K301">
        <v>1.9893999999999998E-2</v>
      </c>
      <c r="L301">
        <v>2.1276E-2</v>
      </c>
      <c r="M301">
        <v>2.5141E-2</v>
      </c>
      <c r="N301">
        <v>2.6991000000000001E-2</v>
      </c>
      <c r="O301" s="8">
        <f t="shared" si="13"/>
        <v>979.43401715266327</v>
      </c>
      <c r="P301" s="8">
        <f t="shared" si="14"/>
        <v>3526.4739689940143</v>
      </c>
      <c r="Q301" s="8">
        <f t="shared" si="15"/>
        <v>774.96960052286124</v>
      </c>
      <c r="R301">
        <v>-2.0580910496951352E-2</v>
      </c>
      <c r="S301">
        <v>6.7403085108483723E-2</v>
      </c>
      <c r="T301">
        <v>-4.4566339429579077E-2</v>
      </c>
    </row>
    <row r="302" spans="1:20" x14ac:dyDescent="0.25">
      <c r="A302">
        <v>299</v>
      </c>
      <c r="B302">
        <v>25</v>
      </c>
      <c r="C302">
        <v>11</v>
      </c>
      <c r="D302">
        <v>6.9760000000000004E-3</v>
      </c>
      <c r="E302">
        <v>1.1186E-2</v>
      </c>
      <c r="F302">
        <v>1.0776000000000001E-2</v>
      </c>
      <c r="G302">
        <v>1.014E-2</v>
      </c>
      <c r="H302">
        <v>1.3001E-2</v>
      </c>
      <c r="I302">
        <v>1.5644000000000002E-2</v>
      </c>
      <c r="J302">
        <v>1.8756999999999999E-2</v>
      </c>
      <c r="K302">
        <v>1.9918000000000002E-2</v>
      </c>
      <c r="L302">
        <v>2.1288000000000001E-2</v>
      </c>
      <c r="M302">
        <v>2.5228E-2</v>
      </c>
      <c r="N302">
        <v>2.6908000000000001E-2</v>
      </c>
      <c r="O302" s="8">
        <f t="shared" si="13"/>
        <v>978.59051799731117</v>
      </c>
      <c r="P302" s="8">
        <f t="shared" si="14"/>
        <v>3541.8426412302933</v>
      </c>
      <c r="Q302" s="8">
        <f t="shared" si="15"/>
        <v>771.71053896930255</v>
      </c>
      <c r="R302">
        <v>-1.0285718728463129E-2</v>
      </c>
      <c r="S302">
        <v>5.3568937704305174E-2</v>
      </c>
      <c r="T302">
        <v>-4.9313837818472581E-2</v>
      </c>
    </row>
    <row r="303" spans="1:20" x14ac:dyDescent="0.25">
      <c r="A303">
        <v>300</v>
      </c>
      <c r="B303">
        <v>25</v>
      </c>
      <c r="C303">
        <v>12</v>
      </c>
      <c r="D303">
        <v>6.8989999999999998E-3</v>
      </c>
      <c r="E303">
        <v>1.1164E-2</v>
      </c>
      <c r="F303">
        <v>1.0834999999999999E-2</v>
      </c>
      <c r="G303">
        <v>1.0175999999999999E-2</v>
      </c>
      <c r="H303">
        <v>1.2978999999999999E-2</v>
      </c>
      <c r="I303">
        <v>1.5626000000000001E-2</v>
      </c>
      <c r="J303">
        <v>1.8721999999999999E-2</v>
      </c>
      <c r="K303">
        <v>1.9848999999999999E-2</v>
      </c>
      <c r="L303">
        <v>2.1283E-2</v>
      </c>
      <c r="M303">
        <v>2.5326000000000001E-2</v>
      </c>
      <c r="N303">
        <v>2.6904999999999998E-2</v>
      </c>
      <c r="O303" s="8">
        <f t="shared" si="13"/>
        <v>981.05062804694398</v>
      </c>
      <c r="P303" s="8">
        <f t="shared" si="14"/>
        <v>3553.5288950866779</v>
      </c>
      <c r="Q303" s="8">
        <f t="shared" si="15"/>
        <v>768.59432162216137</v>
      </c>
      <c r="R303">
        <v>3.0587809908959696E-2</v>
      </c>
      <c r="S303">
        <v>4.0320287225655331E-2</v>
      </c>
      <c r="T303">
        <v>-4.7394941527096598E-2</v>
      </c>
    </row>
    <row r="304" spans="1:20" x14ac:dyDescent="0.25">
      <c r="A304">
        <v>301</v>
      </c>
      <c r="B304">
        <v>26</v>
      </c>
      <c r="C304">
        <v>1</v>
      </c>
      <c r="D304">
        <v>6.9420000000000003E-3</v>
      </c>
      <c r="E304">
        <v>1.1142000000000001E-2</v>
      </c>
      <c r="F304">
        <v>1.0933999999999999E-2</v>
      </c>
      <c r="G304">
        <v>1.0102E-2</v>
      </c>
      <c r="H304">
        <v>1.3061E-2</v>
      </c>
      <c r="I304">
        <v>1.5625E-2</v>
      </c>
      <c r="J304">
        <v>1.8627999999999999E-2</v>
      </c>
      <c r="K304">
        <v>1.9755000000000002E-2</v>
      </c>
      <c r="L304">
        <v>2.1298999999999998E-2</v>
      </c>
      <c r="M304">
        <v>2.5406000000000001E-2</v>
      </c>
      <c r="N304">
        <v>2.6995999999999999E-2</v>
      </c>
      <c r="O304" s="8">
        <f t="shared" si="13"/>
        <v>977.92821174003222</v>
      </c>
      <c r="P304" s="8">
        <f t="shared" si="14"/>
        <v>3572.5304816049747</v>
      </c>
      <c r="Q304" s="8">
        <f t="shared" si="15"/>
        <v>765.73719068811999</v>
      </c>
      <c r="R304">
        <v>-3.7531202558476404E-2</v>
      </c>
      <c r="S304">
        <v>6.6088113666980475E-2</v>
      </c>
      <c r="T304">
        <v>-4.3707326121404599E-2</v>
      </c>
    </row>
    <row r="305" spans="1:20" x14ac:dyDescent="0.25">
      <c r="A305">
        <v>302</v>
      </c>
      <c r="B305">
        <v>26</v>
      </c>
      <c r="C305">
        <v>2</v>
      </c>
      <c r="D305">
        <v>7.0309999999999999E-3</v>
      </c>
      <c r="E305">
        <v>1.1112E-2</v>
      </c>
      <c r="F305">
        <v>1.0926999999999999E-2</v>
      </c>
      <c r="G305">
        <v>1.0111999999999999E-2</v>
      </c>
      <c r="H305">
        <v>1.3016E-2</v>
      </c>
      <c r="I305">
        <v>1.5657000000000001E-2</v>
      </c>
      <c r="J305">
        <v>1.8598E-2</v>
      </c>
      <c r="K305">
        <v>1.9743E-2</v>
      </c>
      <c r="L305">
        <v>2.1214E-2</v>
      </c>
      <c r="M305">
        <v>2.5329000000000001E-2</v>
      </c>
      <c r="N305">
        <v>2.6981000000000002E-2</v>
      </c>
      <c r="O305" s="8">
        <f t="shared" si="13"/>
        <v>979.59140838752012</v>
      </c>
      <c r="P305" s="8">
        <f t="shared" si="14"/>
        <v>3589.3148211657453</v>
      </c>
      <c r="Q305" s="8">
        <f t="shared" si="15"/>
        <v>762.7244115499351</v>
      </c>
      <c r="R305">
        <v>2.0600810263401693E-2</v>
      </c>
      <c r="S305">
        <v>5.7857845782220016E-2</v>
      </c>
      <c r="T305">
        <v>-4.6205374886411153E-2</v>
      </c>
    </row>
    <row r="306" spans="1:20" x14ac:dyDescent="0.25">
      <c r="A306">
        <v>303</v>
      </c>
      <c r="B306">
        <v>26</v>
      </c>
      <c r="C306">
        <v>3</v>
      </c>
      <c r="D306">
        <v>7.1199999999999996E-3</v>
      </c>
      <c r="E306">
        <v>1.1032E-2</v>
      </c>
      <c r="F306">
        <v>1.1013999999999999E-2</v>
      </c>
      <c r="G306">
        <v>1.0119E-2</v>
      </c>
      <c r="H306">
        <v>1.2976E-2</v>
      </c>
      <c r="I306">
        <v>1.5736E-2</v>
      </c>
      <c r="J306">
        <v>1.8602E-2</v>
      </c>
      <c r="K306">
        <v>1.9823E-2</v>
      </c>
      <c r="L306">
        <v>2.1167999999999999E-2</v>
      </c>
      <c r="M306">
        <v>2.5246000000000001E-2</v>
      </c>
      <c r="N306">
        <v>2.7075999999999999E-2</v>
      </c>
      <c r="O306" s="8">
        <f t="shared" si="13"/>
        <v>977.73191801718644</v>
      </c>
      <c r="P306" s="8">
        <f t="shared" si="14"/>
        <v>3601.9927422419073</v>
      </c>
      <c r="Q306" s="8">
        <f t="shared" si="15"/>
        <v>759.43674604062699</v>
      </c>
      <c r="R306">
        <v>-2.2542448920904148E-2</v>
      </c>
      <c r="S306">
        <v>4.3218725284386243E-2</v>
      </c>
      <c r="T306">
        <v>-5.0516272023258035E-2</v>
      </c>
    </row>
    <row r="307" spans="1:20" x14ac:dyDescent="0.25">
      <c r="A307">
        <v>304</v>
      </c>
      <c r="B307">
        <v>26</v>
      </c>
      <c r="C307">
        <v>4</v>
      </c>
      <c r="D307">
        <v>7.149E-3</v>
      </c>
      <c r="E307">
        <v>1.1032999999999999E-2</v>
      </c>
      <c r="F307">
        <v>1.0971E-2</v>
      </c>
      <c r="G307">
        <v>1.0167000000000001E-2</v>
      </c>
      <c r="H307">
        <v>1.2966E-2</v>
      </c>
      <c r="I307">
        <v>1.5820000000000001E-2</v>
      </c>
      <c r="J307">
        <v>1.8630000000000001E-2</v>
      </c>
      <c r="K307">
        <v>1.9857E-2</v>
      </c>
      <c r="L307">
        <v>2.1235E-2</v>
      </c>
      <c r="M307">
        <v>2.5222000000000001E-2</v>
      </c>
      <c r="N307">
        <v>2.7144999999999999E-2</v>
      </c>
      <c r="O307" s="8">
        <f t="shared" si="13"/>
        <v>975.26071659408365</v>
      </c>
      <c r="P307" s="8">
        <f t="shared" si="14"/>
        <v>3614.0774739616759</v>
      </c>
      <c r="Q307" s="8">
        <f t="shared" si="15"/>
        <v>756.06039119684146</v>
      </c>
      <c r="R307">
        <v>-2.9911716180048196E-2</v>
      </c>
      <c r="S307">
        <v>4.1011428015965509E-2</v>
      </c>
      <c r="T307">
        <v>-5.2065007400541603E-2</v>
      </c>
    </row>
    <row r="308" spans="1:20" x14ac:dyDescent="0.25">
      <c r="A308">
        <v>305</v>
      </c>
      <c r="B308">
        <v>26</v>
      </c>
      <c r="C308">
        <v>5</v>
      </c>
      <c r="D308">
        <v>7.1850000000000004E-3</v>
      </c>
      <c r="E308">
        <v>1.1117999999999999E-2</v>
      </c>
      <c r="F308">
        <v>1.1070999999999999E-2</v>
      </c>
      <c r="G308">
        <v>1.0137E-2</v>
      </c>
      <c r="H308">
        <v>1.2892000000000001E-2</v>
      </c>
      <c r="I308">
        <v>1.5900999999999998E-2</v>
      </c>
      <c r="J308">
        <v>1.8658000000000001E-2</v>
      </c>
      <c r="K308">
        <v>1.9952999999999999E-2</v>
      </c>
      <c r="L308">
        <v>2.1318E-2</v>
      </c>
      <c r="M308">
        <v>2.5201000000000001E-2</v>
      </c>
      <c r="N308">
        <v>2.7046000000000001E-2</v>
      </c>
      <c r="O308" s="8">
        <f t="shared" si="13"/>
        <v>972.16158641069899</v>
      </c>
      <c r="P308" s="8">
        <f t="shared" si="14"/>
        <v>3627.6098611799816</v>
      </c>
      <c r="Q308" s="8">
        <f t="shared" si="15"/>
        <v>752.70407650364552</v>
      </c>
      <c r="R308">
        <v>-3.747348097132755E-2</v>
      </c>
      <c r="S308">
        <v>4.5869233590644619E-2</v>
      </c>
      <c r="T308">
        <v>-5.1988998551845141E-2</v>
      </c>
    </row>
    <row r="309" spans="1:20" x14ac:dyDescent="0.25">
      <c r="A309">
        <v>306</v>
      </c>
      <c r="B309">
        <v>26</v>
      </c>
      <c r="C309">
        <v>6</v>
      </c>
      <c r="D309">
        <v>7.143E-3</v>
      </c>
      <c r="E309">
        <v>1.1155E-2</v>
      </c>
      <c r="F309">
        <v>1.0982E-2</v>
      </c>
      <c r="G309">
        <v>1.0175E-2</v>
      </c>
      <c r="H309">
        <v>1.2899000000000001E-2</v>
      </c>
      <c r="I309">
        <v>1.5925999999999999E-2</v>
      </c>
      <c r="J309">
        <v>1.8645999999999999E-2</v>
      </c>
      <c r="K309">
        <v>2.0001999999999999E-2</v>
      </c>
      <c r="L309">
        <v>2.1312999999999999E-2</v>
      </c>
      <c r="M309">
        <v>2.5215999999999999E-2</v>
      </c>
      <c r="N309">
        <v>2.7118E-2</v>
      </c>
      <c r="O309" s="8">
        <f t="shared" si="13"/>
        <v>975.28722179676811</v>
      </c>
      <c r="P309" s="8">
        <f t="shared" si="14"/>
        <v>3644.4754874422838</v>
      </c>
      <c r="Q309" s="8">
        <f t="shared" si="15"/>
        <v>749.40502886109653</v>
      </c>
      <c r="R309">
        <v>3.9271292425375123E-2</v>
      </c>
      <c r="S309">
        <v>5.7239831449486314E-2</v>
      </c>
      <c r="T309">
        <v>-5.1345611998349625E-2</v>
      </c>
    </row>
    <row r="310" spans="1:20" x14ac:dyDescent="0.25">
      <c r="A310">
        <v>307</v>
      </c>
      <c r="B310">
        <v>26</v>
      </c>
      <c r="C310">
        <v>7</v>
      </c>
      <c r="D310">
        <v>7.0559999999999998E-3</v>
      </c>
      <c r="E310">
        <v>1.1062000000000001E-2</v>
      </c>
      <c r="F310">
        <v>1.1077E-2</v>
      </c>
      <c r="G310">
        <v>1.0156999999999999E-2</v>
      </c>
      <c r="H310">
        <v>1.2897E-2</v>
      </c>
      <c r="I310">
        <v>1.6004000000000001E-2</v>
      </c>
      <c r="J310">
        <v>1.8745000000000001E-2</v>
      </c>
      <c r="K310">
        <v>2.009E-2</v>
      </c>
      <c r="L310">
        <v>2.1381000000000001E-2</v>
      </c>
      <c r="M310">
        <v>2.5173000000000001E-2</v>
      </c>
      <c r="N310">
        <v>2.7199000000000001E-2</v>
      </c>
      <c r="O310" s="8">
        <f t="shared" si="13"/>
        <v>978.91825420073553</v>
      </c>
      <c r="P310" s="8">
        <f t="shared" si="14"/>
        <v>3657.4772468912943</v>
      </c>
      <c r="Q310" s="8">
        <f t="shared" si="15"/>
        <v>745.88874559595877</v>
      </c>
      <c r="R310">
        <v>4.5602744603580554E-2</v>
      </c>
      <c r="S310">
        <v>4.3660374136860657E-2</v>
      </c>
      <c r="T310">
        <v>-5.4874643907987908E-2</v>
      </c>
    </row>
    <row r="311" spans="1:20" x14ac:dyDescent="0.25">
      <c r="A311">
        <v>308</v>
      </c>
      <c r="B311">
        <v>26</v>
      </c>
      <c r="C311">
        <v>8</v>
      </c>
      <c r="D311">
        <v>7.0749999999999997E-3</v>
      </c>
      <c r="E311">
        <v>1.1006E-2</v>
      </c>
      <c r="F311">
        <v>1.1091E-2</v>
      </c>
      <c r="G311">
        <v>1.0253E-2</v>
      </c>
      <c r="H311">
        <v>1.2966E-2</v>
      </c>
      <c r="I311">
        <v>1.6028000000000001E-2</v>
      </c>
      <c r="J311">
        <v>1.8818999999999999E-2</v>
      </c>
      <c r="K311">
        <v>2.0174000000000001E-2</v>
      </c>
      <c r="L311">
        <v>2.1477E-2</v>
      </c>
      <c r="M311">
        <v>2.5142999999999999E-2</v>
      </c>
      <c r="N311">
        <v>2.7129E-2</v>
      </c>
      <c r="O311" s="8">
        <f t="shared" si="13"/>
        <v>981.21118363977985</v>
      </c>
      <c r="P311" s="8">
        <f t="shared" si="14"/>
        <v>3673.5795865942168</v>
      </c>
      <c r="Q311" s="8">
        <f t="shared" si="15"/>
        <v>742.43541275028031</v>
      </c>
      <c r="R311">
        <v>2.8472658359167478E-2</v>
      </c>
      <c r="S311">
        <v>5.4129191790858587E-2</v>
      </c>
      <c r="T311">
        <v>-5.4164755764525382E-2</v>
      </c>
    </row>
    <row r="312" spans="1:20" x14ac:dyDescent="0.25">
      <c r="A312">
        <v>309</v>
      </c>
      <c r="B312">
        <v>26</v>
      </c>
      <c r="C312">
        <v>9</v>
      </c>
      <c r="D312">
        <v>7.162E-3</v>
      </c>
      <c r="E312">
        <v>1.1105E-2</v>
      </c>
      <c r="F312">
        <v>1.1002E-2</v>
      </c>
      <c r="G312">
        <v>1.0311000000000001E-2</v>
      </c>
      <c r="H312">
        <v>1.2991000000000001E-2</v>
      </c>
      <c r="I312">
        <v>1.6063000000000001E-2</v>
      </c>
      <c r="J312">
        <v>1.8844E-2</v>
      </c>
      <c r="K312">
        <v>2.0129000000000001E-2</v>
      </c>
      <c r="L312">
        <v>2.1378000000000001E-2</v>
      </c>
      <c r="M312">
        <v>2.5197000000000001E-2</v>
      </c>
      <c r="N312">
        <v>2.7105000000000001E-2</v>
      </c>
      <c r="O312" s="8">
        <f t="shared" si="13"/>
        <v>983.50406522605817</v>
      </c>
      <c r="P312" s="8">
        <f t="shared" si="14"/>
        <v>3693.8272635146536</v>
      </c>
      <c r="Q312" s="8">
        <f t="shared" si="15"/>
        <v>739.24011631886276</v>
      </c>
      <c r="R312">
        <v>2.8404664511927726E-2</v>
      </c>
      <c r="S312">
        <v>6.8182729547124746E-2</v>
      </c>
      <c r="T312">
        <v>-5.0440516186872834E-2</v>
      </c>
    </row>
    <row r="313" spans="1:20" x14ac:dyDescent="0.25">
      <c r="A313">
        <v>310</v>
      </c>
      <c r="B313">
        <v>26</v>
      </c>
      <c r="C313">
        <v>10</v>
      </c>
      <c r="D313">
        <v>7.2309999999999996E-3</v>
      </c>
      <c r="E313">
        <v>1.103E-2</v>
      </c>
      <c r="F313">
        <v>1.1065E-2</v>
      </c>
      <c r="G313">
        <v>1.0272E-2</v>
      </c>
      <c r="H313">
        <v>1.2969E-2</v>
      </c>
      <c r="I313">
        <v>1.6074999999999999E-2</v>
      </c>
      <c r="J313">
        <v>1.8793000000000001E-2</v>
      </c>
      <c r="K313">
        <v>2.0208E-2</v>
      </c>
      <c r="L313">
        <v>2.1441999999999999E-2</v>
      </c>
      <c r="M313">
        <v>2.5208999999999999E-2</v>
      </c>
      <c r="N313">
        <v>2.7102000000000001E-2</v>
      </c>
      <c r="O313" s="8">
        <f t="shared" si="13"/>
        <v>985.70278382427296</v>
      </c>
      <c r="P313" s="8">
        <f t="shared" si="14"/>
        <v>3711.6021486626919</v>
      </c>
      <c r="Q313" s="8">
        <f t="shared" si="15"/>
        <v>735.86169718952476</v>
      </c>
      <c r="R313">
        <v>2.7159493785949711E-2</v>
      </c>
      <c r="S313">
        <v>5.9297678421800476E-2</v>
      </c>
      <c r="T313">
        <v>-5.3483796860681394E-2</v>
      </c>
    </row>
    <row r="314" spans="1:20" x14ac:dyDescent="0.25">
      <c r="A314">
        <v>311</v>
      </c>
      <c r="B314">
        <v>26</v>
      </c>
      <c r="C314">
        <v>11</v>
      </c>
      <c r="D314">
        <v>7.1879999999999999E-3</v>
      </c>
      <c r="E314">
        <v>1.0959999999999999E-2</v>
      </c>
      <c r="F314">
        <v>1.1113E-2</v>
      </c>
      <c r="G314">
        <v>1.0200000000000001E-2</v>
      </c>
      <c r="H314">
        <v>1.2888E-2</v>
      </c>
      <c r="I314">
        <v>1.6060999999999999E-2</v>
      </c>
      <c r="J314">
        <v>1.8811000000000001E-2</v>
      </c>
      <c r="K314">
        <v>2.0249E-2</v>
      </c>
      <c r="L314">
        <v>2.1402999999999998E-2</v>
      </c>
      <c r="M314">
        <v>2.5291000000000001E-2</v>
      </c>
      <c r="N314">
        <v>2.7097E-2</v>
      </c>
      <c r="O314" s="8">
        <f t="shared" si="13"/>
        <v>983.64644362294666</v>
      </c>
      <c r="P314" s="8">
        <f t="shared" si="14"/>
        <v>3726.5921909599356</v>
      </c>
      <c r="Q314" s="8">
        <f t="shared" si="15"/>
        <v>732.19298543274704</v>
      </c>
      <c r="R314">
        <v>-2.4748748981911109E-2</v>
      </c>
      <c r="S314">
        <v>4.9555539722753346E-2</v>
      </c>
      <c r="T314">
        <v>-5.8213645046449186E-2</v>
      </c>
    </row>
    <row r="315" spans="1:20" x14ac:dyDescent="0.25">
      <c r="A315">
        <v>312</v>
      </c>
      <c r="B315">
        <v>26</v>
      </c>
      <c r="C315">
        <v>12</v>
      </c>
      <c r="D315">
        <v>7.1640000000000002E-3</v>
      </c>
      <c r="E315">
        <v>1.1011999999999999E-2</v>
      </c>
      <c r="F315">
        <v>1.1103E-2</v>
      </c>
      <c r="G315">
        <v>1.0174000000000001E-2</v>
      </c>
      <c r="H315">
        <v>1.2833000000000001E-2</v>
      </c>
      <c r="I315">
        <v>1.6017E-2</v>
      </c>
      <c r="J315">
        <v>1.8832000000000002E-2</v>
      </c>
      <c r="K315">
        <v>2.0226000000000001E-2</v>
      </c>
      <c r="L315">
        <v>2.1493999999999999E-2</v>
      </c>
      <c r="M315">
        <v>2.5340999999999999E-2</v>
      </c>
      <c r="N315">
        <v>2.708E-2</v>
      </c>
      <c r="O315" s="8">
        <f t="shared" si="13"/>
        <v>982.57478800844478</v>
      </c>
      <c r="P315" s="8">
        <f t="shared" si="14"/>
        <v>3744.2417629672696</v>
      </c>
      <c r="Q315" s="8">
        <f t="shared" si="15"/>
        <v>728.76869662259378</v>
      </c>
      <c r="R315">
        <v>-1.2995613441201492E-2</v>
      </c>
      <c r="S315">
        <v>5.8337444041476519E-2</v>
      </c>
      <c r="T315">
        <v>-5.4699799308399348E-2</v>
      </c>
    </row>
    <row r="316" spans="1:20" x14ac:dyDescent="0.25">
      <c r="A316">
        <v>313</v>
      </c>
      <c r="B316">
        <v>27</v>
      </c>
      <c r="C316">
        <v>1</v>
      </c>
      <c r="D316">
        <v>7.254E-3</v>
      </c>
      <c r="E316">
        <v>1.0914E-2</v>
      </c>
      <c r="F316">
        <v>1.1070999999999999E-2</v>
      </c>
      <c r="G316">
        <v>1.0181000000000001E-2</v>
      </c>
      <c r="H316">
        <v>1.2803999999999999E-2</v>
      </c>
      <c r="I316">
        <v>1.5994999999999999E-2</v>
      </c>
      <c r="J316">
        <v>1.8862E-2</v>
      </c>
      <c r="K316">
        <v>2.0254000000000001E-2</v>
      </c>
      <c r="L316">
        <v>2.1590999999999999E-2</v>
      </c>
      <c r="M316">
        <v>2.5427000000000002E-2</v>
      </c>
      <c r="N316">
        <v>2.7102000000000001E-2</v>
      </c>
      <c r="O316" s="8">
        <f t="shared" si="13"/>
        <v>979.81956790077857</v>
      </c>
      <c r="P316" s="8">
        <f t="shared" si="14"/>
        <v>3758.1566888912184</v>
      </c>
      <c r="Q316" s="8">
        <f t="shared" si="15"/>
        <v>725.63503955267697</v>
      </c>
      <c r="R316">
        <v>-3.3134852317653229E-2</v>
      </c>
      <c r="S316">
        <v>4.5519173571315262E-2</v>
      </c>
      <c r="T316">
        <v>-5.0396224571998008E-2</v>
      </c>
    </row>
    <row r="317" spans="1:20" x14ac:dyDescent="0.25">
      <c r="A317">
        <v>314</v>
      </c>
      <c r="B317">
        <v>27</v>
      </c>
      <c r="C317">
        <v>2</v>
      </c>
      <c r="D317">
        <v>7.3090000000000004E-3</v>
      </c>
      <c r="E317">
        <v>1.0828000000000001E-2</v>
      </c>
      <c r="F317">
        <v>1.0996000000000001E-2</v>
      </c>
      <c r="G317">
        <v>1.0104999999999999E-2</v>
      </c>
      <c r="H317">
        <v>1.2781000000000001E-2</v>
      </c>
      <c r="I317">
        <v>1.6003E-2</v>
      </c>
      <c r="J317">
        <v>1.8773999999999999E-2</v>
      </c>
      <c r="K317">
        <v>2.0347000000000001E-2</v>
      </c>
      <c r="L317">
        <v>2.1575E-2</v>
      </c>
      <c r="M317">
        <v>2.5340999999999999E-2</v>
      </c>
      <c r="N317">
        <v>2.7141999999999999E-2</v>
      </c>
      <c r="O317" s="8">
        <f t="shared" si="13"/>
        <v>981.73895355905665</v>
      </c>
      <c r="P317" s="8">
        <f t="shared" si="14"/>
        <v>3778.4461764439297</v>
      </c>
      <c r="Q317" s="8">
        <f t="shared" si="15"/>
        <v>722.45322879942398</v>
      </c>
      <c r="R317">
        <v>2.3761936177559406E-2</v>
      </c>
      <c r="S317">
        <v>6.6744182649805653E-2</v>
      </c>
      <c r="T317">
        <v>-5.1367746607027233E-2</v>
      </c>
    </row>
    <row r="318" spans="1:20" x14ac:dyDescent="0.25">
      <c r="A318">
        <v>315</v>
      </c>
      <c r="B318">
        <v>27</v>
      </c>
      <c r="C318">
        <v>3</v>
      </c>
      <c r="D318">
        <v>7.3029999999999996E-3</v>
      </c>
      <c r="E318">
        <v>1.0914999999999999E-2</v>
      </c>
      <c r="F318">
        <v>1.0972000000000001E-2</v>
      </c>
      <c r="G318">
        <v>1.0048E-2</v>
      </c>
      <c r="H318">
        <v>1.2828000000000001E-2</v>
      </c>
      <c r="I318">
        <v>1.5960999999999999E-2</v>
      </c>
      <c r="J318">
        <v>1.8855E-2</v>
      </c>
      <c r="K318">
        <v>2.0403000000000001E-2</v>
      </c>
      <c r="L318">
        <v>2.1648000000000001E-2</v>
      </c>
      <c r="M318">
        <v>2.5326999999999999E-2</v>
      </c>
      <c r="N318">
        <v>2.7106999999999999E-2</v>
      </c>
      <c r="O318" s="8">
        <f t="shared" si="13"/>
        <v>985.1180529034167</v>
      </c>
      <c r="P318" s="8">
        <f t="shared" si="14"/>
        <v>3793.0765389936632</v>
      </c>
      <c r="Q318" s="8">
        <f t="shared" si="15"/>
        <v>719.2124401114155</v>
      </c>
      <c r="R318">
        <v>4.2094381559756477E-2</v>
      </c>
      <c r="S318">
        <v>4.7467105988313392E-2</v>
      </c>
      <c r="T318">
        <v>-5.2521307185176933E-2</v>
      </c>
    </row>
    <row r="319" spans="1:20" x14ac:dyDescent="0.25">
      <c r="A319">
        <v>316</v>
      </c>
      <c r="B319">
        <v>27</v>
      </c>
      <c r="C319">
        <v>4</v>
      </c>
      <c r="D319">
        <v>7.2480000000000001E-3</v>
      </c>
      <c r="E319">
        <v>1.0831E-2</v>
      </c>
      <c r="F319">
        <v>1.0873000000000001E-2</v>
      </c>
      <c r="G319">
        <v>1.01E-2</v>
      </c>
      <c r="H319">
        <v>1.2749E-2</v>
      </c>
      <c r="I319">
        <v>1.5880999999999999E-2</v>
      </c>
      <c r="J319">
        <v>1.8912000000000002E-2</v>
      </c>
      <c r="K319">
        <v>2.0407000000000002E-2</v>
      </c>
      <c r="L319">
        <v>2.1588E-2</v>
      </c>
      <c r="M319">
        <v>2.5301000000000001E-2</v>
      </c>
      <c r="N319">
        <v>2.7057000000000001E-2</v>
      </c>
      <c r="O319" s="8">
        <f t="shared" si="13"/>
        <v>988.16071056525846</v>
      </c>
      <c r="P319" s="8">
        <f t="shared" si="14"/>
        <v>3803.5513347844003</v>
      </c>
      <c r="Q319" s="8">
        <f t="shared" si="15"/>
        <v>715.95274923643785</v>
      </c>
      <c r="R319">
        <v>3.7699608731162265E-2</v>
      </c>
      <c r="S319">
        <v>3.3646670997024168E-2</v>
      </c>
      <c r="T319">
        <v>-5.3052188639856369E-2</v>
      </c>
    </row>
    <row r="320" spans="1:20" x14ac:dyDescent="0.25">
      <c r="A320">
        <v>317</v>
      </c>
      <c r="B320">
        <v>27</v>
      </c>
      <c r="C320">
        <v>5</v>
      </c>
      <c r="D320">
        <v>7.1549999999999999E-3</v>
      </c>
      <c r="E320">
        <v>1.0924E-2</v>
      </c>
      <c r="F320">
        <v>1.0792E-2</v>
      </c>
      <c r="G320">
        <v>1.0017E-2</v>
      </c>
      <c r="H320">
        <v>1.2774000000000001E-2</v>
      </c>
      <c r="I320">
        <v>1.5952999999999998E-2</v>
      </c>
      <c r="J320">
        <v>1.8887999999999999E-2</v>
      </c>
      <c r="K320">
        <v>2.0448999999999998E-2</v>
      </c>
      <c r="L320">
        <v>2.1607999999999999E-2</v>
      </c>
      <c r="M320">
        <v>2.5387E-2</v>
      </c>
      <c r="N320">
        <v>2.7036000000000001E-2</v>
      </c>
      <c r="O320" s="8">
        <f t="shared" si="13"/>
        <v>987.38417815003504</v>
      </c>
      <c r="P320" s="8">
        <f t="shared" si="14"/>
        <v>3824.498364476965</v>
      </c>
      <c r="Q320" s="8">
        <f t="shared" si="15"/>
        <v>712.40819019117021</v>
      </c>
      <c r="R320">
        <v>-9.3893829184368786E-3</v>
      </c>
      <c r="S320">
        <v>6.8125711055619487E-2</v>
      </c>
      <c r="T320">
        <v>-5.7818633539437031E-2</v>
      </c>
    </row>
    <row r="321" spans="1:20" x14ac:dyDescent="0.25">
      <c r="A321">
        <v>318</v>
      </c>
      <c r="B321">
        <v>27</v>
      </c>
      <c r="C321">
        <v>6</v>
      </c>
      <c r="D321">
        <v>7.2500000000000004E-3</v>
      </c>
      <c r="E321">
        <v>1.1001E-2</v>
      </c>
      <c r="F321">
        <v>1.0800000000000001E-2</v>
      </c>
      <c r="G321">
        <v>9.9410000000000002E-3</v>
      </c>
      <c r="H321">
        <v>1.2784E-2</v>
      </c>
      <c r="I321">
        <v>1.6018999999999999E-2</v>
      </c>
      <c r="J321">
        <v>1.8950999999999999E-2</v>
      </c>
      <c r="K321">
        <v>2.0544E-2</v>
      </c>
      <c r="L321">
        <v>2.1661E-2</v>
      </c>
      <c r="M321">
        <v>2.5315000000000001E-2</v>
      </c>
      <c r="N321">
        <v>2.7011E-2</v>
      </c>
      <c r="O321" s="8">
        <f t="shared" si="13"/>
        <v>988.15307526372953</v>
      </c>
      <c r="P321" s="8">
        <f t="shared" si="14"/>
        <v>3846.0568172139497</v>
      </c>
      <c r="Q321" s="8">
        <f t="shared" si="15"/>
        <v>708.86517682537772</v>
      </c>
      <c r="R321">
        <v>9.3847828045764969E-3</v>
      </c>
      <c r="S321">
        <v>6.9780295257506106E-2</v>
      </c>
      <c r="T321">
        <v>-5.8073836083517238E-2</v>
      </c>
    </row>
    <row r="322" spans="1:20" x14ac:dyDescent="0.25">
      <c r="A322">
        <v>319</v>
      </c>
      <c r="B322">
        <v>27</v>
      </c>
      <c r="C322">
        <v>7</v>
      </c>
      <c r="D322">
        <v>7.3099999999999997E-3</v>
      </c>
      <c r="E322">
        <v>1.0913000000000001E-2</v>
      </c>
      <c r="F322">
        <v>1.0779E-2</v>
      </c>
      <c r="G322">
        <v>1.0042000000000001E-2</v>
      </c>
      <c r="H322">
        <v>1.2687E-2</v>
      </c>
      <c r="I322">
        <v>1.5986E-2</v>
      </c>
      <c r="J322">
        <v>1.8987E-2</v>
      </c>
      <c r="K322">
        <v>2.0507000000000001E-2</v>
      </c>
      <c r="L322">
        <v>2.1697000000000001E-2</v>
      </c>
      <c r="M322">
        <v>2.5382999999999999E-2</v>
      </c>
      <c r="N322">
        <v>2.6963000000000001E-2</v>
      </c>
      <c r="O322" s="8">
        <f t="shared" si="13"/>
        <v>991.15535293713924</v>
      </c>
      <c r="P322" s="8">
        <f t="shared" si="14"/>
        <v>3858.7398425831871</v>
      </c>
      <c r="Q322" s="8">
        <f t="shared" si="15"/>
        <v>705.05547030510058</v>
      </c>
      <c r="R322">
        <v>3.7074727175536684E-2</v>
      </c>
      <c r="S322">
        <v>4.0297711025773397E-2</v>
      </c>
      <c r="T322">
        <v>-6.2619891774374548E-2</v>
      </c>
    </row>
    <row r="323" spans="1:20" x14ac:dyDescent="0.25">
      <c r="A323">
        <v>320</v>
      </c>
      <c r="B323">
        <v>27</v>
      </c>
      <c r="C323">
        <v>8</v>
      </c>
      <c r="D323">
        <v>7.2579999999999997E-3</v>
      </c>
      <c r="E323">
        <v>1.0843999999999999E-2</v>
      </c>
      <c r="F323">
        <v>1.0681E-2</v>
      </c>
      <c r="G323">
        <v>1.0087E-2</v>
      </c>
      <c r="H323">
        <v>1.2661E-2</v>
      </c>
      <c r="I323">
        <v>1.5927E-2</v>
      </c>
      <c r="J323">
        <v>1.9002999999999999E-2</v>
      </c>
      <c r="K323">
        <v>2.0424999999999999E-2</v>
      </c>
      <c r="L323">
        <v>2.1742000000000001E-2</v>
      </c>
      <c r="M323">
        <v>2.5453E-2</v>
      </c>
      <c r="N323">
        <v>2.7050000000000001E-2</v>
      </c>
      <c r="O323" s="8">
        <f t="shared" si="13"/>
        <v>991.1397974890898</v>
      </c>
      <c r="P323" s="8">
        <f t="shared" si="14"/>
        <v>3869.0892328229229</v>
      </c>
      <c r="Q323" s="8">
        <f t="shared" si="15"/>
        <v>701.51196469422007</v>
      </c>
      <c r="R323">
        <v>-1.883148430990066E-4</v>
      </c>
      <c r="S323">
        <v>3.2663816781804307E-2</v>
      </c>
      <c r="T323">
        <v>-5.8670751804017041E-2</v>
      </c>
    </row>
    <row r="324" spans="1:20" x14ac:dyDescent="0.25">
      <c r="A324">
        <v>321</v>
      </c>
      <c r="B324">
        <v>27</v>
      </c>
      <c r="C324">
        <v>9</v>
      </c>
      <c r="D324">
        <v>7.1720000000000004E-3</v>
      </c>
      <c r="E324">
        <v>1.0753E-2</v>
      </c>
      <c r="F324">
        <v>1.0735E-2</v>
      </c>
      <c r="G324">
        <v>1.0163E-2</v>
      </c>
      <c r="H324">
        <v>1.2744E-2</v>
      </c>
      <c r="I324">
        <v>1.5927E-2</v>
      </c>
      <c r="J324">
        <v>1.8911000000000001E-2</v>
      </c>
      <c r="K324">
        <v>2.0437E-2</v>
      </c>
      <c r="L324">
        <v>2.1784999999999999E-2</v>
      </c>
      <c r="M324">
        <v>2.5534000000000001E-2</v>
      </c>
      <c r="N324">
        <v>2.6991000000000001E-2</v>
      </c>
      <c r="O324" s="8">
        <f t="shared" si="13"/>
        <v>989.37802029187048</v>
      </c>
      <c r="P324" s="8">
        <f t="shared" si="14"/>
        <v>3888.0988404731543</v>
      </c>
      <c r="Q324" s="8">
        <f t="shared" si="15"/>
        <v>698.2652068778591</v>
      </c>
      <c r="R324">
        <v>-2.1123014333465369E-2</v>
      </c>
      <c r="S324">
        <v>6.0577987370386908E-2</v>
      </c>
      <c r="T324">
        <v>-5.4146576593239085E-2</v>
      </c>
    </row>
    <row r="325" spans="1:20" x14ac:dyDescent="0.25">
      <c r="A325">
        <v>322</v>
      </c>
      <c r="B325">
        <v>27</v>
      </c>
      <c r="C325">
        <v>10</v>
      </c>
      <c r="D325">
        <v>7.1370000000000001E-3</v>
      </c>
      <c r="E325">
        <v>1.0808999999999999E-2</v>
      </c>
      <c r="F325">
        <v>1.0770999999999999E-2</v>
      </c>
      <c r="G325">
        <v>1.0156999999999999E-2</v>
      </c>
      <c r="H325">
        <v>1.2824E-2</v>
      </c>
      <c r="I325">
        <v>1.5890999999999999E-2</v>
      </c>
      <c r="J325">
        <v>1.8825000000000001E-2</v>
      </c>
      <c r="K325">
        <v>2.0393999999999999E-2</v>
      </c>
      <c r="L325">
        <v>2.1829999999999999E-2</v>
      </c>
      <c r="M325">
        <v>2.5565000000000001E-2</v>
      </c>
      <c r="N325">
        <v>2.6934E-2</v>
      </c>
      <c r="O325" s="8">
        <f t="shared" ref="O325:O387" si="16">O324*(1+R325)^(1/12)</f>
        <v>990.65925484717673</v>
      </c>
      <c r="P325" s="8">
        <f t="shared" ref="P325:P387" si="17">P324*(1+S325)^(1/12)</f>
        <v>3907.6664510113342</v>
      </c>
      <c r="Q325" s="8">
        <f t="shared" ref="Q325:Q387" si="18">Q324*(1+T325)^(1/12)</f>
        <v>695.2061767783789</v>
      </c>
      <c r="R325">
        <v>1.5651040036255906E-2</v>
      </c>
      <c r="S325">
        <v>6.2092335883381443E-2</v>
      </c>
      <c r="T325">
        <v>-5.1322426524816063E-2</v>
      </c>
    </row>
    <row r="326" spans="1:20" x14ac:dyDescent="0.25">
      <c r="A326">
        <v>323</v>
      </c>
      <c r="B326">
        <v>27</v>
      </c>
      <c r="C326">
        <v>11</v>
      </c>
      <c r="D326">
        <v>7.1710000000000003E-3</v>
      </c>
      <c r="E326">
        <v>1.0728E-2</v>
      </c>
      <c r="F326">
        <v>1.0737E-2</v>
      </c>
      <c r="G326">
        <v>1.0166E-2</v>
      </c>
      <c r="H326">
        <v>1.2851E-2</v>
      </c>
      <c r="I326">
        <v>1.5917000000000001E-2</v>
      </c>
      <c r="J326">
        <v>1.8773000000000001E-2</v>
      </c>
      <c r="K326">
        <v>2.0390999999999999E-2</v>
      </c>
      <c r="L326">
        <v>2.1819999999999999E-2</v>
      </c>
      <c r="M326">
        <v>2.5662999999999998E-2</v>
      </c>
      <c r="N326">
        <v>2.6886E-2</v>
      </c>
      <c r="O326" s="8">
        <f t="shared" si="16"/>
        <v>992.75816819965621</v>
      </c>
      <c r="P326" s="8">
        <f t="shared" si="17"/>
        <v>3922.5011504777099</v>
      </c>
      <c r="Q326" s="8">
        <f t="shared" si="18"/>
        <v>691.88285728800702</v>
      </c>
      <c r="R326">
        <v>2.5722813563068138E-2</v>
      </c>
      <c r="S326">
        <v>4.6519006094536172E-2</v>
      </c>
      <c r="T326">
        <v>-5.587960767209834E-2</v>
      </c>
    </row>
    <row r="327" spans="1:20" x14ac:dyDescent="0.25">
      <c r="A327">
        <v>324</v>
      </c>
      <c r="B327">
        <v>27</v>
      </c>
      <c r="C327">
        <v>12</v>
      </c>
      <c r="D327">
        <v>7.0899999999999999E-3</v>
      </c>
      <c r="E327">
        <v>1.0786E-2</v>
      </c>
      <c r="F327">
        <v>1.0756999999999999E-2</v>
      </c>
      <c r="G327">
        <v>1.0192E-2</v>
      </c>
      <c r="H327">
        <v>1.2826000000000001E-2</v>
      </c>
      <c r="I327">
        <v>1.593E-2</v>
      </c>
      <c r="J327">
        <v>1.883E-2</v>
      </c>
      <c r="K327">
        <v>2.0478E-2</v>
      </c>
      <c r="L327">
        <v>2.1873E-2</v>
      </c>
      <c r="M327">
        <v>2.5756999999999999E-2</v>
      </c>
      <c r="N327">
        <v>2.6839999999999999E-2</v>
      </c>
      <c r="O327" s="8">
        <f t="shared" si="16"/>
        <v>993.01363077171095</v>
      </c>
      <c r="P327" s="8">
        <f t="shared" si="17"/>
        <v>3944.2483077533329</v>
      </c>
      <c r="Q327" s="8">
        <f t="shared" si="18"/>
        <v>688.37675233252241</v>
      </c>
      <c r="R327">
        <v>3.0922870652136678E-3</v>
      </c>
      <c r="S327">
        <v>6.8597167892450614E-2</v>
      </c>
      <c r="T327">
        <v>-5.9143266983592693E-2</v>
      </c>
    </row>
    <row r="328" spans="1:20" x14ac:dyDescent="0.25">
      <c r="A328">
        <v>325</v>
      </c>
      <c r="B328">
        <v>28</v>
      </c>
      <c r="C328">
        <v>1</v>
      </c>
      <c r="D328">
        <v>7.0260000000000001E-3</v>
      </c>
      <c r="E328">
        <v>1.0691000000000001E-2</v>
      </c>
      <c r="F328">
        <v>1.0857E-2</v>
      </c>
      <c r="G328">
        <v>1.0222999999999999E-2</v>
      </c>
      <c r="H328">
        <v>1.2844E-2</v>
      </c>
      <c r="I328">
        <v>1.5865000000000001E-2</v>
      </c>
      <c r="J328">
        <v>1.8737E-2</v>
      </c>
      <c r="K328">
        <v>2.0486999999999998E-2</v>
      </c>
      <c r="L328">
        <v>2.1891000000000001E-2</v>
      </c>
      <c r="M328">
        <v>2.5787999999999998E-2</v>
      </c>
      <c r="N328">
        <v>2.6856000000000001E-2</v>
      </c>
      <c r="O328" s="8">
        <f t="shared" si="16"/>
        <v>992.82663882285294</v>
      </c>
      <c r="P328" s="8">
        <f t="shared" si="17"/>
        <v>3956.4712659649235</v>
      </c>
      <c r="Q328" s="8">
        <f t="shared" si="18"/>
        <v>684.65295193046541</v>
      </c>
      <c r="R328">
        <v>-2.2573515442629488E-3</v>
      </c>
      <c r="S328">
        <v>3.7827603056002822E-2</v>
      </c>
      <c r="T328">
        <v>-6.3017500358498749E-2</v>
      </c>
    </row>
    <row r="329" spans="1:20" x14ac:dyDescent="0.25">
      <c r="A329">
        <v>326</v>
      </c>
      <c r="B329">
        <v>28</v>
      </c>
      <c r="C329">
        <v>2</v>
      </c>
      <c r="D329">
        <v>7.0790000000000002E-3</v>
      </c>
      <c r="E329">
        <v>1.0769000000000001E-2</v>
      </c>
      <c r="F329">
        <v>1.0912E-2</v>
      </c>
      <c r="G329">
        <v>1.0246E-2</v>
      </c>
      <c r="H329">
        <v>1.2761E-2</v>
      </c>
      <c r="I329">
        <v>1.5824999999999999E-2</v>
      </c>
      <c r="J329">
        <v>1.8806E-2</v>
      </c>
      <c r="K329">
        <v>2.0518999999999999E-2</v>
      </c>
      <c r="L329">
        <v>2.1887E-2</v>
      </c>
      <c r="M329">
        <v>2.5847999999999999E-2</v>
      </c>
      <c r="N329">
        <v>2.6869000000000001E-2</v>
      </c>
      <c r="O329" s="8">
        <f t="shared" si="16"/>
        <v>991.85965311944733</v>
      </c>
      <c r="P329" s="8">
        <f t="shared" si="17"/>
        <v>3978.1729510604528</v>
      </c>
      <c r="Q329" s="8">
        <f t="shared" si="18"/>
        <v>681.24523241071051</v>
      </c>
      <c r="R329">
        <v>-1.1625262064897659E-2</v>
      </c>
      <c r="S329">
        <v>6.7843798619508275E-2</v>
      </c>
      <c r="T329">
        <v>-5.8119313724645093E-2</v>
      </c>
    </row>
    <row r="330" spans="1:20" x14ac:dyDescent="0.25">
      <c r="A330">
        <v>327</v>
      </c>
      <c r="B330">
        <v>28</v>
      </c>
      <c r="C330">
        <v>3</v>
      </c>
      <c r="D330">
        <v>7.0780000000000001E-3</v>
      </c>
      <c r="E330">
        <v>1.0864E-2</v>
      </c>
      <c r="F330">
        <v>1.094E-2</v>
      </c>
      <c r="G330">
        <v>1.0345999999999999E-2</v>
      </c>
      <c r="H330">
        <v>1.2795000000000001E-2</v>
      </c>
      <c r="I330">
        <v>1.5862000000000001E-2</v>
      </c>
      <c r="J330">
        <v>1.8894000000000001E-2</v>
      </c>
      <c r="K330">
        <v>2.0542999999999999E-2</v>
      </c>
      <c r="L330">
        <v>2.1839999999999998E-2</v>
      </c>
      <c r="M330">
        <v>2.5874999999999999E-2</v>
      </c>
      <c r="N330">
        <v>2.6845000000000001E-2</v>
      </c>
      <c r="O330" s="8">
        <f t="shared" si="16"/>
        <v>994.89113771586926</v>
      </c>
      <c r="P330" s="8">
        <f t="shared" si="17"/>
        <v>4000.8612907774859</v>
      </c>
      <c r="Q330" s="8">
        <f t="shared" si="18"/>
        <v>677.63981945177898</v>
      </c>
      <c r="R330">
        <v>3.7299228107419341E-2</v>
      </c>
      <c r="S330">
        <v>7.0626564222196583E-2</v>
      </c>
      <c r="T330">
        <v>-6.1692245635188166E-2</v>
      </c>
    </row>
    <row r="331" spans="1:20" x14ac:dyDescent="0.25">
      <c r="A331">
        <v>328</v>
      </c>
      <c r="B331">
        <v>28</v>
      </c>
      <c r="C331">
        <v>4</v>
      </c>
      <c r="D331">
        <v>7.1089999999999999E-3</v>
      </c>
      <c r="E331">
        <v>1.0834999999999999E-2</v>
      </c>
      <c r="F331">
        <v>1.0959999999999999E-2</v>
      </c>
      <c r="G331">
        <v>1.0378999999999999E-2</v>
      </c>
      <c r="H331">
        <v>1.2808E-2</v>
      </c>
      <c r="I331">
        <v>1.5918999999999999E-2</v>
      </c>
      <c r="J331">
        <v>1.8859999999999998E-2</v>
      </c>
      <c r="K331">
        <v>2.0552000000000001E-2</v>
      </c>
      <c r="L331">
        <v>2.1922000000000001E-2</v>
      </c>
      <c r="M331">
        <v>2.5829000000000001E-2</v>
      </c>
      <c r="N331">
        <v>2.6793999999999998E-2</v>
      </c>
      <c r="O331" s="8">
        <f t="shared" si="16"/>
        <v>997.33235470400109</v>
      </c>
      <c r="P331" s="8">
        <f t="shared" si="17"/>
        <v>4022.8460473186387</v>
      </c>
      <c r="Q331" s="8">
        <f t="shared" si="18"/>
        <v>673.77922690415778</v>
      </c>
      <c r="R331">
        <v>2.9845682345484868E-2</v>
      </c>
      <c r="S331">
        <v>6.7969905375674822E-2</v>
      </c>
      <c r="T331">
        <v>-6.6263383448218277E-2</v>
      </c>
    </row>
    <row r="332" spans="1:20" x14ac:dyDescent="0.25">
      <c r="A332">
        <v>329</v>
      </c>
      <c r="B332">
        <v>28</v>
      </c>
      <c r="C332">
        <v>5</v>
      </c>
      <c r="D332">
        <v>7.0479999999999996E-3</v>
      </c>
      <c r="E332">
        <v>1.0855E-2</v>
      </c>
      <c r="F332">
        <v>1.0972000000000001E-2</v>
      </c>
      <c r="G332">
        <v>1.0368E-2</v>
      </c>
      <c r="H332">
        <v>1.2824E-2</v>
      </c>
      <c r="I332">
        <v>1.5917000000000001E-2</v>
      </c>
      <c r="J332">
        <v>1.8890000000000001E-2</v>
      </c>
      <c r="K332">
        <v>2.0645E-2</v>
      </c>
      <c r="L332">
        <v>2.1894E-2</v>
      </c>
      <c r="M332">
        <v>2.5805000000000002E-2</v>
      </c>
      <c r="N332">
        <v>2.6769999999999999E-2</v>
      </c>
      <c r="O332" s="8">
        <f t="shared" si="16"/>
        <v>993.95985055277663</v>
      </c>
      <c r="P332" s="8">
        <f t="shared" si="17"/>
        <v>4038.0876210858178</v>
      </c>
      <c r="Q332" s="8">
        <f t="shared" si="18"/>
        <v>669.67624037905239</v>
      </c>
      <c r="R332">
        <v>-3.9832049749173377E-2</v>
      </c>
      <c r="S332">
        <v>4.642452206113333E-2</v>
      </c>
      <c r="T332">
        <v>-7.0675723581323735E-2</v>
      </c>
    </row>
    <row r="333" spans="1:20" x14ac:dyDescent="0.25">
      <c r="A333">
        <v>330</v>
      </c>
      <c r="B333">
        <v>28</v>
      </c>
      <c r="C333">
        <v>6</v>
      </c>
      <c r="D333">
        <v>7.1329999999999996E-3</v>
      </c>
      <c r="E333">
        <v>1.0880000000000001E-2</v>
      </c>
      <c r="F333">
        <v>1.0973E-2</v>
      </c>
      <c r="G333">
        <v>1.0390999999999999E-2</v>
      </c>
      <c r="H333">
        <v>1.2911000000000001E-2</v>
      </c>
      <c r="I333">
        <v>1.5817999999999999E-2</v>
      </c>
      <c r="J333">
        <v>1.8837E-2</v>
      </c>
      <c r="K333">
        <v>2.0643000000000002E-2</v>
      </c>
      <c r="L333">
        <v>2.1805999999999999E-2</v>
      </c>
      <c r="M333">
        <v>2.5735999999999998E-2</v>
      </c>
      <c r="N333">
        <v>2.6800000000000001E-2</v>
      </c>
      <c r="O333" s="8">
        <f t="shared" si="16"/>
        <v>989.56277010048723</v>
      </c>
      <c r="P333" s="8">
        <f t="shared" si="17"/>
        <v>4056.4433154329831</v>
      </c>
      <c r="Q333" s="8">
        <f t="shared" si="18"/>
        <v>665.41541643211849</v>
      </c>
      <c r="R333">
        <v>-5.1812847517796155E-2</v>
      </c>
      <c r="S333">
        <v>5.5932309625933804E-2</v>
      </c>
      <c r="T333">
        <v>-7.3734236178626164E-2</v>
      </c>
    </row>
    <row r="334" spans="1:20" x14ac:dyDescent="0.25">
      <c r="A334">
        <v>331</v>
      </c>
      <c r="B334">
        <v>28</v>
      </c>
      <c r="C334">
        <v>7</v>
      </c>
      <c r="D334">
        <v>7.0619999999999997E-3</v>
      </c>
      <c r="E334">
        <v>1.0954999999999999E-2</v>
      </c>
      <c r="F334">
        <v>1.0914999999999999E-2</v>
      </c>
      <c r="G334">
        <v>1.0343E-2</v>
      </c>
      <c r="H334">
        <v>1.2978E-2</v>
      </c>
      <c r="I334">
        <v>1.5769999999999999E-2</v>
      </c>
      <c r="J334">
        <v>1.8853000000000002E-2</v>
      </c>
      <c r="K334">
        <v>2.0618000000000001E-2</v>
      </c>
      <c r="L334">
        <v>2.1759000000000001E-2</v>
      </c>
      <c r="M334">
        <v>2.5773000000000001E-2</v>
      </c>
      <c r="N334">
        <v>2.6842999999999999E-2</v>
      </c>
      <c r="O334" s="8">
        <f t="shared" si="16"/>
        <v>985.39510772148276</v>
      </c>
      <c r="P334" s="8">
        <f t="shared" si="17"/>
        <v>4072.2311276709602</v>
      </c>
      <c r="Q334" s="8">
        <f t="shared" si="18"/>
        <v>660.98569196654262</v>
      </c>
      <c r="R334">
        <v>-4.9385029575074235E-2</v>
      </c>
      <c r="S334">
        <v>4.7717246498071846E-2</v>
      </c>
      <c r="T334">
        <v>-7.7024012848755236E-2</v>
      </c>
    </row>
    <row r="335" spans="1:20" x14ac:dyDescent="0.25">
      <c r="A335">
        <v>332</v>
      </c>
      <c r="B335">
        <v>28</v>
      </c>
      <c r="C335">
        <v>8</v>
      </c>
      <c r="D335">
        <v>6.9979999999999999E-3</v>
      </c>
      <c r="E335">
        <v>1.095E-2</v>
      </c>
      <c r="F335">
        <v>1.0978999999999999E-2</v>
      </c>
      <c r="G335">
        <v>1.0406E-2</v>
      </c>
      <c r="H335">
        <v>1.3063E-2</v>
      </c>
      <c r="I335">
        <v>1.5786999999999999E-2</v>
      </c>
      <c r="J335">
        <v>1.8879E-2</v>
      </c>
      <c r="K335">
        <v>2.0556999999999999E-2</v>
      </c>
      <c r="L335">
        <v>2.1687000000000001E-2</v>
      </c>
      <c r="M335">
        <v>2.5741E-2</v>
      </c>
      <c r="N335">
        <v>2.6887999999999999E-2</v>
      </c>
      <c r="O335" s="8">
        <f t="shared" si="16"/>
        <v>983.27614182355751</v>
      </c>
      <c r="P335" s="8">
        <f t="shared" si="17"/>
        <v>4094.8401018291584</v>
      </c>
      <c r="Q335" s="8">
        <f t="shared" si="18"/>
        <v>656.54173205068491</v>
      </c>
      <c r="R335">
        <v>-2.5501448655233211E-2</v>
      </c>
      <c r="S335">
        <v>6.8696389342733907E-2</v>
      </c>
      <c r="T335">
        <v>-7.7761315913718723E-2</v>
      </c>
    </row>
    <row r="336" spans="1:20" x14ac:dyDescent="0.25">
      <c r="A336">
        <v>333</v>
      </c>
      <c r="B336">
        <v>28</v>
      </c>
      <c r="C336">
        <v>9</v>
      </c>
      <c r="D336">
        <v>6.9119999999999997E-3</v>
      </c>
      <c r="E336">
        <v>1.0966E-2</v>
      </c>
      <c r="F336">
        <v>1.1079E-2</v>
      </c>
      <c r="G336">
        <v>1.0349000000000001E-2</v>
      </c>
      <c r="H336">
        <v>1.3091999999999999E-2</v>
      </c>
      <c r="I336">
        <v>1.5751999999999999E-2</v>
      </c>
      <c r="J336">
        <v>1.8887999999999999E-2</v>
      </c>
      <c r="K336">
        <v>2.0511000000000001E-2</v>
      </c>
      <c r="L336">
        <v>2.1701000000000002E-2</v>
      </c>
      <c r="M336">
        <v>2.5697000000000001E-2</v>
      </c>
      <c r="N336">
        <v>2.6894000000000001E-2</v>
      </c>
      <c r="O336" s="8">
        <f t="shared" si="16"/>
        <v>984.2691134696355</v>
      </c>
      <c r="P336" s="8">
        <f t="shared" si="17"/>
        <v>4111.6383161767671</v>
      </c>
      <c r="Q336" s="8">
        <f t="shared" si="18"/>
        <v>652.06036507763952</v>
      </c>
      <c r="R336">
        <v>1.2185859978720463E-2</v>
      </c>
      <c r="S336">
        <v>5.0353486611119852E-2</v>
      </c>
      <c r="T336">
        <v>-7.8902518332723923E-2</v>
      </c>
    </row>
    <row r="337" spans="1:20" x14ac:dyDescent="0.25">
      <c r="A337">
        <v>334</v>
      </c>
      <c r="B337">
        <v>28</v>
      </c>
      <c r="C337">
        <v>10</v>
      </c>
      <c r="D337">
        <v>6.888E-3</v>
      </c>
      <c r="E337">
        <v>1.0916E-2</v>
      </c>
      <c r="F337">
        <v>1.1129E-2</v>
      </c>
      <c r="G337">
        <v>1.0293E-2</v>
      </c>
      <c r="H337">
        <v>1.3099E-2</v>
      </c>
      <c r="I337">
        <v>1.5821999999999999E-2</v>
      </c>
      <c r="J337">
        <v>1.8790000000000001E-2</v>
      </c>
      <c r="K337">
        <v>2.053E-2</v>
      </c>
      <c r="L337">
        <v>2.1706E-2</v>
      </c>
      <c r="M337">
        <v>2.5686E-2</v>
      </c>
      <c r="N337">
        <v>2.6941E-2</v>
      </c>
      <c r="O337" s="8">
        <f t="shared" si="16"/>
        <v>983.39109626252889</v>
      </c>
      <c r="P337" s="8">
        <f t="shared" si="17"/>
        <v>4133.3885440222111</v>
      </c>
      <c r="Q337" s="8">
        <f t="shared" si="18"/>
        <v>647.40756135836773</v>
      </c>
      <c r="R337">
        <v>-1.0652235472191688E-2</v>
      </c>
      <c r="S337">
        <v>6.5358861403306934E-2</v>
      </c>
      <c r="T337">
        <v>-8.2344703949098846E-2</v>
      </c>
    </row>
    <row r="338" spans="1:20" x14ac:dyDescent="0.25">
      <c r="A338">
        <v>335</v>
      </c>
      <c r="B338">
        <v>28</v>
      </c>
      <c r="C338">
        <v>11</v>
      </c>
      <c r="D338">
        <v>6.8979999999999996E-3</v>
      </c>
      <c r="E338">
        <v>1.0862E-2</v>
      </c>
      <c r="F338">
        <v>1.1072E-2</v>
      </c>
      <c r="G338">
        <v>1.0377000000000001E-2</v>
      </c>
      <c r="H338">
        <v>1.3010000000000001E-2</v>
      </c>
      <c r="I338">
        <v>1.5816E-2</v>
      </c>
      <c r="J338">
        <v>1.8887000000000001E-2</v>
      </c>
      <c r="K338">
        <v>2.0504999999999999E-2</v>
      </c>
      <c r="L338">
        <v>2.179E-2</v>
      </c>
      <c r="M338">
        <v>2.5662999999999998E-2</v>
      </c>
      <c r="N338">
        <v>2.7029000000000001E-2</v>
      </c>
      <c r="O338" s="8">
        <f t="shared" si="16"/>
        <v>983.89952329291066</v>
      </c>
      <c r="P338" s="8">
        <f t="shared" si="17"/>
        <v>4146.461151346467</v>
      </c>
      <c r="Q338" s="8">
        <f t="shared" si="18"/>
        <v>643.05792874001781</v>
      </c>
      <c r="R338">
        <v>6.2218412804182716E-3</v>
      </c>
      <c r="S338">
        <v>3.8619403658403176E-2</v>
      </c>
      <c r="T338">
        <v>-7.7709024552945219E-2</v>
      </c>
    </row>
    <row r="339" spans="1:20" x14ac:dyDescent="0.25">
      <c r="A339">
        <v>336</v>
      </c>
      <c r="B339">
        <v>28</v>
      </c>
      <c r="C339">
        <v>12</v>
      </c>
      <c r="D339">
        <v>6.8669999999999998E-3</v>
      </c>
      <c r="E339">
        <v>1.091E-2</v>
      </c>
      <c r="F339">
        <v>1.1162999999999999E-2</v>
      </c>
      <c r="G339">
        <v>1.0323000000000001E-2</v>
      </c>
      <c r="H339">
        <v>1.2988E-2</v>
      </c>
      <c r="I339">
        <v>1.5779999999999999E-2</v>
      </c>
      <c r="J339">
        <v>1.8817E-2</v>
      </c>
      <c r="K339">
        <v>2.0532000000000002E-2</v>
      </c>
      <c r="L339">
        <v>2.1786E-2</v>
      </c>
      <c r="M339">
        <v>2.5728000000000001E-2</v>
      </c>
      <c r="N339">
        <v>2.7033000000000001E-2</v>
      </c>
      <c r="O339" s="8">
        <f t="shared" si="16"/>
        <v>986.37350807412145</v>
      </c>
      <c r="P339" s="8">
        <f t="shared" si="17"/>
        <v>4168.5394341837928</v>
      </c>
      <c r="Q339" s="8">
        <f t="shared" si="18"/>
        <v>638.56972491457736</v>
      </c>
      <c r="R339">
        <v>3.0594433117336953E-2</v>
      </c>
      <c r="S339">
        <v>6.5800112332580388E-2</v>
      </c>
      <c r="T339">
        <v>-8.0612223549094641E-2</v>
      </c>
    </row>
    <row r="340" spans="1:20" x14ac:dyDescent="0.25">
      <c r="A340">
        <v>337</v>
      </c>
      <c r="B340">
        <v>29</v>
      </c>
      <c r="C340">
        <v>1</v>
      </c>
      <c r="D340">
        <v>6.8120000000000003E-3</v>
      </c>
      <c r="E340">
        <v>1.0846E-2</v>
      </c>
      <c r="F340">
        <v>1.1084E-2</v>
      </c>
      <c r="G340">
        <v>1.0357999999999999E-2</v>
      </c>
      <c r="H340">
        <v>1.3056E-2</v>
      </c>
      <c r="I340">
        <v>1.5855999999999999E-2</v>
      </c>
      <c r="J340">
        <v>1.8761E-2</v>
      </c>
      <c r="K340">
        <v>2.0469999999999999E-2</v>
      </c>
      <c r="L340">
        <v>2.1690000000000001E-2</v>
      </c>
      <c r="M340">
        <v>2.5748E-2</v>
      </c>
      <c r="N340">
        <v>2.7120999999999999E-2</v>
      </c>
      <c r="O340" s="8">
        <f t="shared" si="16"/>
        <v>988.29023056051426</v>
      </c>
      <c r="P340" s="8">
        <f t="shared" si="17"/>
        <v>4186.3620324020585</v>
      </c>
      <c r="Q340" s="8">
        <f t="shared" si="18"/>
        <v>634.39074104420615</v>
      </c>
      <c r="R340">
        <v>2.3569257540424181E-2</v>
      </c>
      <c r="S340">
        <v>5.2529857953435476E-2</v>
      </c>
      <c r="T340">
        <v>-7.5765584294286314E-2</v>
      </c>
    </row>
    <row r="341" spans="1:20" x14ac:dyDescent="0.25">
      <c r="A341">
        <v>338</v>
      </c>
      <c r="B341">
        <v>29</v>
      </c>
      <c r="C341">
        <v>2</v>
      </c>
      <c r="D341">
        <v>6.9059999999999998E-3</v>
      </c>
      <c r="E341">
        <v>1.0788000000000001E-2</v>
      </c>
      <c r="F341">
        <v>1.1088000000000001E-2</v>
      </c>
      <c r="G341">
        <v>1.0356000000000001E-2</v>
      </c>
      <c r="H341">
        <v>1.3063999999999999E-2</v>
      </c>
      <c r="I341">
        <v>1.5886999999999998E-2</v>
      </c>
      <c r="J341">
        <v>1.8842000000000001E-2</v>
      </c>
      <c r="K341">
        <v>2.0468E-2</v>
      </c>
      <c r="L341">
        <v>2.1687999999999999E-2</v>
      </c>
      <c r="M341">
        <v>2.5784000000000001E-2</v>
      </c>
      <c r="N341">
        <v>2.7196000000000001E-2</v>
      </c>
      <c r="O341" s="8">
        <f t="shared" si="16"/>
        <v>987.97460353145823</v>
      </c>
      <c r="P341" s="8">
        <f t="shared" si="17"/>
        <v>4205.0997355373165</v>
      </c>
      <c r="Q341" s="8">
        <f t="shared" si="18"/>
        <v>630.24076919048935</v>
      </c>
      <c r="R341">
        <v>-3.8256763629064099E-3</v>
      </c>
      <c r="S341">
        <v>5.5052845725869402E-2</v>
      </c>
      <c r="T341">
        <v>-7.5736309164787935E-2</v>
      </c>
    </row>
    <row r="342" spans="1:20" x14ac:dyDescent="0.25">
      <c r="A342">
        <v>339</v>
      </c>
      <c r="B342">
        <v>29</v>
      </c>
      <c r="C342">
        <v>3</v>
      </c>
      <c r="D342">
        <v>6.9890000000000004E-3</v>
      </c>
      <c r="E342">
        <v>1.0711999999999999E-2</v>
      </c>
      <c r="F342">
        <v>1.1155999999999999E-2</v>
      </c>
      <c r="G342">
        <v>1.0279E-2</v>
      </c>
      <c r="H342">
        <v>1.2985E-2</v>
      </c>
      <c r="I342">
        <v>1.5986E-2</v>
      </c>
      <c r="J342">
        <v>1.8832999999999999E-2</v>
      </c>
      <c r="K342">
        <v>2.0487999999999999E-2</v>
      </c>
      <c r="L342">
        <v>2.1690000000000001E-2</v>
      </c>
      <c r="M342">
        <v>2.5840999999999999E-2</v>
      </c>
      <c r="N342">
        <v>2.7192999999999998E-2</v>
      </c>
      <c r="O342" s="8">
        <f t="shared" si="16"/>
        <v>990.21889764821105</v>
      </c>
      <c r="P342" s="8">
        <f t="shared" si="17"/>
        <v>4223.1006983193392</v>
      </c>
      <c r="Q342" s="8">
        <f t="shared" si="18"/>
        <v>625.93801287559245</v>
      </c>
      <c r="R342">
        <v>2.760250010023144E-2</v>
      </c>
      <c r="S342">
        <v>5.2595809625648395E-2</v>
      </c>
      <c r="T342">
        <v>-7.8918626813587758E-2</v>
      </c>
    </row>
    <row r="343" spans="1:20" x14ac:dyDescent="0.25">
      <c r="A343">
        <v>340</v>
      </c>
      <c r="B343">
        <v>29</v>
      </c>
      <c r="C343">
        <v>4</v>
      </c>
      <c r="D343">
        <v>6.9170000000000004E-3</v>
      </c>
      <c r="E343">
        <v>1.0723999999999999E-2</v>
      </c>
      <c r="F343">
        <v>1.1155999999999999E-2</v>
      </c>
      <c r="G343">
        <v>1.0274E-2</v>
      </c>
      <c r="H343">
        <v>1.2907E-2</v>
      </c>
      <c r="I343">
        <v>1.6022999999999999E-2</v>
      </c>
      <c r="J343">
        <v>1.8787999999999999E-2</v>
      </c>
      <c r="K343">
        <v>2.0566999999999998E-2</v>
      </c>
      <c r="L343">
        <v>2.1691999999999999E-2</v>
      </c>
      <c r="M343">
        <v>2.5864999999999999E-2</v>
      </c>
      <c r="N343">
        <v>2.717E-2</v>
      </c>
      <c r="O343" s="8">
        <f t="shared" si="16"/>
        <v>993.07425500407282</v>
      </c>
      <c r="P343" s="8">
        <f t="shared" si="17"/>
        <v>4240.7313383024866</v>
      </c>
      <c r="Q343" s="8">
        <f t="shared" si="18"/>
        <v>621.5365524955223</v>
      </c>
      <c r="R343">
        <v>3.5156835739089662E-2</v>
      </c>
      <c r="S343">
        <v>5.1264186710085383E-2</v>
      </c>
      <c r="T343">
        <v>-8.1193259462015707E-2</v>
      </c>
    </row>
    <row r="344" spans="1:20" x14ac:dyDescent="0.25">
      <c r="A344">
        <v>341</v>
      </c>
      <c r="B344">
        <v>29</v>
      </c>
      <c r="C344">
        <v>5</v>
      </c>
      <c r="D344">
        <v>6.8580000000000004E-3</v>
      </c>
      <c r="E344">
        <v>1.0791E-2</v>
      </c>
      <c r="F344">
        <v>1.1110999999999999E-2</v>
      </c>
      <c r="G344">
        <v>1.0316000000000001E-2</v>
      </c>
      <c r="H344">
        <v>1.2985E-2</v>
      </c>
      <c r="I344">
        <v>1.6108999999999998E-2</v>
      </c>
      <c r="J344">
        <v>1.8872E-2</v>
      </c>
      <c r="K344">
        <v>2.0480000000000002E-2</v>
      </c>
      <c r="L344">
        <v>2.1766000000000001E-2</v>
      </c>
      <c r="M344">
        <v>2.5874000000000001E-2</v>
      </c>
      <c r="N344">
        <v>2.726E-2</v>
      </c>
      <c r="O344" s="8">
        <f t="shared" si="16"/>
        <v>996.42592484926115</v>
      </c>
      <c r="P344" s="8">
        <f t="shared" si="17"/>
        <v>4261.051419276193</v>
      </c>
      <c r="Q344" s="8">
        <f t="shared" si="18"/>
        <v>617.28853070693253</v>
      </c>
      <c r="R344">
        <v>4.1260858060544123E-2</v>
      </c>
      <c r="S344">
        <v>5.9039562792322801E-2</v>
      </c>
      <c r="T344">
        <v>-7.9002610693766628E-2</v>
      </c>
    </row>
    <row r="345" spans="1:20" x14ac:dyDescent="0.25">
      <c r="A345">
        <v>342</v>
      </c>
      <c r="B345">
        <v>29</v>
      </c>
      <c r="C345">
        <v>6</v>
      </c>
      <c r="D345">
        <v>6.8060000000000004E-3</v>
      </c>
      <c r="E345">
        <v>1.0751999999999999E-2</v>
      </c>
      <c r="F345">
        <v>1.1015E-2</v>
      </c>
      <c r="G345">
        <v>1.0322E-2</v>
      </c>
      <c r="H345">
        <v>1.2947E-2</v>
      </c>
      <c r="I345">
        <v>1.6080000000000001E-2</v>
      </c>
      <c r="J345">
        <v>1.8957999999999999E-2</v>
      </c>
      <c r="K345">
        <v>2.0507999999999998E-2</v>
      </c>
      <c r="L345">
        <v>2.1673000000000001E-2</v>
      </c>
      <c r="M345">
        <v>2.5918E-2</v>
      </c>
      <c r="N345">
        <v>2.7289000000000001E-2</v>
      </c>
      <c r="O345" s="8">
        <f t="shared" si="16"/>
        <v>998.85595382582187</v>
      </c>
      <c r="P345" s="8">
        <f t="shared" si="17"/>
        <v>4272.8094353675933</v>
      </c>
      <c r="Q345" s="8">
        <f t="shared" si="18"/>
        <v>612.8686427510811</v>
      </c>
      <c r="R345">
        <v>2.9660684935439031E-2</v>
      </c>
      <c r="S345">
        <v>3.3620199786855313E-2</v>
      </c>
      <c r="T345">
        <v>-8.261777134350333E-2</v>
      </c>
    </row>
    <row r="346" spans="1:20" x14ac:dyDescent="0.25">
      <c r="A346">
        <v>343</v>
      </c>
      <c r="B346">
        <v>29</v>
      </c>
      <c r="C346">
        <v>7</v>
      </c>
      <c r="D346">
        <v>6.796E-3</v>
      </c>
      <c r="E346">
        <v>1.0722000000000001E-2</v>
      </c>
      <c r="F346">
        <v>1.1017000000000001E-2</v>
      </c>
      <c r="G346">
        <v>1.0300999999999999E-2</v>
      </c>
      <c r="H346">
        <v>1.3011E-2</v>
      </c>
      <c r="I346">
        <v>1.6153000000000001E-2</v>
      </c>
      <c r="J346">
        <v>1.9021E-2</v>
      </c>
      <c r="K346">
        <v>2.0605999999999999E-2</v>
      </c>
      <c r="L346">
        <v>2.1585E-2</v>
      </c>
      <c r="M346">
        <v>2.5936000000000001E-2</v>
      </c>
      <c r="N346">
        <v>2.7189999999999999E-2</v>
      </c>
      <c r="O346" s="8">
        <f t="shared" si="16"/>
        <v>998.80193343119981</v>
      </c>
      <c r="P346" s="8">
        <f t="shared" si="17"/>
        <v>4297.1467602785197</v>
      </c>
      <c r="Q346" s="8">
        <f t="shared" si="18"/>
        <v>608.52231293383272</v>
      </c>
      <c r="R346">
        <v>-6.4879419874558277E-4</v>
      </c>
      <c r="S346">
        <v>7.0532727404771761E-2</v>
      </c>
      <c r="T346">
        <v>-8.1859232839671753E-2</v>
      </c>
    </row>
    <row r="347" spans="1:20" x14ac:dyDescent="0.25">
      <c r="A347">
        <v>344</v>
      </c>
      <c r="B347">
        <v>29</v>
      </c>
      <c r="C347">
        <v>8</v>
      </c>
      <c r="D347">
        <v>6.7279999999999996E-3</v>
      </c>
      <c r="E347">
        <v>1.082E-2</v>
      </c>
      <c r="F347">
        <v>1.0951000000000001E-2</v>
      </c>
      <c r="G347">
        <v>1.022E-2</v>
      </c>
      <c r="H347">
        <v>1.2959E-2</v>
      </c>
      <c r="I347">
        <v>1.6175999999999999E-2</v>
      </c>
      <c r="J347">
        <v>1.9112000000000001E-2</v>
      </c>
      <c r="K347">
        <v>2.0535999999999999E-2</v>
      </c>
      <c r="L347">
        <v>2.1648000000000001E-2</v>
      </c>
      <c r="M347">
        <v>2.5899999999999999E-2</v>
      </c>
      <c r="N347">
        <v>2.7274E-2</v>
      </c>
      <c r="O347" s="8">
        <f t="shared" si="16"/>
        <v>996.90972363399942</v>
      </c>
      <c r="P347" s="8">
        <f t="shared" si="17"/>
        <v>4311.8815417593614</v>
      </c>
      <c r="Q347" s="8">
        <f t="shared" si="18"/>
        <v>604.40572317093688</v>
      </c>
      <c r="R347">
        <v>-2.2498366152843861E-2</v>
      </c>
      <c r="S347">
        <v>4.1932578783483145E-2</v>
      </c>
      <c r="T347">
        <v>-7.8225416423516478E-2</v>
      </c>
    </row>
    <row r="348" spans="1:20" x14ac:dyDescent="0.25">
      <c r="A348">
        <v>345</v>
      </c>
      <c r="B348">
        <v>29</v>
      </c>
      <c r="C348">
        <v>9</v>
      </c>
      <c r="D348">
        <v>6.7289999999999997E-3</v>
      </c>
      <c r="E348">
        <v>1.0808E-2</v>
      </c>
      <c r="F348">
        <v>1.095E-2</v>
      </c>
      <c r="G348">
        <v>1.0255999999999999E-2</v>
      </c>
      <c r="H348">
        <v>1.2886999999999999E-2</v>
      </c>
      <c r="I348">
        <v>1.6227999999999999E-2</v>
      </c>
      <c r="J348">
        <v>1.908E-2</v>
      </c>
      <c r="K348">
        <v>2.0611999999999998E-2</v>
      </c>
      <c r="L348">
        <v>2.1694000000000001E-2</v>
      </c>
      <c r="M348">
        <v>2.589E-2</v>
      </c>
      <c r="N348">
        <v>2.7213000000000001E-2</v>
      </c>
      <c r="O348" s="8">
        <f t="shared" si="16"/>
        <v>998.68410064917362</v>
      </c>
      <c r="P348" s="8">
        <f t="shared" si="17"/>
        <v>4325.0596031912592</v>
      </c>
      <c r="Q348" s="8">
        <f t="shared" si="18"/>
        <v>600.21314599989023</v>
      </c>
      <c r="R348">
        <v>2.1568858985093014E-2</v>
      </c>
      <c r="S348">
        <v>3.7297443501732586E-2</v>
      </c>
      <c r="T348">
        <v>-8.0136848885883849E-2</v>
      </c>
    </row>
    <row r="349" spans="1:20" x14ac:dyDescent="0.25">
      <c r="A349">
        <v>346</v>
      </c>
      <c r="B349">
        <v>29</v>
      </c>
      <c r="C349">
        <v>10</v>
      </c>
      <c r="D349">
        <v>6.8170000000000001E-3</v>
      </c>
      <c r="E349">
        <v>1.0833000000000001E-2</v>
      </c>
      <c r="F349">
        <v>1.1032E-2</v>
      </c>
      <c r="G349">
        <v>1.0161999999999999E-2</v>
      </c>
      <c r="H349">
        <v>1.2924E-2</v>
      </c>
      <c r="I349">
        <v>1.6216000000000001E-2</v>
      </c>
      <c r="J349">
        <v>1.9168999999999999E-2</v>
      </c>
      <c r="K349">
        <v>2.0523E-2</v>
      </c>
      <c r="L349">
        <v>2.1616E-2</v>
      </c>
      <c r="M349">
        <v>2.5846999999999998E-2</v>
      </c>
      <c r="N349">
        <v>2.7199000000000001E-2</v>
      </c>
      <c r="O349" s="8">
        <f t="shared" si="16"/>
        <v>998.24708351450954</v>
      </c>
      <c r="P349" s="8">
        <f t="shared" si="17"/>
        <v>4349.8516182295452</v>
      </c>
      <c r="Q349" s="8">
        <f t="shared" si="18"/>
        <v>596.2431110078993</v>
      </c>
      <c r="R349">
        <v>-5.2384957902991318E-3</v>
      </c>
      <c r="S349">
        <v>7.0996741225400978E-2</v>
      </c>
      <c r="T349">
        <v>-7.6547731704734362E-2</v>
      </c>
    </row>
    <row r="350" spans="1:20" x14ac:dyDescent="0.25">
      <c r="A350">
        <v>347</v>
      </c>
      <c r="B350">
        <v>29</v>
      </c>
      <c r="C350">
        <v>11</v>
      </c>
      <c r="D350">
        <v>6.855E-3</v>
      </c>
      <c r="E350">
        <v>1.0803E-2</v>
      </c>
      <c r="F350">
        <v>1.1115999999999999E-2</v>
      </c>
      <c r="G350">
        <v>1.0097E-2</v>
      </c>
      <c r="H350">
        <v>1.2954E-2</v>
      </c>
      <c r="I350">
        <v>1.6271000000000001E-2</v>
      </c>
      <c r="J350">
        <v>1.9178000000000001E-2</v>
      </c>
      <c r="K350">
        <v>2.0527E-2</v>
      </c>
      <c r="L350">
        <v>2.1565000000000001E-2</v>
      </c>
      <c r="M350">
        <v>2.5866E-2</v>
      </c>
      <c r="N350">
        <v>2.7231999999999999E-2</v>
      </c>
      <c r="O350" s="8">
        <f t="shared" si="16"/>
        <v>994.98594655170541</v>
      </c>
      <c r="P350" s="8">
        <f t="shared" si="17"/>
        <v>4373.6914969309228</v>
      </c>
      <c r="Q350" s="8">
        <f t="shared" si="18"/>
        <v>592.21483357945124</v>
      </c>
      <c r="R350">
        <v>-3.8505598080433814E-2</v>
      </c>
      <c r="S350">
        <v>6.7786547528832591E-2</v>
      </c>
      <c r="T350">
        <v>-7.8127448893879126E-2</v>
      </c>
    </row>
    <row r="351" spans="1:20" x14ac:dyDescent="0.25">
      <c r="A351">
        <v>348</v>
      </c>
      <c r="B351">
        <v>29</v>
      </c>
      <c r="C351">
        <v>12</v>
      </c>
      <c r="D351">
        <v>6.757E-3</v>
      </c>
      <c r="E351">
        <v>1.0836999999999999E-2</v>
      </c>
      <c r="F351">
        <v>1.1081000000000001E-2</v>
      </c>
      <c r="G351">
        <v>1.0071E-2</v>
      </c>
      <c r="H351">
        <v>1.3032999999999999E-2</v>
      </c>
      <c r="I351">
        <v>1.6254000000000001E-2</v>
      </c>
      <c r="J351">
        <v>1.9212E-2</v>
      </c>
      <c r="K351">
        <v>2.0445000000000001E-2</v>
      </c>
      <c r="L351">
        <v>2.147E-2</v>
      </c>
      <c r="M351">
        <v>2.5871000000000002E-2</v>
      </c>
      <c r="N351">
        <v>2.7309E-2</v>
      </c>
      <c r="O351" s="8">
        <f t="shared" si="16"/>
        <v>998.02607508708127</v>
      </c>
      <c r="P351" s="8">
        <f t="shared" si="17"/>
        <v>4393.0674003282656</v>
      </c>
      <c r="Q351" s="8">
        <f t="shared" si="18"/>
        <v>588.31816245993366</v>
      </c>
      <c r="R351">
        <v>3.7287864080924542E-2</v>
      </c>
      <c r="S351">
        <v>5.4475858189389333E-2</v>
      </c>
      <c r="T351">
        <v>-7.6162264050629508E-2</v>
      </c>
    </row>
    <row r="352" spans="1:20" x14ac:dyDescent="0.25">
      <c r="A352">
        <v>349</v>
      </c>
      <c r="B352">
        <v>30</v>
      </c>
      <c r="C352">
        <v>1</v>
      </c>
      <c r="D352">
        <v>6.7860000000000004E-3</v>
      </c>
      <c r="E352">
        <v>1.085E-2</v>
      </c>
      <c r="F352">
        <v>1.1061E-2</v>
      </c>
      <c r="G352">
        <v>1.0109E-2</v>
      </c>
      <c r="H352">
        <v>1.3018999999999999E-2</v>
      </c>
      <c r="I352">
        <v>1.6240999999999998E-2</v>
      </c>
      <c r="J352">
        <v>1.9213999999999998E-2</v>
      </c>
      <c r="K352">
        <v>2.0521999999999999E-2</v>
      </c>
      <c r="L352">
        <v>2.1489999999999999E-2</v>
      </c>
      <c r="M352">
        <v>2.596E-2</v>
      </c>
      <c r="N352">
        <v>2.7316E-2</v>
      </c>
      <c r="O352" s="8">
        <f t="shared" si="16"/>
        <v>999.18478532479855</v>
      </c>
      <c r="P352" s="8">
        <f t="shared" si="17"/>
        <v>4405.9372321648161</v>
      </c>
      <c r="Q352" s="8">
        <f t="shared" si="18"/>
        <v>584.27365472126928</v>
      </c>
      <c r="R352">
        <v>1.4021331897558699E-2</v>
      </c>
      <c r="S352">
        <v>3.5726939268528844E-2</v>
      </c>
      <c r="T352">
        <v>-7.9447468071372054E-2</v>
      </c>
    </row>
    <row r="353" spans="1:20" x14ac:dyDescent="0.25">
      <c r="A353">
        <v>350</v>
      </c>
      <c r="B353">
        <v>30</v>
      </c>
      <c r="C353">
        <v>2</v>
      </c>
      <c r="D353">
        <v>6.8079999999999998E-3</v>
      </c>
      <c r="E353">
        <v>1.078E-2</v>
      </c>
      <c r="F353">
        <v>1.1022000000000001E-2</v>
      </c>
      <c r="G353">
        <v>1.0102999999999999E-2</v>
      </c>
      <c r="H353">
        <v>1.2982E-2</v>
      </c>
      <c r="I353">
        <v>1.6244999999999999E-2</v>
      </c>
      <c r="J353">
        <v>1.9262999999999999E-2</v>
      </c>
      <c r="K353">
        <v>2.0487999999999999E-2</v>
      </c>
      <c r="L353">
        <v>2.1427000000000002E-2</v>
      </c>
      <c r="M353">
        <v>2.5933000000000001E-2</v>
      </c>
      <c r="N353">
        <v>2.7392E-2</v>
      </c>
      <c r="O353" s="8">
        <f t="shared" si="16"/>
        <v>1002.9144826933009</v>
      </c>
      <c r="P353" s="8">
        <f t="shared" si="17"/>
        <v>4425.6414720513321</v>
      </c>
      <c r="Q353" s="8">
        <f t="shared" si="18"/>
        <v>580.11078070774624</v>
      </c>
      <c r="R353">
        <v>4.5724024156988487E-2</v>
      </c>
      <c r="S353">
        <v>5.5006336646198896E-2</v>
      </c>
      <c r="T353">
        <v>-8.2226344003596241E-2</v>
      </c>
    </row>
    <row r="354" spans="1:20" x14ac:dyDescent="0.25">
      <c r="A354">
        <v>351</v>
      </c>
      <c r="B354">
        <v>30</v>
      </c>
      <c r="C354">
        <v>3</v>
      </c>
      <c r="D354">
        <v>6.8859999999999998E-3</v>
      </c>
      <c r="E354">
        <v>1.0799E-2</v>
      </c>
      <c r="F354">
        <v>1.0992E-2</v>
      </c>
      <c r="G354">
        <v>1.0023000000000001E-2</v>
      </c>
      <c r="H354">
        <v>1.2973E-2</v>
      </c>
      <c r="I354">
        <v>1.6265000000000002E-2</v>
      </c>
      <c r="J354">
        <v>1.9352000000000001E-2</v>
      </c>
      <c r="K354">
        <v>2.051E-2</v>
      </c>
      <c r="L354">
        <v>2.147E-2</v>
      </c>
      <c r="M354">
        <v>2.5928E-2</v>
      </c>
      <c r="N354">
        <v>2.7411999999999999E-2</v>
      </c>
      <c r="O354" s="8">
        <f t="shared" si="16"/>
        <v>1006.7157295103152</v>
      </c>
      <c r="P354" s="8">
        <f t="shared" si="17"/>
        <v>4437.7190812606332</v>
      </c>
      <c r="Q354" s="8">
        <f t="shared" si="18"/>
        <v>576.04725380196965</v>
      </c>
      <c r="R354">
        <v>4.6442616416986264E-2</v>
      </c>
      <c r="S354">
        <v>3.3244123943327486E-2</v>
      </c>
      <c r="T354">
        <v>-8.0892966532997615E-2</v>
      </c>
    </row>
    <row r="355" spans="1:20" x14ac:dyDescent="0.25">
      <c r="A355">
        <v>352</v>
      </c>
      <c r="B355">
        <v>30</v>
      </c>
      <c r="C355">
        <v>4</v>
      </c>
      <c r="D355">
        <v>6.8690000000000001E-3</v>
      </c>
      <c r="E355">
        <v>1.0866000000000001E-2</v>
      </c>
      <c r="F355">
        <v>1.1091E-2</v>
      </c>
      <c r="G355">
        <v>9.9439999999999997E-3</v>
      </c>
      <c r="H355">
        <v>1.2984000000000001E-2</v>
      </c>
      <c r="I355">
        <v>1.6298E-2</v>
      </c>
      <c r="J355">
        <v>1.9443999999999999E-2</v>
      </c>
      <c r="K355">
        <v>2.0486999999999998E-2</v>
      </c>
      <c r="L355">
        <v>2.1416999999999999E-2</v>
      </c>
      <c r="M355">
        <v>2.5836999999999999E-2</v>
      </c>
      <c r="N355">
        <v>2.7394999999999999E-2</v>
      </c>
      <c r="O355" s="8">
        <f t="shared" si="16"/>
        <v>1004.8177546886736</v>
      </c>
      <c r="P355" s="8">
        <f t="shared" si="17"/>
        <v>4461.4215301059276</v>
      </c>
      <c r="Q355" s="8">
        <f t="shared" si="18"/>
        <v>572.1497041588143</v>
      </c>
      <c r="R355">
        <v>-2.2390639933369982E-2</v>
      </c>
      <c r="S355">
        <v>6.6010354990622022E-2</v>
      </c>
      <c r="T355">
        <v>-7.8237987657003391E-2</v>
      </c>
    </row>
    <row r="356" spans="1:20" x14ac:dyDescent="0.25">
      <c r="A356">
        <v>353</v>
      </c>
      <c r="B356">
        <v>30</v>
      </c>
      <c r="C356">
        <v>5</v>
      </c>
      <c r="D356">
        <v>6.8440000000000003E-3</v>
      </c>
      <c r="E356">
        <v>1.0774000000000001E-2</v>
      </c>
      <c r="F356">
        <v>1.1068E-2</v>
      </c>
      <c r="G356">
        <v>9.9389999999999999E-3</v>
      </c>
      <c r="H356">
        <v>1.2930000000000001E-2</v>
      </c>
      <c r="I356">
        <v>1.6298E-2</v>
      </c>
      <c r="J356">
        <v>1.9392E-2</v>
      </c>
      <c r="K356">
        <v>2.0577000000000002E-2</v>
      </c>
      <c r="L356">
        <v>2.1418E-2</v>
      </c>
      <c r="M356">
        <v>2.5936000000000001E-2</v>
      </c>
      <c r="N356">
        <v>2.7467999999999999E-2</v>
      </c>
      <c r="O356" s="8">
        <f t="shared" si="16"/>
        <v>1000.5618472054159</v>
      </c>
      <c r="P356" s="8">
        <f t="shared" si="17"/>
        <v>4476.7080159784327</v>
      </c>
      <c r="Q356" s="8">
        <f t="shared" si="18"/>
        <v>568.47527520201322</v>
      </c>
      <c r="R356">
        <v>-4.9658575028187067E-2</v>
      </c>
      <c r="S356">
        <v>4.190021290890613E-2</v>
      </c>
      <c r="T356">
        <v>-7.4401090137086928E-2</v>
      </c>
    </row>
    <row r="357" spans="1:20" x14ac:dyDescent="0.25">
      <c r="A357">
        <v>354</v>
      </c>
      <c r="B357">
        <v>30</v>
      </c>
      <c r="C357">
        <v>6</v>
      </c>
      <c r="D357">
        <v>6.7999999999999996E-3</v>
      </c>
      <c r="E357">
        <v>1.0758999999999999E-2</v>
      </c>
      <c r="F357">
        <v>1.1167E-2</v>
      </c>
      <c r="G357">
        <v>9.9740000000000002E-3</v>
      </c>
      <c r="H357">
        <v>1.2881E-2</v>
      </c>
      <c r="I357">
        <v>1.6320000000000001E-2</v>
      </c>
      <c r="J357">
        <v>1.9310000000000001E-2</v>
      </c>
      <c r="K357">
        <v>2.0617E-2</v>
      </c>
      <c r="L357">
        <v>2.1475999999999999E-2</v>
      </c>
      <c r="M357">
        <v>2.5978999999999999E-2</v>
      </c>
      <c r="N357">
        <v>2.7505999999999999E-2</v>
      </c>
      <c r="O357" s="8">
        <f t="shared" si="16"/>
        <v>1003.7888421940901</v>
      </c>
      <c r="P357" s="8">
        <f t="shared" si="17"/>
        <v>4502.446078961244</v>
      </c>
      <c r="Q357" s="8">
        <f t="shared" si="18"/>
        <v>564.60912078211118</v>
      </c>
      <c r="R357">
        <v>3.9396148603250108E-2</v>
      </c>
      <c r="S357">
        <v>7.1215906918335389E-2</v>
      </c>
      <c r="T357">
        <v>-7.8626520966743718E-2</v>
      </c>
    </row>
    <row r="358" spans="1:20" x14ac:dyDescent="0.25">
      <c r="A358">
        <v>355</v>
      </c>
      <c r="B358">
        <v>30</v>
      </c>
      <c r="C358">
        <v>7</v>
      </c>
      <c r="D358">
        <v>6.7539999999999996E-3</v>
      </c>
      <c r="E358">
        <v>1.0671E-2</v>
      </c>
      <c r="F358">
        <v>1.1254999999999999E-2</v>
      </c>
      <c r="G358">
        <v>1.0035000000000001E-2</v>
      </c>
      <c r="H358">
        <v>1.2938E-2</v>
      </c>
      <c r="I358">
        <v>1.6374E-2</v>
      </c>
      <c r="J358">
        <v>1.9290000000000002E-2</v>
      </c>
      <c r="K358">
        <v>2.0598000000000002E-2</v>
      </c>
      <c r="L358">
        <v>2.1568E-2</v>
      </c>
      <c r="M358">
        <v>2.5967E-2</v>
      </c>
      <c r="N358">
        <v>2.7479E-2</v>
      </c>
      <c r="O358" s="8">
        <f t="shared" si="16"/>
        <v>1005.7262099729204</v>
      </c>
      <c r="P358" s="8">
        <f t="shared" si="17"/>
        <v>4525.6300762367273</v>
      </c>
      <c r="Q358" s="8">
        <f t="shared" si="18"/>
        <v>560.95188728873552</v>
      </c>
      <c r="R358">
        <v>2.340810731213323E-2</v>
      </c>
      <c r="S358">
        <v>6.3570733495995263E-2</v>
      </c>
      <c r="T358">
        <v>-7.5019264339497238E-2</v>
      </c>
    </row>
    <row r="359" spans="1:20" x14ac:dyDescent="0.25">
      <c r="A359">
        <v>356</v>
      </c>
      <c r="B359">
        <v>30</v>
      </c>
      <c r="C359">
        <v>8</v>
      </c>
      <c r="D359">
        <v>6.7910000000000002E-3</v>
      </c>
      <c r="E359">
        <v>1.0758E-2</v>
      </c>
      <c r="F359">
        <v>1.1324000000000001E-2</v>
      </c>
      <c r="G359">
        <v>1.0023000000000001E-2</v>
      </c>
      <c r="H359">
        <v>1.3024000000000001E-2</v>
      </c>
      <c r="I359">
        <v>1.6389000000000001E-2</v>
      </c>
      <c r="J359">
        <v>1.9310999999999998E-2</v>
      </c>
      <c r="K359">
        <v>2.0666E-2</v>
      </c>
      <c r="L359">
        <v>2.1597000000000002E-2</v>
      </c>
      <c r="M359">
        <v>2.5942E-2</v>
      </c>
      <c r="N359">
        <v>2.7437E-2</v>
      </c>
      <c r="O359" s="8">
        <f t="shared" si="16"/>
        <v>1005.1493559612909</v>
      </c>
      <c r="P359" s="8">
        <f t="shared" si="17"/>
        <v>4546.5929635527082</v>
      </c>
      <c r="Q359" s="8">
        <f t="shared" si="18"/>
        <v>557.33864375237533</v>
      </c>
      <c r="R359">
        <v>-6.8611642169538762E-3</v>
      </c>
      <c r="S359">
        <v>5.7022622416150442E-2</v>
      </c>
      <c r="T359">
        <v>-7.4614873266199574E-2</v>
      </c>
    </row>
    <row r="360" spans="1:20" x14ac:dyDescent="0.25">
      <c r="A360">
        <v>357</v>
      </c>
      <c r="B360">
        <v>30</v>
      </c>
      <c r="C360">
        <v>9</v>
      </c>
      <c r="D360">
        <v>6.803E-3</v>
      </c>
      <c r="E360">
        <v>1.0669E-2</v>
      </c>
      <c r="F360">
        <v>1.1390000000000001E-2</v>
      </c>
      <c r="G360">
        <v>9.9989999999999992E-3</v>
      </c>
      <c r="H360">
        <v>1.295E-2</v>
      </c>
      <c r="I360">
        <v>1.6435999999999999E-2</v>
      </c>
      <c r="J360">
        <v>1.9324000000000001E-2</v>
      </c>
      <c r="K360">
        <v>2.0729000000000001E-2</v>
      </c>
      <c r="L360">
        <v>2.1579000000000001E-2</v>
      </c>
      <c r="M360">
        <v>2.5911E-2</v>
      </c>
      <c r="N360">
        <v>2.7432000000000002E-2</v>
      </c>
      <c r="O360" s="8">
        <f t="shared" si="16"/>
        <v>1006.3573011064873</v>
      </c>
      <c r="P360" s="8">
        <f t="shared" si="17"/>
        <v>4569.7570342844983</v>
      </c>
      <c r="Q360" s="8">
        <f t="shared" si="18"/>
        <v>553.93971495212463</v>
      </c>
      <c r="R360">
        <v>1.4516783814195092E-2</v>
      </c>
      <c r="S360">
        <v>6.2880439568154298E-2</v>
      </c>
      <c r="T360">
        <v>-7.0776550088426413E-2</v>
      </c>
    </row>
    <row r="361" spans="1:20" x14ac:dyDescent="0.25">
      <c r="A361">
        <v>358</v>
      </c>
      <c r="B361">
        <v>30</v>
      </c>
      <c r="C361">
        <v>10</v>
      </c>
      <c r="D361">
        <v>6.7270000000000003E-3</v>
      </c>
      <c r="E361">
        <v>1.0678999999999999E-2</v>
      </c>
      <c r="F361">
        <v>1.1435000000000001E-2</v>
      </c>
      <c r="G361">
        <v>9.9539999999999993E-3</v>
      </c>
      <c r="H361">
        <v>1.2893E-2</v>
      </c>
      <c r="I361">
        <v>1.6406E-2</v>
      </c>
      <c r="J361">
        <v>1.9411000000000001E-2</v>
      </c>
      <c r="K361">
        <v>2.0756E-2</v>
      </c>
      <c r="L361">
        <v>2.1618999999999999E-2</v>
      </c>
      <c r="M361">
        <v>2.5899999999999999E-2</v>
      </c>
      <c r="N361">
        <v>2.7481999999999999E-2</v>
      </c>
      <c r="O361" s="8">
        <f t="shared" si="16"/>
        <v>1007.2728383729034</v>
      </c>
      <c r="P361" s="8">
        <f t="shared" si="17"/>
        <v>4588.0808971556662</v>
      </c>
      <c r="Q361" s="8">
        <f t="shared" si="18"/>
        <v>550.47330783681787</v>
      </c>
      <c r="R361">
        <v>1.0971835267094287E-2</v>
      </c>
      <c r="S361">
        <v>4.9193233538433571E-2</v>
      </c>
      <c r="T361">
        <v>-7.256145205052561E-2</v>
      </c>
    </row>
    <row r="362" spans="1:20" x14ac:dyDescent="0.25">
      <c r="A362">
        <v>359</v>
      </c>
      <c r="B362">
        <v>30</v>
      </c>
      <c r="C362">
        <v>11</v>
      </c>
      <c r="D362">
        <v>6.6940000000000003E-3</v>
      </c>
      <c r="E362">
        <v>1.0678E-2</v>
      </c>
      <c r="F362">
        <v>1.1395000000000001E-2</v>
      </c>
      <c r="G362">
        <v>9.9740000000000002E-3</v>
      </c>
      <c r="H362">
        <v>1.2963000000000001E-2</v>
      </c>
      <c r="I362">
        <v>1.6372999999999999E-2</v>
      </c>
      <c r="J362">
        <v>1.942E-2</v>
      </c>
      <c r="K362">
        <v>2.0705999999999999E-2</v>
      </c>
      <c r="L362">
        <v>2.1696E-2</v>
      </c>
      <c r="M362">
        <v>2.5805999999999999E-2</v>
      </c>
      <c r="N362">
        <v>2.7529000000000001E-2</v>
      </c>
      <c r="O362" s="8">
        <f t="shared" si="16"/>
        <v>1006.5341506126925</v>
      </c>
      <c r="P362" s="8">
        <f t="shared" si="17"/>
        <v>4606.2716167563904</v>
      </c>
      <c r="Q362" s="8">
        <f t="shared" si="18"/>
        <v>547.10672937554546</v>
      </c>
      <c r="R362">
        <v>-8.7648415975164675E-3</v>
      </c>
      <c r="S362">
        <v>4.8628647969226065E-2</v>
      </c>
      <c r="T362">
        <v>-7.0970514215207059E-2</v>
      </c>
    </row>
    <row r="363" spans="1:20" x14ac:dyDescent="0.25">
      <c r="A363">
        <v>360</v>
      </c>
      <c r="B363">
        <v>30</v>
      </c>
      <c r="C363">
        <v>12</v>
      </c>
      <c r="D363">
        <v>6.5989999999999998E-3</v>
      </c>
      <c r="E363">
        <v>1.0763999999999999E-2</v>
      </c>
      <c r="F363">
        <v>1.1377999999999999E-2</v>
      </c>
      <c r="G363">
        <v>1.0066E-2</v>
      </c>
      <c r="H363">
        <v>1.2916E-2</v>
      </c>
      <c r="I363">
        <v>1.6313000000000001E-2</v>
      </c>
      <c r="J363">
        <v>1.9335999999999999E-2</v>
      </c>
      <c r="K363">
        <v>2.07E-2</v>
      </c>
      <c r="L363">
        <v>2.1642999999999999E-2</v>
      </c>
      <c r="M363">
        <v>2.5831E-2</v>
      </c>
      <c r="N363">
        <v>2.7453999999999999E-2</v>
      </c>
      <c r="O363" s="8">
        <f t="shared" si="16"/>
        <v>1003.7466973799424</v>
      </c>
      <c r="P363" s="8">
        <f t="shared" si="17"/>
        <v>4618.3141395503017</v>
      </c>
      <c r="Q363" s="8">
        <f t="shared" si="18"/>
        <v>543.56585857419248</v>
      </c>
      <c r="R363">
        <v>-3.2730760981460889E-2</v>
      </c>
      <c r="S363">
        <v>3.1827565420384223E-2</v>
      </c>
      <c r="T363">
        <v>-7.4958172092202457E-2</v>
      </c>
    </row>
    <row r="364" spans="1:20" x14ac:dyDescent="0.25">
      <c r="A364">
        <v>361</v>
      </c>
      <c r="B364">
        <v>31</v>
      </c>
      <c r="C364">
        <v>1</v>
      </c>
      <c r="D364">
        <v>6.5370000000000003E-3</v>
      </c>
      <c r="E364">
        <v>1.086E-2</v>
      </c>
      <c r="F364">
        <v>1.1424999999999999E-2</v>
      </c>
      <c r="G364">
        <v>1.0116999999999999E-2</v>
      </c>
      <c r="H364">
        <v>1.2833000000000001E-2</v>
      </c>
      <c r="I364">
        <v>1.626E-2</v>
      </c>
      <c r="J364">
        <v>1.9255000000000001E-2</v>
      </c>
      <c r="K364">
        <v>2.0752E-2</v>
      </c>
      <c r="L364">
        <v>2.1628999999999999E-2</v>
      </c>
      <c r="M364">
        <v>2.5835E-2</v>
      </c>
      <c r="N364">
        <v>2.7362000000000001E-2</v>
      </c>
      <c r="O364" s="8">
        <f t="shared" si="16"/>
        <v>1007.5626652546283</v>
      </c>
      <c r="P364" s="8">
        <f t="shared" si="17"/>
        <v>4644.4208884622494</v>
      </c>
      <c r="Q364" s="8">
        <f t="shared" si="18"/>
        <v>540.27940050756388</v>
      </c>
      <c r="R364">
        <v>4.6586784833781036E-2</v>
      </c>
      <c r="S364">
        <v>6.998377001456868E-2</v>
      </c>
      <c r="T364">
        <v>-7.0188610733121173E-2</v>
      </c>
    </row>
    <row r="365" spans="1:20" x14ac:dyDescent="0.25">
      <c r="A365">
        <v>362</v>
      </c>
      <c r="B365">
        <v>31</v>
      </c>
      <c r="C365">
        <v>2</v>
      </c>
      <c r="D365">
        <v>6.4460000000000003E-3</v>
      </c>
      <c r="E365">
        <v>1.0866000000000001E-2</v>
      </c>
      <c r="F365">
        <v>1.1459E-2</v>
      </c>
      <c r="G365">
        <v>1.0168E-2</v>
      </c>
      <c r="H365">
        <v>1.2880000000000001E-2</v>
      </c>
      <c r="I365">
        <v>1.6286999999999999E-2</v>
      </c>
      <c r="J365">
        <v>1.9161000000000001E-2</v>
      </c>
      <c r="K365">
        <v>2.0781000000000001E-2</v>
      </c>
      <c r="L365">
        <v>2.1694999999999999E-2</v>
      </c>
      <c r="M365">
        <v>2.5749000000000001E-2</v>
      </c>
      <c r="N365">
        <v>2.7442999999999999E-2</v>
      </c>
      <c r="O365" s="8">
        <f t="shared" si="16"/>
        <v>1009.245103331376</v>
      </c>
      <c r="P365" s="8">
        <f t="shared" si="17"/>
        <v>4661.994550596407</v>
      </c>
      <c r="Q365" s="8">
        <f t="shared" si="18"/>
        <v>537.10028173097828</v>
      </c>
      <c r="R365">
        <v>2.0222772003817297E-2</v>
      </c>
      <c r="S365">
        <v>4.6362827322995258E-2</v>
      </c>
      <c r="T365">
        <v>-6.8369602098465015E-2</v>
      </c>
    </row>
    <row r="366" spans="1:20" x14ac:dyDescent="0.25">
      <c r="A366">
        <v>363</v>
      </c>
      <c r="B366">
        <v>31</v>
      </c>
      <c r="C366">
        <v>3</v>
      </c>
      <c r="D366">
        <v>6.5269999999999998E-3</v>
      </c>
      <c r="E366">
        <v>1.0786E-2</v>
      </c>
      <c r="F366">
        <v>1.1364000000000001E-2</v>
      </c>
      <c r="G366">
        <v>1.008E-2</v>
      </c>
      <c r="H366">
        <v>1.2822999999999999E-2</v>
      </c>
      <c r="I366">
        <v>1.6376000000000002E-2</v>
      </c>
      <c r="J366">
        <v>1.9206999999999998E-2</v>
      </c>
      <c r="K366">
        <v>2.0851000000000001E-2</v>
      </c>
      <c r="L366">
        <v>2.1781999999999999E-2</v>
      </c>
      <c r="M366">
        <v>2.5741E-2</v>
      </c>
      <c r="N366">
        <v>2.7366999999999999E-2</v>
      </c>
      <c r="O366" s="8">
        <f t="shared" si="16"/>
        <v>1007.6042411157445</v>
      </c>
      <c r="P366" s="8">
        <f t="shared" si="17"/>
        <v>4674.8784299126437</v>
      </c>
      <c r="Q366" s="8">
        <f t="shared" si="18"/>
        <v>533.80073966252667</v>
      </c>
      <c r="R366">
        <v>-1.9336457281137191E-2</v>
      </c>
      <c r="S366">
        <v>3.367192312657688E-2</v>
      </c>
      <c r="T366">
        <v>-7.1278514960745096E-2</v>
      </c>
    </row>
    <row r="367" spans="1:20" x14ac:dyDescent="0.25">
      <c r="A367">
        <v>364</v>
      </c>
      <c r="B367">
        <v>31</v>
      </c>
      <c r="C367">
        <v>4</v>
      </c>
      <c r="D367">
        <v>6.463E-3</v>
      </c>
      <c r="E367">
        <v>1.0708000000000001E-2</v>
      </c>
      <c r="F367">
        <v>1.1441E-2</v>
      </c>
      <c r="G367">
        <v>1.0125E-2</v>
      </c>
      <c r="H367">
        <v>1.2912E-2</v>
      </c>
      <c r="I367">
        <v>1.6308E-2</v>
      </c>
      <c r="J367">
        <v>1.9293000000000001E-2</v>
      </c>
      <c r="K367">
        <v>2.0944000000000001E-2</v>
      </c>
      <c r="L367">
        <v>2.1836000000000001E-2</v>
      </c>
      <c r="M367">
        <v>2.5655000000000001E-2</v>
      </c>
      <c r="N367">
        <v>2.7356999999999999E-2</v>
      </c>
      <c r="O367" s="8">
        <f t="shared" si="16"/>
        <v>1003.2078445117319</v>
      </c>
      <c r="P367" s="8">
        <f t="shared" si="17"/>
        <v>4700.7033051382132</v>
      </c>
      <c r="Q367" s="8">
        <f t="shared" si="18"/>
        <v>530.72231050997379</v>
      </c>
      <c r="R367">
        <v>-5.1120221887260391E-2</v>
      </c>
      <c r="S367">
        <v>6.8341820178620546E-2</v>
      </c>
      <c r="T367">
        <v>-6.7050612592024522E-2</v>
      </c>
    </row>
    <row r="368" spans="1:20" x14ac:dyDescent="0.25">
      <c r="A368">
        <v>365</v>
      </c>
      <c r="B368">
        <v>31</v>
      </c>
      <c r="C368">
        <v>5</v>
      </c>
      <c r="D368">
        <v>6.4809999999999998E-3</v>
      </c>
      <c r="E368">
        <v>1.074E-2</v>
      </c>
      <c r="F368">
        <v>1.1423000000000001E-2</v>
      </c>
      <c r="G368">
        <v>1.0214000000000001E-2</v>
      </c>
      <c r="H368">
        <v>1.2924E-2</v>
      </c>
      <c r="I368">
        <v>1.6337999999999998E-2</v>
      </c>
      <c r="J368">
        <v>1.9349999999999999E-2</v>
      </c>
      <c r="K368">
        <v>2.0931999999999999E-2</v>
      </c>
      <c r="L368">
        <v>2.1756000000000001E-2</v>
      </c>
      <c r="M368">
        <v>2.5738E-2</v>
      </c>
      <c r="N368">
        <v>2.7310999999999998E-2</v>
      </c>
      <c r="O368" s="8">
        <f t="shared" si="16"/>
        <v>999.11092239767265</v>
      </c>
      <c r="P368" s="8">
        <f t="shared" si="17"/>
        <v>4714.7746205037347</v>
      </c>
      <c r="Q368" s="8">
        <f t="shared" si="18"/>
        <v>527.59464835278629</v>
      </c>
      <c r="R368">
        <v>-4.7919987575949827E-2</v>
      </c>
      <c r="S368">
        <v>3.6518737105501346E-2</v>
      </c>
      <c r="T368">
        <v>-6.8470868606099952E-2</v>
      </c>
    </row>
    <row r="369" spans="1:20" x14ac:dyDescent="0.25">
      <c r="A369">
        <v>366</v>
      </c>
      <c r="B369">
        <v>31</v>
      </c>
      <c r="C369">
        <v>6</v>
      </c>
      <c r="D369">
        <v>6.5519999999999997E-3</v>
      </c>
      <c r="E369">
        <v>1.0772E-2</v>
      </c>
      <c r="F369">
        <v>1.1467E-2</v>
      </c>
      <c r="G369">
        <v>1.0281E-2</v>
      </c>
      <c r="H369">
        <v>1.2977000000000001E-2</v>
      </c>
      <c r="I369">
        <v>1.6278000000000001E-2</v>
      </c>
      <c r="J369">
        <v>1.9337E-2</v>
      </c>
      <c r="K369">
        <v>2.1026E-2</v>
      </c>
      <c r="L369">
        <v>2.1686E-2</v>
      </c>
      <c r="M369">
        <v>2.5673000000000001E-2</v>
      </c>
      <c r="N369">
        <v>2.7338000000000001E-2</v>
      </c>
      <c r="O369" s="8">
        <f t="shared" si="16"/>
        <v>995.3619002316151</v>
      </c>
      <c r="P369" s="8">
        <f t="shared" si="17"/>
        <v>4740.7915771851794</v>
      </c>
      <c r="Q369" s="8">
        <f t="shared" si="18"/>
        <v>524.28050519195597</v>
      </c>
      <c r="R369">
        <v>-4.4110532834165141E-2</v>
      </c>
      <c r="S369">
        <v>6.8265260636478337E-2</v>
      </c>
      <c r="T369">
        <v>-7.2828803829509792E-2</v>
      </c>
    </row>
    <row r="370" spans="1:20" x14ac:dyDescent="0.25">
      <c r="A370">
        <v>367</v>
      </c>
      <c r="B370">
        <v>31</v>
      </c>
      <c r="C370">
        <v>7</v>
      </c>
      <c r="D370">
        <v>6.4780000000000003E-3</v>
      </c>
      <c r="E370">
        <v>1.0718E-2</v>
      </c>
      <c r="F370">
        <v>1.1409000000000001E-2</v>
      </c>
      <c r="G370">
        <v>1.0203E-2</v>
      </c>
      <c r="H370">
        <v>1.298E-2</v>
      </c>
      <c r="I370">
        <v>1.6284E-2</v>
      </c>
      <c r="J370">
        <v>1.932E-2</v>
      </c>
      <c r="K370">
        <v>2.1042999999999999E-2</v>
      </c>
      <c r="L370">
        <v>2.1661E-2</v>
      </c>
      <c r="M370">
        <v>2.5773000000000001E-2</v>
      </c>
      <c r="N370">
        <v>2.7313E-2</v>
      </c>
      <c r="O370" s="8">
        <f t="shared" si="16"/>
        <v>996.26939697974262</v>
      </c>
      <c r="P370" s="8">
        <f t="shared" si="17"/>
        <v>4753.6176019592112</v>
      </c>
      <c r="Q370" s="8">
        <f t="shared" si="18"/>
        <v>520.78132791808775</v>
      </c>
      <c r="R370">
        <v>1.099573418621878E-2</v>
      </c>
      <c r="S370">
        <v>3.295299841448121E-2</v>
      </c>
      <c r="T370">
        <v>-7.721538545147727E-2</v>
      </c>
    </row>
    <row r="371" spans="1:20" x14ac:dyDescent="0.25">
      <c r="A371">
        <v>368</v>
      </c>
      <c r="B371">
        <v>31</v>
      </c>
      <c r="C371">
        <v>8</v>
      </c>
      <c r="D371">
        <v>6.4339999999999996E-3</v>
      </c>
      <c r="E371">
        <v>1.0793000000000001E-2</v>
      </c>
      <c r="F371">
        <v>1.1434E-2</v>
      </c>
      <c r="G371">
        <v>1.0299000000000001E-2</v>
      </c>
      <c r="H371">
        <v>1.3079E-2</v>
      </c>
      <c r="I371">
        <v>1.6288E-2</v>
      </c>
      <c r="J371">
        <v>1.9261E-2</v>
      </c>
      <c r="K371">
        <v>2.1101999999999999E-2</v>
      </c>
      <c r="L371">
        <v>2.1571E-2</v>
      </c>
      <c r="M371">
        <v>2.5763000000000001E-2</v>
      </c>
      <c r="N371">
        <v>2.7285E-2</v>
      </c>
      <c r="O371" s="8">
        <f t="shared" si="16"/>
        <v>1000.2582039134694</v>
      </c>
      <c r="P371" s="8">
        <f t="shared" si="17"/>
        <v>4771.7423221665731</v>
      </c>
      <c r="Q371" s="8">
        <f t="shared" si="18"/>
        <v>517.10805954728471</v>
      </c>
      <c r="R371">
        <v>4.9117144700195819E-2</v>
      </c>
      <c r="S371">
        <v>4.6725705128788507E-2</v>
      </c>
      <c r="T371">
        <v>-8.1433031930691083E-2</v>
      </c>
    </row>
    <row r="372" spans="1:20" x14ac:dyDescent="0.25">
      <c r="A372">
        <v>369</v>
      </c>
      <c r="B372">
        <v>31</v>
      </c>
      <c r="C372">
        <v>9</v>
      </c>
      <c r="D372">
        <v>6.4079999999999996E-3</v>
      </c>
      <c r="E372">
        <v>1.0821000000000001E-2</v>
      </c>
      <c r="F372">
        <v>1.1407E-2</v>
      </c>
      <c r="G372">
        <v>1.0388E-2</v>
      </c>
      <c r="H372">
        <v>1.3037E-2</v>
      </c>
      <c r="I372">
        <v>1.6338999999999999E-2</v>
      </c>
      <c r="J372">
        <v>1.9283000000000002E-2</v>
      </c>
      <c r="K372">
        <v>2.1094999999999999E-2</v>
      </c>
      <c r="L372">
        <v>2.1536E-2</v>
      </c>
      <c r="M372">
        <v>2.5786E-2</v>
      </c>
      <c r="N372">
        <v>2.7258999999999999E-2</v>
      </c>
      <c r="O372" s="8">
        <f t="shared" si="16"/>
        <v>1003.4957621784555</v>
      </c>
      <c r="P372" s="8">
        <f t="shared" si="17"/>
        <v>4787.0572069220252</v>
      </c>
      <c r="Q372" s="8">
        <f t="shared" si="18"/>
        <v>513.28548238170322</v>
      </c>
      <c r="R372">
        <v>3.9539625582982053E-2</v>
      </c>
      <c r="S372">
        <v>3.9201127003108065E-2</v>
      </c>
      <c r="T372">
        <v>-8.5187496512988362E-2</v>
      </c>
    </row>
    <row r="373" spans="1:20" x14ac:dyDescent="0.25">
      <c r="A373">
        <v>370</v>
      </c>
      <c r="B373">
        <v>31</v>
      </c>
      <c r="C373">
        <v>10</v>
      </c>
      <c r="D373">
        <v>6.4770000000000001E-3</v>
      </c>
      <c r="E373">
        <v>1.0836E-2</v>
      </c>
      <c r="F373">
        <v>1.1365999999999999E-2</v>
      </c>
      <c r="G373">
        <v>1.042E-2</v>
      </c>
      <c r="H373">
        <v>1.3034E-2</v>
      </c>
      <c r="I373">
        <v>1.6261999999999999E-2</v>
      </c>
      <c r="J373">
        <v>1.9334E-2</v>
      </c>
      <c r="K373">
        <v>2.0999E-2</v>
      </c>
      <c r="L373">
        <v>2.1564E-2</v>
      </c>
      <c r="M373">
        <v>2.5697999999999999E-2</v>
      </c>
      <c r="N373">
        <v>2.7351E-2</v>
      </c>
      <c r="O373" s="8">
        <f t="shared" si="16"/>
        <v>1006.7015034042417</v>
      </c>
      <c r="P373" s="8">
        <f t="shared" si="17"/>
        <v>4803.0985553168557</v>
      </c>
      <c r="Q373" s="8">
        <f t="shared" si="18"/>
        <v>509.40361466389396</v>
      </c>
      <c r="R373">
        <v>3.9015659133066552E-2</v>
      </c>
      <c r="S373">
        <v>4.09612595578773E-2</v>
      </c>
      <c r="T373">
        <v>-8.7072065120533143E-2</v>
      </c>
    </row>
    <row r="374" spans="1:20" x14ac:dyDescent="0.25">
      <c r="A374">
        <v>371</v>
      </c>
      <c r="B374">
        <v>31</v>
      </c>
      <c r="C374">
        <v>11</v>
      </c>
      <c r="D374">
        <v>6.5300000000000002E-3</v>
      </c>
      <c r="E374">
        <v>1.0822E-2</v>
      </c>
      <c r="F374">
        <v>1.1271E-2</v>
      </c>
      <c r="G374">
        <v>1.0421E-2</v>
      </c>
      <c r="H374">
        <v>1.3103999999999999E-2</v>
      </c>
      <c r="I374">
        <v>1.6258000000000002E-2</v>
      </c>
      <c r="J374">
        <v>1.9321000000000001E-2</v>
      </c>
      <c r="K374">
        <v>2.1003999999999998E-2</v>
      </c>
      <c r="L374">
        <v>2.1506000000000001E-2</v>
      </c>
      <c r="M374">
        <v>2.5662999999999998E-2</v>
      </c>
      <c r="N374">
        <v>2.7407000000000001E-2</v>
      </c>
      <c r="O374" s="8">
        <f t="shared" si="16"/>
        <v>1006.1186437228872</v>
      </c>
      <c r="P374" s="8">
        <f t="shared" si="17"/>
        <v>4825.8310207143631</v>
      </c>
      <c r="Q374" s="8">
        <f t="shared" si="18"/>
        <v>505.37786287685185</v>
      </c>
      <c r="R374">
        <v>-6.9256740597408786E-3</v>
      </c>
      <c r="S374">
        <v>5.8296481812182041E-2</v>
      </c>
      <c r="T374">
        <v>-9.0819093649309429E-2</v>
      </c>
    </row>
    <row r="375" spans="1:20" x14ac:dyDescent="0.25">
      <c r="A375">
        <v>372</v>
      </c>
      <c r="B375">
        <v>31</v>
      </c>
      <c r="C375">
        <v>12</v>
      </c>
      <c r="D375">
        <v>6.5449999999999996E-3</v>
      </c>
      <c r="E375">
        <v>1.0880000000000001E-2</v>
      </c>
      <c r="F375">
        <v>1.1228E-2</v>
      </c>
      <c r="G375">
        <v>1.0366999999999999E-2</v>
      </c>
      <c r="H375">
        <v>1.3145E-2</v>
      </c>
      <c r="I375">
        <v>1.6204E-2</v>
      </c>
      <c r="J375">
        <v>1.9289000000000001E-2</v>
      </c>
      <c r="K375">
        <v>2.1014999999999999E-2</v>
      </c>
      <c r="L375">
        <v>2.1492000000000001E-2</v>
      </c>
      <c r="M375">
        <v>2.5697000000000001E-2</v>
      </c>
      <c r="N375">
        <v>2.7469E-2</v>
      </c>
      <c r="O375" s="8">
        <f t="shared" si="16"/>
        <v>1008.7516334961716</v>
      </c>
      <c r="P375" s="8">
        <f t="shared" si="17"/>
        <v>4845.5566313678337</v>
      </c>
      <c r="Q375" s="8">
        <f t="shared" si="18"/>
        <v>501.18954920134888</v>
      </c>
      <c r="R375">
        <v>3.1859701000578118E-2</v>
      </c>
      <c r="S375">
        <v>5.0167937303332362E-2</v>
      </c>
      <c r="T375">
        <v>-9.5039749734435006E-2</v>
      </c>
    </row>
    <row r="376" spans="1:20" x14ac:dyDescent="0.25">
      <c r="A376">
        <v>373</v>
      </c>
      <c r="B376">
        <v>32</v>
      </c>
      <c r="C376">
        <v>1</v>
      </c>
      <c r="D376">
        <v>6.6319999999999999E-3</v>
      </c>
      <c r="E376">
        <v>1.0940999999999999E-2</v>
      </c>
      <c r="F376">
        <v>1.1154000000000001E-2</v>
      </c>
      <c r="G376">
        <v>1.0374E-2</v>
      </c>
      <c r="H376">
        <v>1.3047E-2</v>
      </c>
      <c r="I376">
        <v>1.6121E-2</v>
      </c>
      <c r="J376">
        <v>1.9275E-2</v>
      </c>
      <c r="K376">
        <v>2.0965000000000001E-2</v>
      </c>
      <c r="L376">
        <v>2.1465999999999999E-2</v>
      </c>
      <c r="M376">
        <v>2.5617000000000001E-2</v>
      </c>
      <c r="N376">
        <v>2.7415999999999999E-2</v>
      </c>
      <c r="O376" s="8">
        <f t="shared" si="16"/>
        <v>1005.2864068093205</v>
      </c>
      <c r="P376" s="8">
        <f t="shared" si="17"/>
        <v>4864.9813047021998</v>
      </c>
      <c r="Q376" s="8">
        <f t="shared" si="18"/>
        <v>497.08481965825064</v>
      </c>
      <c r="R376">
        <v>-4.0451987207354524E-2</v>
      </c>
      <c r="S376">
        <v>4.9180051019030356E-2</v>
      </c>
      <c r="T376">
        <v>-9.3971355535584153E-2</v>
      </c>
    </row>
    <row r="377" spans="1:20" x14ac:dyDescent="0.25">
      <c r="A377">
        <v>374</v>
      </c>
      <c r="B377">
        <v>32</v>
      </c>
      <c r="C377">
        <v>2</v>
      </c>
      <c r="D377">
        <v>6.5989999999999998E-3</v>
      </c>
      <c r="E377">
        <v>1.1008E-2</v>
      </c>
      <c r="F377">
        <v>1.1087E-2</v>
      </c>
      <c r="G377">
        <v>1.0364E-2</v>
      </c>
      <c r="H377">
        <v>1.3003000000000001E-2</v>
      </c>
      <c r="I377">
        <v>1.6050999999999999E-2</v>
      </c>
      <c r="J377">
        <v>1.9345000000000001E-2</v>
      </c>
      <c r="K377">
        <v>2.0882999999999999E-2</v>
      </c>
      <c r="L377">
        <v>2.1482000000000001E-2</v>
      </c>
      <c r="M377">
        <v>2.5562000000000001E-2</v>
      </c>
      <c r="N377">
        <v>2.7501000000000001E-2</v>
      </c>
      <c r="O377" s="8">
        <f t="shared" si="16"/>
        <v>1003.7315054541014</v>
      </c>
      <c r="P377" s="8">
        <f t="shared" si="17"/>
        <v>4888.709950186505</v>
      </c>
      <c r="Q377" s="8">
        <f t="shared" si="18"/>
        <v>492.97295992201231</v>
      </c>
      <c r="R377">
        <v>-1.8403612522687261E-2</v>
      </c>
      <c r="S377">
        <v>6.0125167805194148E-2</v>
      </c>
      <c r="T377">
        <v>-9.4869551660187276E-2</v>
      </c>
    </row>
    <row r="378" spans="1:20" x14ac:dyDescent="0.25">
      <c r="A378">
        <v>375</v>
      </c>
      <c r="B378">
        <v>32</v>
      </c>
      <c r="C378">
        <v>3</v>
      </c>
      <c r="D378">
        <v>6.5170000000000002E-3</v>
      </c>
      <c r="E378">
        <v>1.0985999999999999E-2</v>
      </c>
      <c r="F378">
        <v>1.1042E-2</v>
      </c>
      <c r="G378">
        <v>1.0347E-2</v>
      </c>
      <c r="H378">
        <v>1.2952E-2</v>
      </c>
      <c r="I378">
        <v>1.6098999999999999E-2</v>
      </c>
      <c r="J378">
        <v>1.9255999999999999E-2</v>
      </c>
      <c r="K378">
        <v>2.0863E-2</v>
      </c>
      <c r="L378">
        <v>2.1576000000000001E-2</v>
      </c>
      <c r="M378">
        <v>2.5468000000000001E-2</v>
      </c>
      <c r="N378">
        <v>2.7553999999999999E-2</v>
      </c>
      <c r="O378" s="8">
        <f t="shared" si="16"/>
        <v>1002.0400972146496</v>
      </c>
      <c r="P378" s="8">
        <f t="shared" si="17"/>
        <v>4907.3495466484983</v>
      </c>
      <c r="Q378" s="8">
        <f t="shared" si="18"/>
        <v>488.93070504513798</v>
      </c>
      <c r="R378">
        <v>-2.0035075609132189E-2</v>
      </c>
      <c r="S378">
        <v>4.6725174119617179E-2</v>
      </c>
      <c r="T378">
        <v>-9.407850844818802E-2</v>
      </c>
    </row>
    <row r="379" spans="1:20" x14ac:dyDescent="0.25">
      <c r="A379">
        <v>376</v>
      </c>
      <c r="B379">
        <v>32</v>
      </c>
      <c r="C379">
        <v>4</v>
      </c>
      <c r="D379">
        <v>6.4900000000000001E-3</v>
      </c>
      <c r="E379">
        <v>1.0943E-2</v>
      </c>
      <c r="F379">
        <v>1.1049E-2</v>
      </c>
      <c r="G379">
        <v>1.0262E-2</v>
      </c>
      <c r="H379">
        <v>1.2877E-2</v>
      </c>
      <c r="I379">
        <v>1.6074999999999999E-2</v>
      </c>
      <c r="J379">
        <v>1.9200999999999999E-2</v>
      </c>
      <c r="K379">
        <v>2.0919E-2</v>
      </c>
      <c r="L379">
        <v>2.1538999999999999E-2</v>
      </c>
      <c r="M379">
        <v>2.5427999999999999E-2</v>
      </c>
      <c r="N379">
        <v>2.7487000000000001E-2</v>
      </c>
      <c r="O379" s="8">
        <f t="shared" si="16"/>
        <v>1000.3338303840902</v>
      </c>
      <c r="P379" s="8">
        <f t="shared" si="17"/>
        <v>4930.6792135532678</v>
      </c>
      <c r="Q379" s="8">
        <f t="shared" si="18"/>
        <v>484.86988989571842</v>
      </c>
      <c r="R379">
        <v>-2.0243230397565745E-2</v>
      </c>
      <c r="S379">
        <v>5.8563853853903051E-2</v>
      </c>
      <c r="T379">
        <v>-9.5236977552252605E-2</v>
      </c>
    </row>
    <row r="380" spans="1:20" x14ac:dyDescent="0.25">
      <c r="A380">
        <v>377</v>
      </c>
      <c r="B380">
        <v>32</v>
      </c>
      <c r="C380">
        <v>5</v>
      </c>
      <c r="D380">
        <v>6.5040000000000002E-3</v>
      </c>
      <c r="E380">
        <v>1.0877E-2</v>
      </c>
      <c r="F380">
        <v>1.1115E-2</v>
      </c>
      <c r="G380">
        <v>1.0246999999999999E-2</v>
      </c>
      <c r="H380">
        <v>1.2824E-2</v>
      </c>
      <c r="I380">
        <v>1.6164999999999999E-2</v>
      </c>
      <c r="J380">
        <v>1.917E-2</v>
      </c>
      <c r="K380">
        <v>2.0989000000000001E-2</v>
      </c>
      <c r="L380">
        <v>2.1465000000000001E-2</v>
      </c>
      <c r="M380">
        <v>2.5468000000000001E-2</v>
      </c>
      <c r="N380">
        <v>2.7448E-2</v>
      </c>
      <c r="O380" s="8">
        <f t="shared" si="16"/>
        <v>997.88076517230229</v>
      </c>
      <c r="P380" s="8">
        <f t="shared" si="17"/>
        <v>4948.7995516264546</v>
      </c>
      <c r="Q380" s="8">
        <f t="shared" si="18"/>
        <v>480.79482965832239</v>
      </c>
      <c r="R380">
        <v>-2.9033293477713346E-2</v>
      </c>
      <c r="S380">
        <v>4.5002614400903328E-2</v>
      </c>
      <c r="T380">
        <v>-9.6319568261715227E-2</v>
      </c>
    </row>
    <row r="381" spans="1:20" x14ac:dyDescent="0.25">
      <c r="A381">
        <v>378</v>
      </c>
      <c r="B381">
        <v>32</v>
      </c>
      <c r="C381">
        <v>6</v>
      </c>
      <c r="D381">
        <v>6.5960000000000003E-3</v>
      </c>
      <c r="E381">
        <v>1.0781000000000001E-2</v>
      </c>
      <c r="F381">
        <v>1.1140000000000001E-2</v>
      </c>
      <c r="G381">
        <v>1.0286E-2</v>
      </c>
      <c r="H381">
        <v>1.282E-2</v>
      </c>
      <c r="I381">
        <v>1.6123999999999999E-2</v>
      </c>
      <c r="J381">
        <v>1.9258000000000001E-2</v>
      </c>
      <c r="K381">
        <v>2.0955000000000001E-2</v>
      </c>
      <c r="L381">
        <v>2.1491E-2</v>
      </c>
      <c r="M381">
        <v>2.5544000000000001E-2</v>
      </c>
      <c r="N381">
        <v>2.7417E-2</v>
      </c>
      <c r="O381" s="8">
        <f t="shared" si="16"/>
        <v>1000.5765031365843</v>
      </c>
      <c r="P381" s="8">
        <f t="shared" si="17"/>
        <v>4963.2788505309754</v>
      </c>
      <c r="Q381" s="8">
        <f t="shared" si="18"/>
        <v>476.74670574485356</v>
      </c>
      <c r="R381">
        <v>3.2903581319668779E-2</v>
      </c>
      <c r="S381">
        <v>3.5680380026876728E-2</v>
      </c>
      <c r="T381">
        <v>-9.6485878058316377E-2</v>
      </c>
    </row>
    <row r="382" spans="1:20" x14ac:dyDescent="0.25">
      <c r="A382">
        <v>379</v>
      </c>
      <c r="B382">
        <v>32</v>
      </c>
      <c r="C382">
        <v>7</v>
      </c>
      <c r="D382">
        <v>6.5319999999999996E-3</v>
      </c>
      <c r="E382">
        <v>1.0735E-2</v>
      </c>
      <c r="F382">
        <v>1.1068E-2</v>
      </c>
      <c r="G382">
        <v>1.03E-2</v>
      </c>
      <c r="H382">
        <v>1.2737E-2</v>
      </c>
      <c r="I382">
        <v>1.6039000000000001E-2</v>
      </c>
      <c r="J382">
        <v>1.9293999999999999E-2</v>
      </c>
      <c r="K382">
        <v>2.0959999999999999E-2</v>
      </c>
      <c r="L382">
        <v>2.1475000000000001E-2</v>
      </c>
      <c r="M382">
        <v>2.554E-2</v>
      </c>
      <c r="N382">
        <v>2.7459000000000001E-2</v>
      </c>
      <c r="O382" s="8">
        <f t="shared" si="16"/>
        <v>1000.4828029971578</v>
      </c>
      <c r="P382" s="8">
        <f t="shared" si="17"/>
        <v>4981.9959905027772</v>
      </c>
      <c r="Q382" s="8">
        <f t="shared" si="18"/>
        <v>472.93512245642745</v>
      </c>
      <c r="R382">
        <v>-1.1231752124281668E-3</v>
      </c>
      <c r="S382">
        <v>4.6203998225381744E-2</v>
      </c>
      <c r="T382">
        <v>-9.1831557818215087E-2</v>
      </c>
    </row>
    <row r="383" spans="1:20" x14ac:dyDescent="0.25">
      <c r="A383">
        <v>380</v>
      </c>
      <c r="B383">
        <v>32</v>
      </c>
      <c r="C383">
        <v>8</v>
      </c>
      <c r="D383">
        <v>6.5640000000000004E-3</v>
      </c>
      <c r="E383">
        <v>1.0709E-2</v>
      </c>
      <c r="F383">
        <v>1.1157E-2</v>
      </c>
      <c r="G383">
        <v>1.0224E-2</v>
      </c>
      <c r="H383">
        <v>1.2784999999999999E-2</v>
      </c>
      <c r="I383">
        <v>1.5986E-2</v>
      </c>
      <c r="J383">
        <v>1.9331000000000001E-2</v>
      </c>
      <c r="K383">
        <v>2.0913000000000001E-2</v>
      </c>
      <c r="L383">
        <v>2.154E-2</v>
      </c>
      <c r="M383">
        <v>2.5578E-2</v>
      </c>
      <c r="N383">
        <v>2.7517E-2</v>
      </c>
      <c r="O383" s="8">
        <f t="shared" si="16"/>
        <v>1002.0716300208721</v>
      </c>
      <c r="P383" s="8">
        <f t="shared" si="17"/>
        <v>5002.4640953649732</v>
      </c>
      <c r="Q383" s="8">
        <f t="shared" si="18"/>
        <v>469.35194586429543</v>
      </c>
      <c r="R383">
        <v>1.922405563923486E-2</v>
      </c>
      <c r="S383">
        <v>5.0430391471703841E-2</v>
      </c>
      <c r="T383">
        <v>-8.7223067014636779E-2</v>
      </c>
    </row>
    <row r="384" spans="1:20" x14ac:dyDescent="0.25">
      <c r="A384">
        <v>381</v>
      </c>
      <c r="B384">
        <v>32</v>
      </c>
      <c r="C384">
        <v>9</v>
      </c>
      <c r="D384">
        <v>6.5160000000000001E-3</v>
      </c>
      <c r="E384">
        <v>1.0671E-2</v>
      </c>
      <c r="F384">
        <v>1.1202E-2</v>
      </c>
      <c r="G384">
        <v>1.0156E-2</v>
      </c>
      <c r="H384">
        <v>1.2761E-2</v>
      </c>
      <c r="I384">
        <v>1.5935999999999999E-2</v>
      </c>
      <c r="J384">
        <v>1.9286000000000001E-2</v>
      </c>
      <c r="K384">
        <v>2.0830999999999999E-2</v>
      </c>
      <c r="L384">
        <v>2.1572000000000001E-2</v>
      </c>
      <c r="M384">
        <v>2.5638999999999999E-2</v>
      </c>
      <c r="N384">
        <v>2.7588999999999999E-2</v>
      </c>
      <c r="O384" s="8">
        <f t="shared" si="16"/>
        <v>1002.5041711169691</v>
      </c>
      <c r="P384" s="8">
        <f t="shared" si="17"/>
        <v>5024.3831435170641</v>
      </c>
      <c r="Q384" s="8">
        <f t="shared" si="18"/>
        <v>465.71344867154119</v>
      </c>
      <c r="R384">
        <v>5.1920773680521476E-3</v>
      </c>
      <c r="S384">
        <v>5.3865618666486891E-2</v>
      </c>
      <c r="T384">
        <v>-8.9160447899322703E-2</v>
      </c>
    </row>
    <row r="385" spans="1:20" x14ac:dyDescent="0.25">
      <c r="A385">
        <v>382</v>
      </c>
      <c r="B385">
        <v>32</v>
      </c>
      <c r="C385">
        <v>10</v>
      </c>
      <c r="D385">
        <v>6.4359999999999999E-3</v>
      </c>
      <c r="E385">
        <v>1.0732E-2</v>
      </c>
      <c r="F385">
        <v>1.1296E-2</v>
      </c>
      <c r="G385">
        <v>1.0185E-2</v>
      </c>
      <c r="H385">
        <v>1.2727E-2</v>
      </c>
      <c r="I385">
        <v>1.5909E-2</v>
      </c>
      <c r="J385">
        <v>1.9307000000000001E-2</v>
      </c>
      <c r="K385">
        <v>2.0767999999999998E-2</v>
      </c>
      <c r="L385">
        <v>2.1617000000000001E-2</v>
      </c>
      <c r="M385">
        <v>2.5718999999999999E-2</v>
      </c>
      <c r="N385">
        <v>2.7609999999999999E-2</v>
      </c>
      <c r="O385" s="8">
        <f t="shared" si="16"/>
        <v>1003.3406842562144</v>
      </c>
      <c r="P385" s="8">
        <f t="shared" si="17"/>
        <v>5038.8266592227474</v>
      </c>
      <c r="Q385" s="8">
        <f t="shared" si="18"/>
        <v>462.13933874752144</v>
      </c>
      <c r="R385">
        <v>1.0059164593765955E-2</v>
      </c>
      <c r="S385">
        <v>3.5046884195774314E-2</v>
      </c>
      <c r="T385">
        <v>-8.8304293837954489E-2</v>
      </c>
    </row>
    <row r="386" spans="1:20" x14ac:dyDescent="0.25">
      <c r="A386">
        <v>383</v>
      </c>
      <c r="B386">
        <v>32</v>
      </c>
      <c r="C386">
        <v>11</v>
      </c>
      <c r="D386">
        <v>6.3870000000000003E-3</v>
      </c>
      <c r="E386">
        <v>1.0695E-2</v>
      </c>
      <c r="F386">
        <v>1.1292E-2</v>
      </c>
      <c r="G386">
        <v>1.0248999999999999E-2</v>
      </c>
      <c r="H386">
        <v>1.2755000000000001E-2</v>
      </c>
      <c r="I386">
        <v>1.5880999999999999E-2</v>
      </c>
      <c r="J386">
        <v>1.9302E-2</v>
      </c>
      <c r="K386">
        <v>2.0676E-2</v>
      </c>
      <c r="L386">
        <v>2.1566999999999999E-2</v>
      </c>
      <c r="M386">
        <v>2.5725000000000001E-2</v>
      </c>
      <c r="N386">
        <v>2.7543999999999999E-2</v>
      </c>
      <c r="O386" s="8">
        <f t="shared" si="16"/>
        <v>1006.7999943122584</v>
      </c>
      <c r="P386" s="8">
        <f t="shared" si="17"/>
        <v>5060.9327816133273</v>
      </c>
      <c r="Q386" s="8">
        <f t="shared" si="18"/>
        <v>458.77859474694515</v>
      </c>
      <c r="R386">
        <v>4.2167151685629865E-2</v>
      </c>
      <c r="S386">
        <v>5.3934954048720306E-2</v>
      </c>
      <c r="T386">
        <v>-8.3858622501172791E-2</v>
      </c>
    </row>
    <row r="387" spans="1:20" x14ac:dyDescent="0.25">
      <c r="A387">
        <v>384</v>
      </c>
      <c r="B387">
        <v>32</v>
      </c>
      <c r="C387">
        <v>12</v>
      </c>
      <c r="D387">
        <v>6.4679999999999998E-3</v>
      </c>
      <c r="E387">
        <v>1.0685999999999999E-2</v>
      </c>
      <c r="F387">
        <v>1.1247999999999999E-2</v>
      </c>
      <c r="G387">
        <v>1.0274999999999999E-2</v>
      </c>
      <c r="H387">
        <v>1.2748000000000001E-2</v>
      </c>
      <c r="I387">
        <v>1.5847E-2</v>
      </c>
      <c r="J387">
        <v>1.924E-2</v>
      </c>
      <c r="K387">
        <v>2.0634E-2</v>
      </c>
      <c r="L387">
        <v>2.1621999999999999E-2</v>
      </c>
      <c r="M387">
        <v>2.5672E-2</v>
      </c>
      <c r="N387">
        <v>2.7472E-2</v>
      </c>
      <c r="O387" s="8">
        <f t="shared" si="16"/>
        <v>1010.4263770506078</v>
      </c>
      <c r="P387" s="8">
        <f t="shared" si="17"/>
        <v>5075.5321905551245</v>
      </c>
      <c r="Q387" s="8">
        <f t="shared" si="18"/>
        <v>455.46620026899558</v>
      </c>
      <c r="R387">
        <v>4.4089301501236404E-2</v>
      </c>
      <c r="S387">
        <v>3.5171267359789621E-2</v>
      </c>
      <c r="T387">
        <v>-8.3281311219428583E-2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 Generator</vt:lpstr>
      <vt:lpstr>data</vt:lpstr>
      <vt:lpstr>Index Generator</vt:lpstr>
      <vt:lpstr>idx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Filiakov</dc:creator>
  <cp:lastModifiedBy>Alex Filiakov</cp:lastModifiedBy>
  <dcterms:created xsi:type="dcterms:W3CDTF">2017-06-12T01:09:50Z</dcterms:created>
  <dcterms:modified xsi:type="dcterms:W3CDTF">2017-06-13T02:58:27Z</dcterms:modified>
</cp:coreProperties>
</file>